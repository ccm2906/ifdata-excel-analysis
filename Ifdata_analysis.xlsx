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183559\OneDrive - Mastercard\Documents\_Claudio - Portifolio Road\Ifdata Excel\"/>
    </mc:Choice>
  </mc:AlternateContent>
  <xr:revisionPtr revIDLastSave="0" documentId="8_{6A2717B7-430B-469B-9F0A-90B164EAFDA3}" xr6:coauthVersionLast="47" xr6:coauthVersionMax="47" xr10:uidLastSave="{00000000-0000-0000-0000-000000000000}"/>
  <bookViews>
    <workbookView xWindow="3750" yWindow="2190" windowWidth="17790" windowHeight="9735" firstSheet="5" activeTab="6" xr2:uid="{44642CB7-351E-4D6A-9BD4-2CA40E8A95F4}"/>
  </bookViews>
  <sheets>
    <sheet name="Dicionário" sheetId="4" state="hidden" r:id="rId1"/>
    <sheet name="IFData_6_2026" sheetId="2" r:id="rId2"/>
    <sheet name="Tabelas" sheetId="5" state="hidden" r:id="rId3"/>
    <sheet name="Gráficos Tec-Exec" sheetId="6" state="hidden" r:id="rId4"/>
    <sheet name="Análise" sheetId="1" state="hidden" r:id="rId5"/>
    <sheet name="Dashboard Executivo - P1" sheetId="8" r:id="rId6"/>
    <sheet name="Dashboard Executivo - P2" sheetId="9" r:id="rId7"/>
  </sheets>
  <definedNames>
    <definedName name="_xlchart.v1.0" hidden="1">Tabelas!$D$40:$D$49</definedName>
    <definedName name="_xlchart.v1.1" hidden="1">Tabelas!$F$39</definedName>
    <definedName name="_xlchart.v1.10" hidden="1">Tabelas!$D$40:$D$49</definedName>
    <definedName name="_xlchart.v1.11" hidden="1">Tabelas!$F$39</definedName>
    <definedName name="_xlchart.v1.12" hidden="1">Tabelas!$F$40:$F$49</definedName>
    <definedName name="_xlchart.v1.13" hidden="1">Tabelas!$G$39</definedName>
    <definedName name="_xlchart.v1.14" hidden="1">Tabelas!$G$40:$G$49</definedName>
    <definedName name="_xlchart.v1.15" hidden="1">IFData_6_2026!$C$2:$C$1407</definedName>
    <definedName name="_xlchart.v1.16" hidden="1">IFData_6_2026!$H$1</definedName>
    <definedName name="_xlchart.v1.17" hidden="1">IFData_6_2026!$H$2:$H$1407</definedName>
    <definedName name="_xlchart.v1.18" hidden="1">IFData_6_2026!$C$2:$C$1407</definedName>
    <definedName name="_xlchart.v1.19" hidden="1">IFData_6_2026!$R$2:$R$1407</definedName>
    <definedName name="_xlchart.v1.2" hidden="1">Tabelas!$F$40:$F$49</definedName>
    <definedName name="_xlchart.v1.3" hidden="1">Tabelas!$G$39</definedName>
    <definedName name="_xlchart.v1.4" hidden="1">Tabelas!$G$40:$G$49</definedName>
    <definedName name="_xlchart.v1.5" hidden="1">IFData_6_2026!$C$2:$C$1407</definedName>
    <definedName name="_xlchart.v1.6" hidden="1">IFData_6_2026!$R$2:$R$1407</definedName>
    <definedName name="_xlchart.v1.7" hidden="1">IFData_6_2026!$C$2:$C$1407</definedName>
    <definedName name="_xlchart.v1.8" hidden="1">IFData_6_2026!$H$1</definedName>
    <definedName name="_xlchart.v1.9" hidden="1">IFData_6_2026!$H$2:$H$1407</definedName>
    <definedName name="ExternalData_1" localSheetId="1" hidden="1">IFData_6_2026!$A$1:$R$1407</definedName>
  </definedNames>
  <calcPr calcId="191028" iterateDelta="1E-4"/>
  <pivotCaches>
    <pivotCache cacheId="19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Y10" i="9" l="1"/>
  <c r="FV10" i="9"/>
  <c r="ES10" i="9"/>
  <c r="DP10" i="9"/>
  <c r="CM10" i="9"/>
  <c r="BJ10" i="9"/>
  <c r="AG10" i="9"/>
  <c r="D10" i="9"/>
  <c r="E16" i="5"/>
  <c r="D16" i="5"/>
  <c r="E15" i="5"/>
  <c r="D15" i="5"/>
  <c r="E14" i="5"/>
  <c r="D14" i="5"/>
  <c r="E13" i="5"/>
  <c r="D13" i="5"/>
  <c r="B12" i="1"/>
  <c r="D10" i="8" s="1"/>
  <c r="B20" i="1"/>
  <c r="GY10" i="8" s="1"/>
  <c r="B19" i="1"/>
  <c r="B16" i="1"/>
  <c r="DP10" i="8" s="1"/>
  <c r="B15" i="1"/>
  <c r="CM10" i="8" s="1"/>
  <c r="B18" i="1"/>
  <c r="FV10" i="8" s="1"/>
  <c r="B17" i="1"/>
  <c r="ES10" i="8" s="1"/>
  <c r="B13" i="1"/>
  <c r="B14" i="1" s="1"/>
  <c r="BJ10" i="8" s="1"/>
  <c r="E88" i="5"/>
  <c r="E87" i="5"/>
  <c r="E86" i="5"/>
  <c r="E85" i="5"/>
  <c r="E84" i="5"/>
  <c r="E83" i="5"/>
  <c r="E28" i="5"/>
  <c r="D44" i="5"/>
  <c r="D40" i="5"/>
  <c r="E40" i="5"/>
  <c r="F40" i="5" s="1"/>
  <c r="G40" i="5" s="1"/>
  <c r="D41" i="5"/>
  <c r="E41" i="5"/>
  <c r="D42" i="5"/>
  <c r="E42" i="5"/>
  <c r="F42" i="5" s="1"/>
  <c r="D43" i="5"/>
  <c r="E43" i="5"/>
  <c r="F43" i="5" s="1"/>
  <c r="E44" i="5"/>
  <c r="F44" i="5" s="1"/>
  <c r="D45" i="5"/>
  <c r="E45" i="5"/>
  <c r="F45" i="5" s="1"/>
  <c r="D46" i="5"/>
  <c r="E46" i="5"/>
  <c r="F46" i="5" s="1"/>
  <c r="D47" i="5"/>
  <c r="E47" i="5"/>
  <c r="F47" i="5" s="1"/>
  <c r="D48" i="5"/>
  <c r="E48" i="5"/>
  <c r="F48" i="5" s="1"/>
  <c r="D49" i="5"/>
  <c r="E49" i="5"/>
  <c r="F49" i="5" s="1"/>
  <c r="D28" i="5"/>
  <c r="D29" i="5"/>
  <c r="E29" i="5"/>
  <c r="D30" i="5"/>
  <c r="E30" i="5"/>
  <c r="E19" i="5"/>
  <c r="E20" i="5"/>
  <c r="E21" i="5"/>
  <c r="E22" i="5"/>
  <c r="E23" i="5"/>
  <c r="E24" i="5"/>
  <c r="D19" i="5"/>
  <c r="D20" i="5"/>
  <c r="D21" i="5"/>
  <c r="D22" i="5"/>
  <c r="D23" i="5"/>
  <c r="D24" i="5"/>
  <c r="E4" i="5"/>
  <c r="E5" i="5"/>
  <c r="E6" i="5"/>
  <c r="E7" i="5"/>
  <c r="E8" i="5"/>
  <c r="E9" i="5"/>
  <c r="D9" i="5"/>
  <c r="D4" i="5"/>
  <c r="D5" i="5"/>
  <c r="D6" i="5"/>
  <c r="D7" i="5"/>
  <c r="D8" i="5"/>
  <c r="AG10" i="8" l="1"/>
  <c r="E50" i="5"/>
  <c r="F41" i="5"/>
  <c r="F50" i="5" s="1"/>
  <c r="G41" i="5" l="1"/>
  <c r="G42" i="5" s="1"/>
  <c r="G43" i="5" s="1"/>
  <c r="G44" i="5" s="1"/>
  <c r="G45" i="5" s="1"/>
  <c r="G46" i="5" s="1"/>
  <c r="G47" i="5" s="1"/>
  <c r="G48" i="5" s="1"/>
  <c r="G49" i="5" s="1"/>
  <c r="G50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2232F-8BC4-4A36-A22C-8D06F170C706}" keepAlive="1" name="Query - IFData_6_2026" description="Connection to the 'IFData_6_2026' query in the workbook." type="5" refreshedVersion="8" background="1" saveData="1">
    <dbPr connection="Provider=Microsoft.Mashup.OleDb.1;Data Source=$Workbook$;Location=IFData_6_2026;Extended Properties=&quot;&quot;" command="SELECT * FROM [IFData_6_2026]"/>
  </connection>
</connections>
</file>

<file path=xl/sharedStrings.xml><?xml version="1.0" encoding="utf-8"?>
<sst xmlns="http://schemas.openxmlformats.org/spreadsheetml/2006/main" count="8747" uniqueCount="2089">
  <si>
    <t>DICIONÁRIO DE DADOS  |  IF.data – Banco Central do Brasil</t>
  </si>
  <si>
    <t xml:space="preserve">  Colunas da base de dados</t>
  </si>
  <si>
    <t>Coluna</t>
  </si>
  <si>
    <t>Nome completo</t>
  </si>
  <si>
    <t>Tipo</t>
  </si>
  <si>
    <t>O que significa na prática</t>
  </si>
  <si>
    <t>Instituição</t>
  </si>
  <si>
    <t>Nome da instituição financeira</t>
  </si>
  <si>
    <t>Texto</t>
  </si>
  <si>
    <t>Nome do banco, fintech, cooperativa ou instituição de pagamento cadastrada no Banco Central.</t>
  </si>
  <si>
    <t>TCB</t>
  </si>
  <si>
    <t>Tipo de Consolidado Bancário</t>
  </si>
  <si>
    <t>Código</t>
  </si>
  <si>
    <t>Classifica o tipo de instituição. b1 = banco comercial/múltiplo com carteira comercial (os grandes bancos); n4 = instituição de pagamento (Nubank, PicPay, Mercado Pago); b3S = cooperativa singular.</t>
  </si>
  <si>
    <t>SR</t>
  </si>
  <si>
    <t>Segmento Resolução nº 4.553/2017</t>
  </si>
  <si>
    <t>Classifica o porte da instituição: S1 é o maior (Itaú, BB, Caixa, Bradesco, Santander), S5 é o menor. Define o nível de exigências regulatórias.</t>
  </si>
  <si>
    <t>TC</t>
  </si>
  <si>
    <t>Tipo de Controle</t>
  </si>
  <si>
    <t>1 = Público (BB, Caixa, BNB, BNDES); 2 = Privado Nacional (Itaú, Bradesco, Nubank); 3 = Privado com Controle Estrangeiro (Santander, Citibank, JP Morgan).</t>
  </si>
  <si>
    <t>TD</t>
  </si>
  <si>
    <t>Tipo de Consolidação</t>
  </si>
  <si>
    <t>C = Conglomerado (o grupo financeiro consolidado); I = Instituição independente (instituição individual sem grupo).</t>
  </si>
  <si>
    <t>Cidade / UF</t>
  </si>
  <si>
    <t>Localização da sede</t>
  </si>
  <si>
    <t>Cidade e estado onde a instituição tem sua sede principal registrada no Banco Central.</t>
  </si>
  <si>
    <t>Data</t>
  </si>
  <si>
    <t>Data de referência</t>
  </si>
  <si>
    <t>Mês e ano dos dados. 09/2025 = posição de setembro de 2025.</t>
  </si>
  <si>
    <t>Ativo Total</t>
  </si>
  <si>
    <t>Total de ativos (R$ mil)</t>
  </si>
  <si>
    <t>Número</t>
  </si>
  <si>
    <t>Tudo que a instituição possui: créditos concedidos, títulos, imóveis, participações. É o principal indicador de porte de um banco.</t>
  </si>
  <si>
    <t>Carteira de Crédito</t>
  </si>
  <si>
    <t>Total de créditos concedidos (R$ mil)</t>
  </si>
  <si>
    <t>Soma de todos os empréstimos, financiamentos e créditos concedidos pela instituição a clientes. É a atividade-fim dos bancos comerciais.</t>
  </si>
  <si>
    <t>TVM</t>
  </si>
  <si>
    <t>Títulos e Valores Mobiliários (R$ mil)</t>
  </si>
  <si>
    <t>Investimentos da instituição em títulos públicos (Tesouro), títulos privados, ações e outros ativos financeiros.</t>
  </si>
  <si>
    <t>Passivo Exigível</t>
  </si>
  <si>
    <t>Total de obrigações (R$ mil)</t>
  </si>
  <si>
    <t>Tudo que a instituição deve: depósitos de clientes, captações, dívidas. A diferença entre Ativo Total e Passivo Exigível é aproximadamente o Patrimônio Líquido.</t>
  </si>
  <si>
    <t>Captações</t>
  </si>
  <si>
    <t>Total captado de clientes (R$ mil)</t>
  </si>
  <si>
    <t>Recursos captados junto ao público: depósitos à vista, poupança, CDB, LCI, LCA. É a principal fonte de recursos dos bancos.</t>
  </si>
  <si>
    <t>Patrimônio Líquido</t>
  </si>
  <si>
    <t>Capital próprio da instituição (R$ mil)</t>
  </si>
  <si>
    <t>Diferença entre ativos e passivos. Representa o capital dos acionistas. Indica a solidez financeira da instituição.</t>
  </si>
  <si>
    <t>Lucro Líquido</t>
  </si>
  <si>
    <t>Resultado do período (R$ mil)</t>
  </si>
  <si>
    <t>Lucro ou prejuízo no período. Valores negativos indicam prejuízo. Dividido pelo Patrimônio Líquido, dá o ROE (retorno sobre patrimônio).</t>
  </si>
  <si>
    <t>Número de Agências</t>
  </si>
  <si>
    <t>Quantidade de agências físicas</t>
  </si>
  <si>
    <t>Agências físicas da instituição. Bancos digitais (Nubank, Inter, C6) têm zero ou poucas agências.</t>
  </si>
  <si>
    <t>Número de Postos</t>
  </si>
  <si>
    <t>Pontos de atendimento</t>
  </si>
  <si>
    <t>Postos de atendimento bancário além das agências, como PABs em empresas e postos em shoppings.</t>
  </si>
  <si>
    <t>Índice Crédito/Ativo</t>
  </si>
  <si>
    <t>Participação da carteira de crédito no ativo total</t>
  </si>
  <si>
    <t>Fórmula</t>
  </si>
  <si>
    <t>Calculado: Carteira de Crédito / Ativo Total. Indica quanto do ativo está alocado em crédito. Bancos de varejo têm índices altos; bancos de investimento têm índices baixos.</t>
  </si>
  <si>
    <t>ROE</t>
  </si>
  <si>
    <t>Retorno sobre Patrimônio Líquido</t>
  </si>
  <si>
    <t>Calculado: Lucro Líquido / Patrimônio Líquido. Mede a eficiência da instituição em gerar lucro com o capital próprio. Referência: ROE acima de 15% é considerado bom no setor.</t>
  </si>
  <si>
    <t xml:space="preserve">  Códigos de classificação (TCB, SR, TC)</t>
  </si>
  <si>
    <t>Categoria</t>
  </si>
  <si>
    <t>Descrição completa</t>
  </si>
  <si>
    <t>Exemplos</t>
  </si>
  <si>
    <t>b1</t>
  </si>
  <si>
    <t>Banco Comercial, Banco Múltiplo com Carteira Comercial ou Caixa Econômica</t>
  </si>
  <si>
    <t>Itaú, BB, Caixa, Bradesco, Santander, Nubank (banco)</t>
  </si>
  <si>
    <t>b2</t>
  </si>
  <si>
    <t>Banco Múltiplo sem Carteira Comercial, Banco de Investimento ou Câmbio</t>
  </si>
  <si>
    <t>Goldman Sachs, Banco Volkswagen, Stellantis</t>
  </si>
  <si>
    <t>b3S</t>
  </si>
  <si>
    <t>Cooperativa de Crédito Singular</t>
  </si>
  <si>
    <t>Sicredi (cooperativas individuais), Sicoob singular</t>
  </si>
  <si>
    <t>b3C</t>
  </si>
  <si>
    <t>Central e Confederação de Cooperativas de Crédito</t>
  </si>
  <si>
    <t>Sicoob Central, Sicredi Central</t>
  </si>
  <si>
    <t>b4</t>
  </si>
  <si>
    <t>Banco de Desenvolvimento</t>
  </si>
  <si>
    <t>BNDES, BNB, BRDE, Banco da Amazônia</t>
  </si>
  <si>
    <t>n1</t>
  </si>
  <si>
    <t>Não Bancário de Crédito (financeiras, SCDs)</t>
  </si>
  <si>
    <t>Porto Seguro Financeiro, Stone Financeiro</t>
  </si>
  <si>
    <t>n2</t>
  </si>
  <si>
    <t>Não Bancário de Mercado de Capitais (corretoras, DTVM)</t>
  </si>
  <si>
    <t>Corretoras de câmbio e valores</t>
  </si>
  <si>
    <t>n4</t>
  </si>
  <si>
    <t>Instituição de Pagamento</t>
  </si>
  <si>
    <t>Mercado Pago, PicPay, Cielo, Stone IP, PagSeguro</t>
  </si>
  <si>
    <t>S1</t>
  </si>
  <si>
    <t>Segmento 1 – Porte sistêmico (&gt; 10% do PIB ou atividade internacional)</t>
  </si>
  <si>
    <t>Itaú, BB, Caixa, Bradesco, Santander</t>
  </si>
  <si>
    <t>S2</t>
  </si>
  <si>
    <t>Segmento 2 – Porte grande (&gt; 1% do PIB)</t>
  </si>
  <si>
    <t>BNDES, BTG Pactual, XP, Safra, Nubank</t>
  </si>
  <si>
    <t>S3</t>
  </si>
  <si>
    <t>Segmento 3 – Porte médio</t>
  </si>
  <si>
    <t>Daycoval, Inter, BRB, BMG, ABC-Brasil</t>
  </si>
  <si>
    <t>S4</t>
  </si>
  <si>
    <t>Segmento 4 – Porte pequeno</t>
  </si>
  <si>
    <t>Bancos regionais pequenos, cooperativas médias</t>
  </si>
  <si>
    <t>S5</t>
  </si>
  <si>
    <t>Segmento 5 – Porte mínimo</t>
  </si>
  <si>
    <t>Cooperativas singulares, SCDs pequenas</t>
  </si>
  <si>
    <t>1</t>
  </si>
  <si>
    <t>Controle Público</t>
  </si>
  <si>
    <t>BB, Caixa, BNB, BNDES, Banrisul, BRB, Banestes</t>
  </si>
  <si>
    <t>2</t>
  </si>
  <si>
    <t>Controle Privado Nacional</t>
  </si>
  <si>
    <t>Itaú, Bradesco, BTG, XP, Nubank, Inter, C6 Bank</t>
  </si>
  <si>
    <t>3</t>
  </si>
  <si>
    <t>Controle Privado Estrangeiro</t>
  </si>
  <si>
    <t>Santander (ES), Citibank (EUA), JP Morgan (EUA), BNP Paribas (FR)</t>
  </si>
  <si>
    <t>Segmento (SR)</t>
  </si>
  <si>
    <t>Controle (TC)</t>
  </si>
  <si>
    <t>Cidade</t>
  </si>
  <si>
    <t>UF</t>
  </si>
  <si>
    <t xml:space="preserve">Ativo Total </t>
  </si>
  <si>
    <t>Carteira de Crédito (R$ mil)</t>
  </si>
  <si>
    <t>TVM (R$ mil)</t>
  </si>
  <si>
    <t>Passivo Exigível (R$ mil)</t>
  </si>
  <si>
    <t>Captações (R$ mil)</t>
  </si>
  <si>
    <t>Patrimônio Líquido (R$ mil)</t>
  </si>
  <si>
    <t>Lucro Líquido (R$ mil)</t>
  </si>
  <si>
    <t>Agências</t>
  </si>
  <si>
    <t>Postos de Atendimento</t>
  </si>
  <si>
    <t>Carteira de Crédito/Ativo Total (%)</t>
  </si>
  <si>
    <t>ROE (%)</t>
  </si>
  <si>
    <t>ITAU</t>
  </si>
  <si>
    <t>Privado Nacional</t>
  </si>
  <si>
    <t>SAO PAULO</t>
  </si>
  <si>
    <t>SP</t>
  </si>
  <si>
    <t>BB</t>
  </si>
  <si>
    <t>Público</t>
  </si>
  <si>
    <t>BRASILIA</t>
  </si>
  <si>
    <t>DF</t>
  </si>
  <si>
    <t>CAIXA</t>
  </si>
  <si>
    <t>BRADESCO</t>
  </si>
  <si>
    <t>OSASCO</t>
  </si>
  <si>
    <t>SANTANDER</t>
  </si>
  <si>
    <t>Privado Estrangeiro</t>
  </si>
  <si>
    <t>BNDES</t>
  </si>
  <si>
    <t>RIO DE JANEIRO</t>
  </si>
  <si>
    <t>RJ</t>
  </si>
  <si>
    <t>BTG PACTUAL</t>
  </si>
  <si>
    <t>XP</t>
  </si>
  <si>
    <t>SAFRA</t>
  </si>
  <si>
    <t>NUBANK</t>
  </si>
  <si>
    <t>BANCO COOPERATIVO SICREDI S.A.</t>
  </si>
  <si>
    <t>PORTO ALEGRE</t>
  </si>
  <si>
    <t>RS</t>
  </si>
  <si>
    <t>BANCO SICOOB</t>
  </si>
  <si>
    <t>REDECARD INSTITUIÇÃO DE PAGAMENTO S.A.</t>
  </si>
  <si>
    <t>CITIBANK</t>
  </si>
  <si>
    <t>BANRISUL</t>
  </si>
  <si>
    <t>C6 BANK</t>
  </si>
  <si>
    <t>VOTORANTIM</t>
  </si>
  <si>
    <t>NU PAGAMENTOS S.A. - INSTITUIÇÃO DE PAGAMENTO</t>
  </si>
  <si>
    <t>CIELO S.A. - INSTITUIÇÃO DE PAGAMENTO</t>
  </si>
  <si>
    <t>NA</t>
  </si>
  <si>
    <t>BARUERI</t>
  </si>
  <si>
    <t>JP MORGAN CHASE</t>
  </si>
  <si>
    <t>DAYCOVAL</t>
  </si>
  <si>
    <t>MERCADO PAGO INSTITUIÇÃO DE PAGAMENTO LTDA.</t>
  </si>
  <si>
    <t>INTER</t>
  </si>
  <si>
    <t>BELO HORIZONTE</t>
  </si>
  <si>
    <t>MG</t>
  </si>
  <si>
    <t>STONE INSTITUIÇÃO DE PAGAMENTO S.A.</t>
  </si>
  <si>
    <t>BANCO DO NORDESTE DO BRASIL S.A.</t>
  </si>
  <si>
    <t>FORTALEZA</t>
  </si>
  <si>
    <t>CE</t>
  </si>
  <si>
    <t>GETNET ADQUIRÊNCIA E SERVIÇOS PARA MEIOS DE PAGAMENTO S.A. INSTITUIÇÃO DE PAGAMENTO</t>
  </si>
  <si>
    <t>PAGSEGURO INTERNET INSTITUIÇÃO DE PAGAMENTO S.A.</t>
  </si>
  <si>
    <t>ABC-BRASIL</t>
  </si>
  <si>
    <t>BANCO DA AMAZONIA S.A.</t>
  </si>
  <si>
    <t>BELEM</t>
  </si>
  <si>
    <t>PA</t>
  </si>
  <si>
    <t>BANCO VOLKSWAGEN S.A.</t>
  </si>
  <si>
    <t>BANCO BNP PARIBAS BRASIL S.A.</t>
  </si>
  <si>
    <t>BANCO RABOBANK INTERNATIONAL BRASIL S.A.</t>
  </si>
  <si>
    <t>PAGBANK-PAGSEGURO</t>
  </si>
  <si>
    <t>AGIBANK</t>
  </si>
  <si>
    <t>CAMPINAS</t>
  </si>
  <si>
    <t>BMG</t>
  </si>
  <si>
    <t>PICPAY - FINANCEIRO</t>
  </si>
  <si>
    <t>MERCANTIL DO BRASIL</t>
  </si>
  <si>
    <t>BANESTES</t>
  </si>
  <si>
    <t>VITORIA</t>
  </si>
  <si>
    <t>ES</t>
  </si>
  <si>
    <t>BOFA MERRILL LYNCH</t>
  </si>
  <si>
    <t>BANCO CLASSICO S.A.</t>
  </si>
  <si>
    <t>PINE</t>
  </si>
  <si>
    <t>BANCO ORIGINAL S.A.</t>
  </si>
  <si>
    <t>BOCOM</t>
  </si>
  <si>
    <t>SALVADOR</t>
  </si>
  <si>
    <t>BA</t>
  </si>
  <si>
    <t>STONE IP - FINANCEIRO</t>
  </si>
  <si>
    <t>COOPERATIVA CENTRAL DE CRÉDITO DE MINAS GERAIS LTDA. - SICOOB CENTRAL CREDIMINAS</t>
  </si>
  <si>
    <t>GOLDMAN SACHS</t>
  </si>
  <si>
    <t>BANCO REGIONAL DE DESENVOLVIMENTO DO EXTREMO SUL</t>
  </si>
  <si>
    <t>STELLANTIS</t>
  </si>
  <si>
    <t>COOPERATIVA CENTRAL DE CRÉDITO DE SANTA CATARINA E RIO GRANDE DO SUL - SICOOB CENTRAL SC/RS</t>
  </si>
  <si>
    <t>FLORIANOPOLIS</t>
  </si>
  <si>
    <t>SC</t>
  </si>
  <si>
    <t>CENTRAL DAS COOPERATIVAS DE ECONOMIA E CREDITO DO ESTADO DE MINAS GERAIS LTDA. - SICOOB CENTRAL CECREMGE</t>
  </si>
  <si>
    <t>PORTO SEGURO</t>
  </si>
  <si>
    <t>BANCO CNH INDUSTRIAL CAPITAL S.A.</t>
  </si>
  <si>
    <t>CURITIBA</t>
  </si>
  <si>
    <t>PR</t>
  </si>
  <si>
    <t>BANCO CSF S.A.</t>
  </si>
  <si>
    <t>MERCADO PAGO IP - FINANCEIRO</t>
  </si>
  <si>
    <t>BANCO FIBRA S.A.</t>
  </si>
  <si>
    <t>CLOUDWALK INSTITUIÇÃO DE PAGAMENTO E SERVICOS LTDA</t>
  </si>
  <si>
    <t>CCB</t>
  </si>
  <si>
    <t>DEUTSCHE BANK S.A. - BANCO ALEMAO</t>
  </si>
  <si>
    <t>BANCO DO ESTADO DO PARÁ S.A.</t>
  </si>
  <si>
    <t>MERCEDES-BENZ</t>
  </si>
  <si>
    <t>SAO BERNARDO DO CAMPO</t>
  </si>
  <si>
    <t>BANCO CRÉDIT AGRICOLE BRASIL S.A.</t>
  </si>
  <si>
    <t>COOPERATIVA CENTRAL DE CRÉDITO DO ESTADO DE SÃO PAULO - SICOOB SÃO PAULO</t>
  </si>
  <si>
    <t>RIBEIRAO PRETO</t>
  </si>
  <si>
    <t>COOPERATIVA DE CREDITO CREDICITRUS</t>
  </si>
  <si>
    <t>BEBEDOURO</t>
  </si>
  <si>
    <t>MORGAN STANLEY</t>
  </si>
  <si>
    <t>BR PARTNERS BANCO DE INVESTIMENTO S.A.</t>
  </si>
  <si>
    <t>SOFISA</t>
  </si>
  <si>
    <t>BANCO GM S.A.</t>
  </si>
  <si>
    <t>COOPERATIVA CENTRAL DE CRÉDITO COM INTERAÇÃO SOLIDÁRIA - CENTRAL CRESOL BASER</t>
  </si>
  <si>
    <t>FRANCISCO BELTRAO</t>
  </si>
  <si>
    <t>COOPERATIVA CENTRAL DE CRÉDITO UNICRED DO BRASIL - UNICRED DO BRASIL</t>
  </si>
  <si>
    <t>COOPERATIVA DE CREDITO VALE DO ITAJAI - VIACREDI</t>
  </si>
  <si>
    <t>BLUMENAU</t>
  </si>
  <si>
    <t>SCOTIABANK</t>
  </si>
  <si>
    <t>BANCO HSBC S.A.</t>
  </si>
  <si>
    <t>BANCO VOLVO BRASIL S.A.</t>
  </si>
  <si>
    <t>UBS (BRASIL)</t>
  </si>
  <si>
    <t>COOPERATIVA DE CRÉDITO, POUPANÇA E INVESTIMENTO DEXIS - SICREDI DEXIS</t>
  </si>
  <si>
    <t>MARINGA</t>
  </si>
  <si>
    <t>BANCO DE DESENVOLVIMENTO DE MINAS GERAIS S.A.-BDMG</t>
  </si>
  <si>
    <t>COOPERATIVA CENTRAL DE CREDITO DO ESPIRITO SANTO - SICOOB CENTRAL ES</t>
  </si>
  <si>
    <t>BANCO MIZUHO DO BRASIL S.A.</t>
  </si>
  <si>
    <t>COOPERATIVA CENTRAL DE CRÉDITO - AILOS</t>
  </si>
  <si>
    <t>BANCO INBURSA S.A.</t>
  </si>
  <si>
    <t>SCANIA BANCO S.A.</t>
  </si>
  <si>
    <t>PARANÁ BANCO</t>
  </si>
  <si>
    <t>COOPERATIVA DE CRÉDITO, POUPANÇA E INVESTIMENTO OURO VERDE - SICREDI OURO VERDE MT/PA</t>
  </si>
  <si>
    <t>LUCAS DO RIO VERDE</t>
  </si>
  <si>
    <t>MT</t>
  </si>
  <si>
    <t>COOPERATIVA DE CRÉDITO CONEXÃO - SICOOB CONEXÃO</t>
  </si>
  <si>
    <t>LINHARES</t>
  </si>
  <si>
    <t>COOPERATIVA DE CRÉDITO, POUPANÇA E INVESTIMENTO VALE DO PIQUIRI ABCD - SICREDI VALE DO PIQUIRI ABCD PR/SP</t>
  </si>
  <si>
    <t>PALOTINA</t>
  </si>
  <si>
    <t>COOPERATIVA DE CRÉDITO, POUPANÇA E INVESTIMENTO CAMPOS GERAIS, GRANDE CURITIBA, VALE DO RIBEIRA E FORÇA DOS VENTOS - SICREDI CAMPOS GERAIS E GRANDE CURITIBA PR/SP</t>
  </si>
  <si>
    <t>PONTA GROSSA</t>
  </si>
  <si>
    <t>COOPERATIVA DE CRÉDITO SICREDI SERRANA RS/ES</t>
  </si>
  <si>
    <t>CARLOS BARBOSA</t>
  </si>
  <si>
    <t>COOPERATIVA DE CRÉDITO, POUPANÇA E INVESTIMENTO VANGUARDA - SICREDI VANGUARDA PR/SP/RJ</t>
  </si>
  <si>
    <t>MEDIANEIRA</t>
  </si>
  <si>
    <t>SICOOB COCRED COOPERATIVA DE CRÉDITO</t>
  </si>
  <si>
    <t>SERTAOZINHO</t>
  </si>
  <si>
    <t>BANCO DO ESTADO DE SERGIPE S.A.</t>
  </si>
  <si>
    <t>ARACAJU</t>
  </si>
  <si>
    <t>SE</t>
  </si>
  <si>
    <t>BANCO TOYOTA DO BRASIL S.A.</t>
  </si>
  <si>
    <t>BANCO DE LAGE LANDEN BRASIL S.A.</t>
  </si>
  <si>
    <t>PICPAY INSTITUIÇÃO DE PAGAMENTO S.A.</t>
  </si>
  <si>
    <t>COOPERATIVA DE CRÉDITO, POUPANÇA E INVESTIMENTO SICREDI PIONEIRA RS - SICREDI PIONEIRA RS</t>
  </si>
  <si>
    <t>NOVA PETROPOLIS</t>
  </si>
  <si>
    <t>BANCO MUFG BRASIL S.A.</t>
  </si>
  <si>
    <t>HONDA</t>
  </si>
  <si>
    <t>COOPERATIVA DE CRÉDITO DE LIVRE ADMISSÃO DE ASSOCIADOS - SICOOB MAXICRÉDITO</t>
  </si>
  <si>
    <t>CHAPECO</t>
  </si>
  <si>
    <t>SISPRIME DO BRASIL - COOPERATIVA DE CRÉDITO</t>
  </si>
  <si>
    <t>LONDRINA</t>
  </si>
  <si>
    <t>ASSOCIACAO DE POUPANCA E EMPRESTIMO - POUPEX</t>
  </si>
  <si>
    <t>SEM PARAR INSTITUICAO DE PAGAMENTO LTDA</t>
  </si>
  <si>
    <t>COOPERATIVA DE CRÉDITO, POUPANÇA E INVESTIMENTO UNIÃO - SICREDI UNIAO RS/ES</t>
  </si>
  <si>
    <t>SANTA ROSA</t>
  </si>
  <si>
    <t>SICOOB CREDICOM - COOPERATIVA DE ECONOMIA E CREDITO MUTUO DOS MEDICOS E PROFISSIONAIS DA AREA DE SAUDE DO BRASIL LTDA.</t>
  </si>
  <si>
    <t>COOPERATIVA DE CRÉDITO, POUPANÇA E INVESTIMENTO DO SUDOESTE MT/PA - SICREDI SUDOESTE MT/PA</t>
  </si>
  <si>
    <t>TANGARA DA SERRA</t>
  </si>
  <si>
    <t>COOPERATIVA DE CRÉDITO DE LIVRE ADMISSÃO CENTRO BRASILEIRA LTDA.</t>
  </si>
  <si>
    <t>GOIANIA</t>
  </si>
  <si>
    <t>GO</t>
  </si>
  <si>
    <t>BANCO DIGIMAIS S.A.</t>
  </si>
  <si>
    <t>FACTA S.A. CFI - FINANCEIRO</t>
  </si>
  <si>
    <t>CENTRAL DAS COOPERATIVAS DE CREDITO UNICOOB - SICOOB CENTRAL UNICOOB</t>
  </si>
  <si>
    <t>COOPERATIVA DE CRÉDITO, POUPANÇA E INVESTIMENTO DO CENTRO SUL DO MATO GROSSO DO SUL E BAHIA - SICREDI CENTRO-SUL MS/BA</t>
  </si>
  <si>
    <t>DOURADOS</t>
  </si>
  <si>
    <t>MS</t>
  </si>
  <si>
    <t>COOPERATIVA CENTRAL DE CRÉDITO DE GOIÁS, DISTRITO FEDERAL E TOCANTINS LTDA. - SICOOB NOVA CENTRAL</t>
  </si>
  <si>
    <t>COOPERATIVA DE CRÉDITO, POUPANÇA E INVESTIMENTO UNIÃO DOS ESTADOS DE MATO GROSSO DO SUL, TOCANTINS E OESTE DA BAHIA - SICREDI UNIÃO MS/TO E OESTE DA BA</t>
  </si>
  <si>
    <t>CAMPO GRANDE</t>
  </si>
  <si>
    <t>BANCO BS2 S.A.</t>
  </si>
  <si>
    <t>CREFISA</t>
  </si>
  <si>
    <t>BANCO SUMITOMO MITSUI BRASILEIRO S.A.</t>
  </si>
  <si>
    <t>CENTRAL SICOOB UNI DE COOPERATIVAS DE CRÉDITO</t>
  </si>
  <si>
    <t>COOPERATIVA DE CRÉDITO, POUPANÇA E INVESTIMENTO UNIÃO DE ESTADOS RIO GRANDE DO SUL, SANTA CATARINA E MINAS GERAIS - SICREDI UNIESTADOS</t>
  </si>
  <si>
    <t>ERECHIM</t>
  </si>
  <si>
    <t>INDUSTRIAL DO BRASIL</t>
  </si>
  <si>
    <t>COOPERATIVA DE CRÉDITO, POUPANÇA E INVESTIMENTO SORRISO - SICREDI CELEIRO MT/RR</t>
  </si>
  <si>
    <t>SORRISO</t>
  </si>
  <si>
    <t>BANCO PACCAR S.A.</t>
  </si>
  <si>
    <t>BANCO SOCIETE GENERALE BRASIL S.A.</t>
  </si>
  <si>
    <t>COOPERATIVA DE CRÉDITO DE LIVRE ADMISSÃO DE ASSOCIADOS SÃO MIGUEL DO OESTE - SICOOB SÃO MIGUEL SC/PR/RS</t>
  </si>
  <si>
    <t>SAO MIGUEL D'OESTE</t>
  </si>
  <si>
    <t>COOPERATIVA DE CRÉDITO E INVESTIMENTO DO SUDOESTE  DA AMAZÔNIA LTDA - SICOOB CREDISUL</t>
  </si>
  <si>
    <t>VILHENA</t>
  </si>
  <si>
    <t>RO</t>
  </si>
  <si>
    <t>COOPERATIVA DE CRÉDITO SUL-SERRANA DO ESPÍRITO SANTO</t>
  </si>
  <si>
    <t>VENDA NOVA DO IMIGRANTE</t>
  </si>
  <si>
    <t>CONFEDERAÇÃO NACIONAL DAS COOPERATIVAS CENTRAIS DE CRÉDITO E ECONOMIA FAMILIAR E SOLIDÁRIA - CRESOL CONFEDERAÇÃO</t>
  </si>
  <si>
    <t>NEON</t>
  </si>
  <si>
    <t>COOPERATIVA DE CRÉDITO, POUPANÇA E INVESTIMENTO PLANALTO - SICREDI PLANALTO RS/MG</t>
  </si>
  <si>
    <t>CRUZ ALTA</t>
  </si>
  <si>
    <t>COOPERATIVA DE CRÉDITO SICOOB METROPOLITANO</t>
  </si>
  <si>
    <t>COOPERATIVA CENTRAL DE CRÉDITO E INVESTIMENTO COM INTERAÇÃO SOLIDÁRIA - CENTRAL CRESOL SICOPER</t>
  </si>
  <si>
    <t>PASSO FUNDO</t>
  </si>
  <si>
    <t>COOPERATIVA CENTRAL DE CRÉDITO DO NORTE DO BRASIL - SICOOB NORTE</t>
  </si>
  <si>
    <t>PORTO VELHO</t>
  </si>
  <si>
    <t>FISERV DO BRASIL  INSTITUIÇÃO DE PAGAMENTO LTDA</t>
  </si>
  <si>
    <t>COOPERATIVA DE CRÉDITO, POUPANÇA E INVESTIMENTO DA REGIÃO DOS VALES - SICREDI REGIÃO DOS VALES RS</t>
  </si>
  <si>
    <t>ENCANTADO</t>
  </si>
  <si>
    <t>HAITONG</t>
  </si>
  <si>
    <t>OMNI</t>
  </si>
  <si>
    <t>COOPERATIVA DE CRÉDITO ALIANÇA - SICREDI ALIANÇA</t>
  </si>
  <si>
    <t>MARAU</t>
  </si>
  <si>
    <t>BANCO TRATON BRASIL S.A.</t>
  </si>
  <si>
    <t>COOPERATIVA DE CRÉDITO, POUPANÇA E INVESTIMENTO NORTE MATO-GROSSENSE E OESTE PARAENSE - SICREDI GRANDES RIOS MT/PA/AM</t>
  </si>
  <si>
    <t>COLIDER</t>
  </si>
  <si>
    <t>COOPERATIVA DE CRÉDITO ARACOOP LTDA. - SICOOB ARACOOP</t>
  </si>
  <si>
    <t>ARAGUARI</t>
  </si>
  <si>
    <t>COOPERATIVA DE CREDITO, POUPANÇA E INVESTIMENTO ALIANÇA - SICREDI ALIANÇA PR/SP</t>
  </si>
  <si>
    <t>MARECHAL CANDIDO RONDON</t>
  </si>
  <si>
    <t>COOPERATIVA DE CRÉDITO SUL DO ESPÍRITO SANTO - SICOOB SUL</t>
  </si>
  <si>
    <t>CACHOEIRO DE ITAPEMIRIM</t>
  </si>
  <si>
    <t>REALIZE SOCIEDADE DE CRÉDITO, FINANCIAMENTO E INVESTIMENTO S.A.</t>
  </si>
  <si>
    <t>COOPERATIVA DE CRÉDITO, POUPANÇA E INVESTIMENTO CONEXÃO - SICREDI CONEXÃO</t>
  </si>
  <si>
    <t>RODEIO BONITO</t>
  </si>
  <si>
    <t>COOPERATIVA DE CRÉDITO DE LIVRE ADMISSÃO DO CENTRO SUL RONDONIENSE - SICOOB CREDIP.</t>
  </si>
  <si>
    <t>PIMENTA BUENO</t>
  </si>
  <si>
    <t>MIDWAY S.A. - SOCIEDADE DE CRÉDITO, FINANCIAMENTO E INVESTIMENTO</t>
  </si>
  <si>
    <t>BANCO CATERPILLAR S.A.</t>
  </si>
  <si>
    <t>COOPERATIVA DE CRÉDITO DE LIVRE ADMISSÃO DE ASSOCIADOS DO VALE DO CANOINHAS - SICOOB CREDICANOINHAS/SC</t>
  </si>
  <si>
    <t>CANOINHAS</t>
  </si>
  <si>
    <t>BANRISUL SOLUÇÕES EM PAGAMENTOS S.A. - INSTITUIÇÃO DE PAGAMENTO</t>
  </si>
  <si>
    <t>COOPERATIVA CENTRAL DE CRÉDITO E ECONOMIA COM INTERAÇÃO SOLIDÁRIA - CRESOL CENTRAL BRASIL</t>
  </si>
  <si>
    <t>COOPERATIVA DE CRÉDITO DO VALE DO ITAJAÍ E LITORAL CATARINENSE - SICREDI VALE LITORAL SC</t>
  </si>
  <si>
    <t>ITAPEMA</t>
  </si>
  <si>
    <t>NEON PAGAMENTOS S.A. - INSTITUIÇÃO DE PAGAMENTO</t>
  </si>
  <si>
    <t>WARREN</t>
  </si>
  <si>
    <t>MAREE INSTITUIÇÃO DE PAGAMENTO LTDA.</t>
  </si>
  <si>
    <t>IFOOD PAGO INSTITUIÇÃO DE PAGAMENTO S.A.</t>
  </si>
  <si>
    <t>COOPERATIVA DE CRÉDITO, POUPANÇA E INVESTIMENTO OURO BRANCO - SICREDI OURO BRANCO RS/MG</t>
  </si>
  <si>
    <t>TEUTONIA</t>
  </si>
  <si>
    <t>GENIAL</t>
  </si>
  <si>
    <t>COOPERATIVA DE CRÉDITO, POUPANÇA E INVESTIMENTO INTERESTADOS - SICREDI INTERESTADOS</t>
  </si>
  <si>
    <t>PELOTAS</t>
  </si>
  <si>
    <t>PEFISA S.A. - CRÉDITO, FINANCIAMENTO E INVESTIMENTO</t>
  </si>
  <si>
    <t>QI</t>
  </si>
  <si>
    <t>COOPERATIVA DE CRÉDITO DE LIVRE ADMISSÃO DO SUDOESTE GOIANO</t>
  </si>
  <si>
    <t>RIO VERDE</t>
  </si>
  <si>
    <t>COOPERATIVA DE CRÉDITO, POUPANÇA E INVESTIMENTO DA REGIÃO ALTOS DA SERRA - SICREDI ALTOS DA SERRA RS/SC</t>
  </si>
  <si>
    <t>TAPEJARA</t>
  </si>
  <si>
    <t>COOPERATIVA DE CRÉDITO, POUPANÇA E INVESTIMENTO DO NORTE E NORDESTE DE SANTA CATARINA - SICREDI NORTE SC</t>
  </si>
  <si>
    <t>JOINVILLE</t>
  </si>
  <si>
    <t>COOPERATIVA DE CRÉDITO, POUPANÇA E INVESTIMENTO FRONTEIRAS DO PARANÁ, SANTA CATARINA E SÃO PAULO - SICREDI FRONTEIRAS PR/SC/SP</t>
  </si>
  <si>
    <t>CAPANEMA</t>
  </si>
  <si>
    <t>COOPERATIVA DE CRÉDITO, POUPANÇA E INVESTIMENTO DAS REGIÕES CENTRO DO RS E MG - SICREDI REGIÃO CENTRO RS/MG</t>
  </si>
  <si>
    <t>SANTA MARIA</t>
  </si>
  <si>
    <t>COOPERATIVA DE CRÉDITO, POUPANÇA E INVESTIMENTO DE LAJEADO - SICREDI INTEGRAÇÃO RS/MG</t>
  </si>
  <si>
    <t>LAJEADO</t>
  </si>
  <si>
    <t>COOPERATIVA DE CRÉDITO COOPERMAIS - SICOOB COOPERMAIS</t>
  </si>
  <si>
    <t>SANTA MARIA DE JETIBA</t>
  </si>
  <si>
    <t>COOPERATIVA DE CRÉDITO E INVESTIMENTO DE LIVRE ADMISSÃO AGROEMPRESARIAL - SICREDI AGROEMPRESARIAL PR/SP</t>
  </si>
  <si>
    <t>MANDAGUARI</t>
  </si>
  <si>
    <t>COOPERATIVA DE CRÉDITO, POUPANÇA E INVESTIMENTO CELEIRO CENTRO OESTE - SICREDI CELEIRO CENTRO OESTE</t>
  </si>
  <si>
    <t>SAO GABRIEL DO OESTE</t>
  </si>
  <si>
    <t>COOPERATIVA DE CRÉDITO DE LIVRE ADMISSÃO DO CENTRO NORTE BRASILEIRO</t>
  </si>
  <si>
    <t>ANAPOLIS</t>
  </si>
  <si>
    <t>NOVO BANCO CONTINENTAL S.A. - BANCO MÚLTIPLO</t>
  </si>
  <si>
    <t>COOPERATIVA DE CRÉDITO, POUPANÇA E INVESTIMENTO SUL RIOGRANDENSE - SICREDI ORIGENS RS</t>
  </si>
  <si>
    <t>COOPERATIVA DE CRÉDITO, POUPANÇA E INVESTIMENTO DO ARAGUAIA E XINGU - SICREDI ARAXINGU</t>
  </si>
  <si>
    <t>CANARANA</t>
  </si>
  <si>
    <t>RENDIMENTO</t>
  </si>
  <si>
    <t>CREDICOAMO CREDITO RURAL COOPERATIVA</t>
  </si>
  <si>
    <t>CAMPO MOURAO</t>
  </si>
  <si>
    <t>COOPERATIVA DE CRÉDITO, POUPANÇA E INVESTIMENTO DA REGIÃO DA PRODUÇÃO - SICREDI REGIÃO DA PRODUÇÃO RS/SC/MG</t>
  </si>
  <si>
    <t>SARANDI</t>
  </si>
  <si>
    <t>COOPERATIVA DE CRÉDITO, POUPANÇA E INVESTIMENTO SOMA PR/SC/SP - SICREDI SOMA</t>
  </si>
  <si>
    <t>MARIOPOLIS</t>
  </si>
  <si>
    <t>COOPERATIVA DE CRÉDITO, POUPANÇA E INVESTIMENTO DE IBIRAIARAS - SICREDI IBIRAIARAS RS/MG</t>
  </si>
  <si>
    <t>IBIRAIARAS</t>
  </si>
  <si>
    <t>BANCO TRIANGULO S.A.</t>
  </si>
  <si>
    <t>UBERLANDIA</t>
  </si>
  <si>
    <t>AGÊNCIA DE FOMENTO DO PARANÁ S.A.</t>
  </si>
  <si>
    <t>COOPERATIVA DE CRÉDITO, POUPANÇA E INVESTIMENTO IGUAÇU - SICREDI IGUAÇU PR/SC E REGIÃO METROPOLITANA DE CAMPINAS/SP</t>
  </si>
  <si>
    <t>SAO JOAO</t>
  </si>
  <si>
    <t>COOPERATIVA DE CRÉDITO UNICRED UNIÃO LTDA - UNICRED UNIÃO</t>
  </si>
  <si>
    <t>ITAJAI</t>
  </si>
  <si>
    <t>COOPERATIVA DE CRÉDITO, POUPANÇA E INVESTIMENTO SICREDI EVOLUÇÃO - SICREDI EVOLUÇÃO</t>
  </si>
  <si>
    <t>JOAO PESSOA</t>
  </si>
  <si>
    <t>PB</t>
  </si>
  <si>
    <t>COOPERATIVA DE CRÉDITO, POUPANÇA E INVESTIMENTO NOVOS HORIZONTES - SICREDI NOVOS HORIZONTES PR/SP/RJ</t>
  </si>
  <si>
    <t>ARAPOTI</t>
  </si>
  <si>
    <t>COOPERATIVA DE CRÉDITO UNICRED VALOR CAPITAL LTDA - UNICRED VALOR CAPITAL</t>
  </si>
  <si>
    <t>COOPERATIVA DE CRÉDITO SICOOB ENGECRED LTDA.</t>
  </si>
  <si>
    <t>DMCARD</t>
  </si>
  <si>
    <t>SAO JOSE DOS CAMPOS</t>
  </si>
  <si>
    <t>COOPERATIVA DE CRÉDITO, POUPANÇA E INVESTIMENTO ESSÊNCIA RS/ES - SICREDI ESSÊNCIA</t>
  </si>
  <si>
    <t>ITAQUI</t>
  </si>
  <si>
    <t>COOPERATIVA DE CRÉDITO, POUPANÇA E INVESTIMENTO UNIVALES - SICREDI UNIVALES MT/RO</t>
  </si>
  <si>
    <t>JUINA</t>
  </si>
  <si>
    <t>COOPERATIVA DE CRÉDITO, POUPANÇA E INVESTIMENTO DO SUL DO ESTADO DE SANTA CATARINA - SICREDI SUL SC</t>
  </si>
  <si>
    <t>CRICIUMA</t>
  </si>
  <si>
    <t>COOPERATIVA DE CRÉDITO, POUPANÇA E INVESTIMENTO VALE DO CERRADO - SICREDI VALE DO CERRADO</t>
  </si>
  <si>
    <t>CAMPO VERDE</t>
  </si>
  <si>
    <t>DLOCAL BRASIL INSTITUIÇÃO DE PAGAMENTO S.A.</t>
  </si>
  <si>
    <t>COOPERATIVA DE CRÉDITO SICOOB PRIMAVERA - SICOOB PRIMAVERA</t>
  </si>
  <si>
    <t>PRIMAVERA DO LESTE</t>
  </si>
  <si>
    <t>DESENVOLVE SP - AGÊNCIA DE FOMENTO DO ESTADO DE SÃO PAULO S.A.</t>
  </si>
  <si>
    <t>BANCO LUSO BRASILEIRO S.A.</t>
  </si>
  <si>
    <t>COOPERATIVA DE CRÉDITO DE LIVRE ADMISSÃO DE ASSOCIADOS DO ALTO URUGUAI CATARINENSE - SICOOB CREDIAUC</t>
  </si>
  <si>
    <t>CONCORDIA</t>
  </si>
  <si>
    <t>COOPERATIVA DE CRÉDITO, POUPANÇA E INVESTIMENTO DO PLANALTO CENTRAL - SICREDI PLANALTO CENTRAL</t>
  </si>
  <si>
    <t>CRISTALINA</t>
  </si>
  <si>
    <t>BANCO CARGILL S.A.</t>
  </si>
  <si>
    <t>COOPERATIVA DE CRÉDITO DE LIVRE ADMISSÃO DO MÉDIO PIRACICABA, CIRCUITO DO OURO, GRANDE BH E RIO GRANDE DO NORTE LTDA. -  SICOOB CREDIMEPI</t>
  </si>
  <si>
    <t>JOAO MONLEVADE</t>
  </si>
  <si>
    <t>COOPERATIVA DE CRÉDITO DE LIVRE ADMISSÃO DO OESTE MINEIRO LTDA. - SICOOB CREDICOPA</t>
  </si>
  <si>
    <t>PATOS DE MINAS</t>
  </si>
  <si>
    <t>ANDBANK</t>
  </si>
  <si>
    <t>BANCO YAMAHA MOTOR DO BRASIL S.A.</t>
  </si>
  <si>
    <t>INTESA SANPAOLO BRASIL S.A. - BANCO MÚLTIPLO</t>
  </si>
  <si>
    <t>OURIBANK S.A. BANCO MÚLTIPLO</t>
  </si>
  <si>
    <t>COOPERATIVA DE CREDITO E INVESTIMENTO COM INTERACAO SOLIDARIA PIONEIRA - CRESOL PIONEIRA</t>
  </si>
  <si>
    <t>DOIS VIZINHOS</t>
  </si>
  <si>
    <t>COOPERATIVA DE CRÉDITO UNICRED CENTRO-SUL LTDA - UNICRED CENTRO-SUL</t>
  </si>
  <si>
    <t>COOPERATIVA DE CRÉDITO, POUPANÇA E INVESTIMENTO INTEGRAÇÃO DE ESTADOS DO RIO GRANDE DO SUL, SANTA CATARINA E MINAS GERAIS - SICREDI INTEGRAÇÃO DE ESTADOS RS/SC/MG</t>
  </si>
  <si>
    <t>BMW</t>
  </si>
  <si>
    <t>BANCO RODOBENS S.A.</t>
  </si>
  <si>
    <t>COOPERATIVA DE CRÉDITO, POUPANÇA E INVESTIMENTO REGIÕES DAS CULTURAS - SICREDI DAS CULTURAS RS/MG</t>
  </si>
  <si>
    <t>IJUI</t>
  </si>
  <si>
    <t>BADESUL DESENVOLVIMENTO S.A - AGÊNCIA DE FOMENTO/RS</t>
  </si>
  <si>
    <t>COOPERFORTE COOPERATIVA DE CRÉDITO E INVESTIMENTOS LTDA</t>
  </si>
  <si>
    <t>COOPERATIVA DE CRÉDITO, POUPANÇA E INVESTIMENTO RAÍZES - SICREDI RAÍZES RS/SC/MG</t>
  </si>
  <si>
    <t>CAMPO NOVO</t>
  </si>
  <si>
    <t>COOPERATIVA DE ECONOMIA E CREDITO MUTUO DOS MEDICOS DE PORTO ALEGRE LTDA-UNICRED PORTO ALEGRE</t>
  </si>
  <si>
    <t>COOPERATIVA DE CREDITO CREDIROCHAS - SICOOB CREDIROCHAS</t>
  </si>
  <si>
    <t>VÓRTX</t>
  </si>
  <si>
    <t>COOPERATIVA DE CRÉDITO, POUPANÇA E INVESTIMENTO CENTRO SUL - SICREDI CENTRO SUL PR/SC/RJ</t>
  </si>
  <si>
    <t>PRUDENTOPOLIS</t>
  </si>
  <si>
    <t>COOPERATIVA DE CRÉDITO AGROCREDI LTDA. - SICOOB AGROCREDI</t>
  </si>
  <si>
    <t>GUAXUPE</t>
  </si>
  <si>
    <t>COOPERATIVA DE CRÉDITO CREDIVAR LTDA. - SICOOB CREDIVAR</t>
  </si>
  <si>
    <t>VARGINHA</t>
  </si>
  <si>
    <t>COOPERATIVA DE CRÉDITO, POUPANÇA E INVESTIMENTO BOTUCARAÍ - SICREDI BOTUCARAÍ RS/MG</t>
  </si>
  <si>
    <t>SOLEDADE</t>
  </si>
  <si>
    <t>COOPERATIVA DE CRÉDITO SICOOB VALE SUL</t>
  </si>
  <si>
    <t>COOPERATIVA DE CRÉDITO, POUPANÇA E INVESTIMENTO PROGRESSO - SICREDI PROGRESSO PR/SP</t>
  </si>
  <si>
    <t>TOLEDO</t>
  </si>
  <si>
    <t>CREDSYSTEM INSTITUIÇÃO DE PAGAMENTO LTDA</t>
  </si>
  <si>
    <t>COOPERATIVA DE CRÉDITO, POUPANÇA E INVESTIMENTO DE CAMPO GRANDE E REGIÃO - SICREDI CAMPO GRANDE MS/GO</t>
  </si>
  <si>
    <t>99PAY INSTITUICAO DE PAGAMENTO S.A.</t>
  </si>
  <si>
    <t>BBVA BRASIL BANCO DE INVESTIMENTO S.A.</t>
  </si>
  <si>
    <t>COOPERATIVA DE CRÉDITO, POUPANÇA E INVESTIMENTO INTEGRAÇÃO DO SUL DE MATO GROSSO, AMAPÁ E PARÁ - SICREDI INTEGRAÇÃO MT/AP/PA</t>
  </si>
  <si>
    <t>RONDONOPOLIS</t>
  </si>
  <si>
    <t>COOPERATIVA DE CRÉDITO, POUPANÇA E INVESTIMENTO CAMINHO DAS ÁGUAS RS - SICREDI CAMINHO DAS ÁGUAS RS</t>
  </si>
  <si>
    <t>ROLANTE</t>
  </si>
  <si>
    <t>COOPERATIVA DE CRÉDITO, POUPANÇA E INVESTIMENTO DO CERRADO DE GOIÁS - SICREDI CERRADO GO</t>
  </si>
  <si>
    <t>ADYEN DO BRASIL INSTITUICAO DE PAGAMENTO LTDA.</t>
  </si>
  <si>
    <t>COOPERATIVA DE CRÉDITO, POUPANÇA E INVESTIMENTO PARANAPANEMA SERRANA PR/SP/RJ - SICREDI PARANAPANEMA SERRANA PR/SP/RJ</t>
  </si>
  <si>
    <t>CAMBARA</t>
  </si>
  <si>
    <t>COOPERATIVA DE CRÉDITO DE LIVRE ADMISSÃO DE ASSOCIADOS SUL CATARINENSE - SICOOB CREDISULCA SC</t>
  </si>
  <si>
    <t>TURVO</t>
  </si>
  <si>
    <t>COOPERATIVA DE CRÉDITO, POUPANÇA E INVESTIMENTO RIO PARANÁ - SICREDI RIO PARANÁ</t>
  </si>
  <si>
    <t>NOVA LONDRINA</t>
  </si>
  <si>
    <t>CREDISIS - CENTRAL DE COOPERATIVAS DE CRÉDITO</t>
  </si>
  <si>
    <t>JI-PARANA</t>
  </si>
  <si>
    <t>COOPERATIVA DE CREDITO DE LIVRE ADMISSÃO DO SUL DE MINAS LTDA - SICOOB CREDIVASS</t>
  </si>
  <si>
    <t>SAO GONCALO DO SAPUCAI</t>
  </si>
  <si>
    <t>CORA SOCIEDADE DE CRÉDITO, FINANCIAMENTO E INVESTIMENTO S.A.</t>
  </si>
  <si>
    <t>COOPERATIVA DE CRÉDITO SICOOB OURO VERDE</t>
  </si>
  <si>
    <t>COOPERATIVA DE CRÉDITO DE LIVRE ADMISSÃO DO PONTAL DO TRIANGULO LTDA - SICOOB CREDIPONTAL</t>
  </si>
  <si>
    <t>ITUIUTABA</t>
  </si>
  <si>
    <t>BANCO KDB DO BRASIL S.A.</t>
  </si>
  <si>
    <t>COOPERATIVA DE CRÉDITO ROTA DAS TERRAS - SICREDI   ROTA DAS TERRAS</t>
  </si>
  <si>
    <t>TAPERA</t>
  </si>
  <si>
    <t>ASA SOCIEDADE DE CRÉDITO FINANCIAMENTO E INVESTIMENTO S.A.</t>
  </si>
  <si>
    <t>COOPERATIVA DE CRÉDITO DE LIVRE ADMISSÃO DE ASSOCIADOS DO VALE DO VINHO - SICOOB VALE DO VINHO</t>
  </si>
  <si>
    <t>VIDEIRA</t>
  </si>
  <si>
    <t>COOPERATIVA DE CRÉDITO, POUPANÇA E INVESTIMENTO TERRA DOS PINHEIRAIS DO PARANÁ E NOROESTE PAULISTA - SICREDI PLANALTO DAS ÁGUAS PR/SP</t>
  </si>
  <si>
    <t>GUARAPUAVA</t>
  </si>
  <si>
    <t>ASAAS GESTÃO FINANCEIRA INSTITUIÇÃO DE PAGAMENTO S.A.</t>
  </si>
  <si>
    <t>BANCO BRASILEIRO DE CRÉDITO SOCIEDADE ANÔNIMA</t>
  </si>
  <si>
    <t>COOPERATIVA DE CRÉDITO, POUPANÇA E INVESTIMENTO NORTE SUL - SICREDI NORTE SUL</t>
  </si>
  <si>
    <t>SANTO ANTONIO DA PLATINA</t>
  </si>
  <si>
    <t>COOPERATIVA DE CRÉDITO E INVESTIMENTO COM INTERAÇÃO SOLIDÁRIA FRONTEIRAS PR/SC/SP/ES - CRESOL FRONTEIRAS PR/SC/SP/ES</t>
  </si>
  <si>
    <t>REALEZA</t>
  </si>
  <si>
    <t>COOPERATIVA DE CRÉDITO, POUPANÇA E INVESTIMENTO SUL MINAS DO RIO GRANDE DO SUL E MINAS GERAIS - SICREDI SUL MINAS RS/MG.</t>
  </si>
  <si>
    <t>ESTACAO</t>
  </si>
  <si>
    <t>COOPERATIVA DE CRÉDITO, POUPANÇA E INVESTIMENTO NOSSA TERRA - SICREDI NOSSA TERRA PR/SP</t>
  </si>
  <si>
    <t>CAFELANDIA</t>
  </si>
  <si>
    <t>COOPERATIVA CENTRAL DE ECONOMIA E CRÉDITO SICOOB UNIMAIS RIO LTDA.</t>
  </si>
  <si>
    <t>COOPERATIVA DE CRÉDITO, POUPANÇA E INVESTIMENTO DO NOROESTE DE MATO GROSSO, ACRE E AMAZONAS - SICREDI BIOMAS</t>
  </si>
  <si>
    <t>ARAPUTANGA</t>
  </si>
  <si>
    <t>COOPERATIVA DE CRÉDITO, POUPANÇA E INVESTIMENTO CONFIANÇA - SICREDI CONFIANÇA</t>
  </si>
  <si>
    <t>TRES DE MAIO</t>
  </si>
  <si>
    <t>COOPERATIVA DE CRÉDITO E INVESTIMENTO COM INTERAÇÃO SOLIDÁRIA RAIZ - CRESOL RAIZ</t>
  </si>
  <si>
    <t>FREDERICO WESTPHALEN</t>
  </si>
  <si>
    <t>INTER PAG INSTITUIÇÃO DE PAGAMENTO S.A.</t>
  </si>
  <si>
    <t>COOPERATIVA DE CRÉDITO, POUPANÇA E INVESTIMENTO DO VALE DO RIO PARDO - SICREDI VALE DO RIO PARDO RS</t>
  </si>
  <si>
    <t>SANTA CRUZ DO SUL</t>
  </si>
  <si>
    <t>COOPERATIVA DE CRÉDITO DE LIVRE ADMISSÃO DE ASSOCIADOS AURIVERDE -  SICOOB - CREDIAL SC/RS</t>
  </si>
  <si>
    <t>CUNHA PORA</t>
  </si>
  <si>
    <t>ABN AMRO</t>
  </si>
  <si>
    <t>COOPERATIVA DE CREDITO DE LIVRE ADMISSÃO DE ASSOCIADOS ITAIPU SICOOB CREDITAIPU</t>
  </si>
  <si>
    <t>PINHALZINHO</t>
  </si>
  <si>
    <t>COOPERATIVA DE CRÉDITO GERAÇÕES - SICREDI GERAÇÕES RS/MG</t>
  </si>
  <si>
    <t>CACHOEIRA DO SUL</t>
  </si>
  <si>
    <t>SUMUP INSTITUICAO DE PAGAMENTO BRASIL LTDA</t>
  </si>
  <si>
    <t>COOPERATIVA DE CRÉDITO LITORÂNEA</t>
  </si>
  <si>
    <t>JACINTO MACHADO</t>
  </si>
  <si>
    <t>COOPERATIVA CENTRAL DE CRÉDITO, POUPANÇA E INVESTIMENTO DO SUL E SUDESTE - CENTRAL SICREDI SUL/SUDESTE</t>
  </si>
  <si>
    <t>COOPERATIVA DE CRÉDITO SUL - SICOOB SUL</t>
  </si>
  <si>
    <t>PAYPAL DO BRASIL INSTITUIÇÃO DE PAGAMENTO LTDA.</t>
  </si>
  <si>
    <t>BANCO AFINZ S.A. - BANCO MÚLTIPLO</t>
  </si>
  <si>
    <t>SOROCABA</t>
  </si>
  <si>
    <t>COOPERATIVA DE CRÉDITO, POUPANÇA E INVESTIMENTO SEMENTES DO SUL - SICREDI SEMENTES DO SUL</t>
  </si>
  <si>
    <t>ESPUMOSO</t>
  </si>
  <si>
    <t>COOPERATIVA DE CRÉDITO DOS TRANSPORTES, CORREIOS E LOGÍSTICA DO BRASIL - TRANSPOCRED</t>
  </si>
  <si>
    <t>COOPERATIVA DE CRÉDITO PRO</t>
  </si>
  <si>
    <t>GUARIBA</t>
  </si>
  <si>
    <t>COOPERATIVA DE CRÉDITO, POUPANÇA E INVESTIMENTO CENTRO SERRA - SICREDI CENTRO SERRA RS</t>
  </si>
  <si>
    <t>AGUDO</t>
  </si>
  <si>
    <t>COOPERATIVA DE CRÉDITO DE EMPRESÁRIOS - SICOOB/TRANSCREDI</t>
  </si>
  <si>
    <t>BANCO RANDON S.A.</t>
  </si>
  <si>
    <t>CAXIAS DO SUL</t>
  </si>
  <si>
    <t>COOPERATIVA DE CRÉDITO E INVESTIMENTO COM INTERAÇÃO SOLIDÁRIA DO VALE EUROPEU - CRESOL VALE EUROPEU</t>
  </si>
  <si>
    <t>AGUAS MORNAS</t>
  </si>
  <si>
    <t>DOCK INSTITUIÇÃO DE PAGAMENTO S.A.</t>
  </si>
  <si>
    <t>BARIGUI</t>
  </si>
  <si>
    <t>COOPERATIVA DE CRÉDITO DE LIVRE ADMISSÃO DO VALE - SICOOB CREDIVALE/SC</t>
  </si>
  <si>
    <t>BRACO DO NORTE</t>
  </si>
  <si>
    <t>COOPERATIVA DE CRÉDITO DE LIVRE ADMISSÃO DA REGIÃO CENTRAL E OESTE MINEIRO LTDA. - SICOOB DIVICRED</t>
  </si>
  <si>
    <t>DIVINOPOLIS</t>
  </si>
  <si>
    <t>COOPERATIVA DE CRÉDITO SUL-LITORÂNEA DO ESPÍRITO SANTO</t>
  </si>
  <si>
    <t>ALFREDO CHAVES</t>
  </si>
  <si>
    <t>S3 CACEIS BRASIL DISTRIBUIDORA DE TÍTULOS E VALORES MOBILIÁRIOS S.A.</t>
  </si>
  <si>
    <t>BRASIL CARD INSTITUIÇÃO DE PAGAMENTOS LTDA</t>
  </si>
  <si>
    <t>MONTE BELO</t>
  </si>
  <si>
    <t>CENTRAL DAS COOPERATIVAS DE CRÉDITO DOS ESTADOS DE MATO GROSSO, MATO GROSSO DO SUL E DO MUNICÍPIO DE CACOAL/RO - SICOOB CENTRAL RONDON</t>
  </si>
  <si>
    <t>CUIABA</t>
  </si>
  <si>
    <t>COOPERATIVA DE CRÉDITO DE LIVRE ADMISSÃO DA UNIÃO DOS VALES DO PIRANGA E MATIPÓ LTDA. - SICOOB UNIÃO DOS VALES</t>
  </si>
  <si>
    <t>RAUL SOARES</t>
  </si>
  <si>
    <t>COOPERATIVA DE CRÉDITO, POUPANÇA E INVESTIMENTO DA REGIÃO CENTRO OESTE PAULISTA - SICREDI CENTRO OESTE PAULISTA</t>
  </si>
  <si>
    <t>MARILIA</t>
  </si>
  <si>
    <t>COOPERATIVA DE CRÉDITO, POUPANÇA E INVESTIMENTO GRANDES LAGOS DO PARANÁ E LITORAL PAULISTA - SICREDI GRANDES LAGOS PR/SP</t>
  </si>
  <si>
    <t>LARANJEIRAS DO SUL</t>
  </si>
  <si>
    <t>FLASH TECNOLOGIA E  INSTITUICAO DE PAGAMENTO LTDA</t>
  </si>
  <si>
    <t>COOPERATIVA DE CRÉDITO DOS MÉDICOS, PROFISSIONAIS DA SAÚDE E EMPRESÁRIOS - UNICRED RAÍZES</t>
  </si>
  <si>
    <t>COOPERATIVA DE CRÉDITO CREDILIVRE LTDA. - SICOOB CREDILIVRE</t>
  </si>
  <si>
    <t>MANHUACU</t>
  </si>
  <si>
    <t>COOPERATIVA DE CRÉDITO E INVESTIMENTO COM INTERAÇÃO SOLIDÁRIA TRADIÇÃO - CRESOL TRADIÇÃO</t>
  </si>
  <si>
    <t>COOPERATIVA DE CRÉDITO - SICREDI EXPANSÃO</t>
  </si>
  <si>
    <t>MACEIO</t>
  </si>
  <si>
    <t>AL</t>
  </si>
  <si>
    <t>COOPERATIVA DE CRÉDITO, POUPANÇA E INVESTIMENTO DO RIO GRANDE DO NORTE - SICREDI RIO GRANDE DO NORTE</t>
  </si>
  <si>
    <t>NATAL</t>
  </si>
  <si>
    <t>RN</t>
  </si>
  <si>
    <t>COOPERATIVA DE CRÉDITO UNICRED DESBRAVADORA LTDA - UNICRED DESBRAVADORA</t>
  </si>
  <si>
    <t>COOPERATIVA DE CRÉDITO, POUPANÇA E INVESTIMENTO INTEGRAÇÃO - SICREDI INTEGRAÇÃO PR/SC</t>
  </si>
  <si>
    <t>LAPA</t>
  </si>
  <si>
    <t>COOPERATIVA DE CRÉDITO DE LIVRE ADMISSÃO DE ASSOCIADOS OESTE CATARINENSE</t>
  </si>
  <si>
    <t>PALMITOS</t>
  </si>
  <si>
    <t>COOPERATIVA DE CRÉDITO DA REGIÃO MERIDIONAL DO BRASIL - SICOOB UNICOOB MERIDIONAL</t>
  </si>
  <si>
    <t>COOPERATIVA DE CRÉDITO DE LIVRE ADMISSÃO DA REGIÃO DO CIRCUITO CAMPOS DAS VERTENTES LTDA - SICOOB COPERMEC</t>
  </si>
  <si>
    <t>CLAUDIO</t>
  </si>
  <si>
    <t>COOPERATIVA DE CRÉDITO DO NORTE CATARINENSE E SUL PARANAENSE - SICOOB CREDINORTE</t>
  </si>
  <si>
    <t>MAFRA</t>
  </si>
  <si>
    <t>COOPERATIVA DE CRÉDITO, POUPANÇA E INVESTIMENTO VALOR SUSTENTÁVEL - SICREDI VALOR SUSTENTÁVEL PR/SP</t>
  </si>
  <si>
    <t>JANDAIA DO SUL</t>
  </si>
  <si>
    <t>COOPERATIVA DE CRÉDITO DE LIVRE ADMISSÃO DA ZONA DA MATA LTDA   SICOOB COOPEMATA</t>
  </si>
  <si>
    <t>CATAGUASES</t>
  </si>
  <si>
    <t>MAGALUPAY INSTITUIÇÃO DE PAGAMENTO S.A.</t>
  </si>
  <si>
    <t>COOPERATIVA DE CRÉDITO DE LIVRE ADMISSÃO DO ALTO VALE DO ITAJAÍ - VIACREDI ALTO VALE</t>
  </si>
  <si>
    <t>IBIRAMA</t>
  </si>
  <si>
    <t>COOPERATIVA DE CRÉDITO E INVESTIMENTO COM INTERAÇÃO SOLIDÁRIA CENTRO SUL - CRESOL CENTRO SUL</t>
  </si>
  <si>
    <t>COOPERATIVA DE CRÉDITO E INVESTIMENTO COM INTERAÇÃO SOLIDÁRIA UNIÃO DOS VALES - CRESOL UNIÃO DOS VALES</t>
  </si>
  <si>
    <t>IVAIPORA</t>
  </si>
  <si>
    <t>CENTRAL DAS COOPERATIVAS DE CRÉDITO DO ESTADO DE SÃO PAULO - SICOOB CENTRAL CECRESP</t>
  </si>
  <si>
    <t>COOPERATIVA DE CRÉDITO E ECONOMIA COM INTERAÇÃO SOLIDÁRIA - CRESOL NOROESTE</t>
  </si>
  <si>
    <t>CONSTANTINA</t>
  </si>
  <si>
    <t>COOPERATIVA DE CRÉDITO COCRE</t>
  </si>
  <si>
    <t>PIRACICABA</t>
  </si>
  <si>
    <t>BANCO DE DESENVOLVIMENTO DO ESPIRITO SANTO S.A.</t>
  </si>
  <si>
    <t>AGÊNCIA DE FOMENTO DO ESTADO DE SANTA CATARINA S.A.-BADESC</t>
  </si>
  <si>
    <t>COOPERATIVA DE CRÉDITO, POUPANÇA E INVESTIMENTO VALE DO JAGUARI E ZONA DA MATA - SICREDI VALE DO JAGUARI E ZONA DA MATA RS/MG</t>
  </si>
  <si>
    <t>SANTIAGO</t>
  </si>
  <si>
    <t>BANCO PAULISTA S.A.</t>
  </si>
  <si>
    <t>MONEY PLUS</t>
  </si>
  <si>
    <t>EBANX INSTITUICAO DE PAGAMENTOS LTDA.</t>
  </si>
  <si>
    <t>COOPERATIVA DE CRÉDITO ALTO VALE DO ITAJAÍ - SICOOB ALTO VALE</t>
  </si>
  <si>
    <t>RIO DO SUL</t>
  </si>
  <si>
    <t>COOPERATIVA DE CREDITO CREDICERIPA - SICOOB CREDICERIPA</t>
  </si>
  <si>
    <t>ITAI</t>
  </si>
  <si>
    <t>COOPERATIVA DE ECONOMIA E CRÉDITO MÚTUO UNICRED PREMIUM CAPITAL - UNICRED PREMIUM CAPITAL</t>
  </si>
  <si>
    <t>SICOOB MANTIQUEIRA - COOPERATIVA DE CRÉDITO DE LIVRE ADMISSÃO</t>
  </si>
  <si>
    <t>TAUBATE</t>
  </si>
  <si>
    <t>PAGUEVELOZ INSTITUIÇÃO DE PAGAMENTO LTDA.</t>
  </si>
  <si>
    <t>COOPERATIVA CENTRAL DE CRÉDITO, POUPANÇA E INVESTIMENTO DOS ESTADOS DO PARANÁ, SÃO PAULO E RIO DE JANEIRO - CENTRAL SICREDI PR/SP/RJ</t>
  </si>
  <si>
    <t>SICREDI VEREDAS COOPERATIVA DE CREDITO</t>
  </si>
  <si>
    <t>COOPERATIVA CENTRAL DE CRÉDITO DA BAHIA LTDA - SICOOB CENTRAL BA</t>
  </si>
  <si>
    <t>COOPERATIVA DE CRÉDITO CREDIGUAÇU - SICOOB CREDIGUAÇU</t>
  </si>
  <si>
    <t>DESCALVADO</t>
  </si>
  <si>
    <t>BANCO TOPÁZIO S.A.</t>
  </si>
  <si>
    <t>CREDISIS PRIMACREDI COOPERATIVA DE CRÉDITO</t>
  </si>
  <si>
    <t>HPE FINANCIAL SERVICES ARRENDAMENTO MERCANTIL S.A.</t>
  </si>
  <si>
    <t>COOPERATIVA DE CRÉDITO DE LIVRE ADMISSÃO DA REGIÃO METROPOLITANA DE GOIÂNIA LTDA.</t>
  </si>
  <si>
    <t>COOPERATIVA DE CRÉDITO DE LIVRE ADMISSÃO DE ASSOCIADOS DO PLANALTO CATARINENSE SICOOB CREDIPLANALTO SC/RS</t>
  </si>
  <si>
    <t>PAPANDUVA</t>
  </si>
  <si>
    <t>COOPERATIVA DE CRÉDITO UNICRED EVOLUÇÃO LTDA. - UNICRED EVOLUÇÃO</t>
  </si>
  <si>
    <t>COOPERATIVA DE CRÉDITO DE LIVRE ADMISSÃO SICOOB ARENITO PARANÁ / SÃO PAULO</t>
  </si>
  <si>
    <t>UMUARAMA</t>
  </si>
  <si>
    <t>COOPERATIVA DE CRÉDITO E INVESTIMENTO LIBERDADE - SICREDI LIBERDADE</t>
  </si>
  <si>
    <t>BAGE</t>
  </si>
  <si>
    <t>COOPERATIVA DE CRÉDITO DE LIVRE ADMISSÃO DA PARAÍBA - SICOOB PARAÍBA</t>
  </si>
  <si>
    <t>CAMPINA GRANDE</t>
  </si>
  <si>
    <t>COOPERATIVA DE CRÉDITO DA AMAZÔNIA - SICOOB AMAZÔNIA</t>
  </si>
  <si>
    <t>BURITIS</t>
  </si>
  <si>
    <t>LEASEPLAN ARRENDAMENTO MERCANTIL S.A.</t>
  </si>
  <si>
    <t>CLOUDWALK FINANCEIRA S.A. CRÉDITO, FINANCIAMENTO E INVESTIMENTO</t>
  </si>
  <si>
    <t>AFINZ INSTITUIÇÃO DE PAGAMENTO S.A.</t>
  </si>
  <si>
    <t>COOPERATIVA DE CRÉDITO E INVESTIMENTO COM INTERAÇÃO SOLIDÁRIA UNIÃO - CRESOL UNIÃO</t>
  </si>
  <si>
    <t>CORONEL VIVIDA</t>
  </si>
  <si>
    <t>STATE STREET BRASIL S.A. - BANCO COMERCIAL</t>
  </si>
  <si>
    <t>COOPERATIVA DE CRÉDITO UNICRED DO ESTADO DE SÃO PAULO LTDA.</t>
  </si>
  <si>
    <t>COOPERATIVA DE ECONOMIA E CRÉDITO MÚTUO UNICRED INTEGRAÇÃO LTDA.</t>
  </si>
  <si>
    <t>CAIXA GERAL</t>
  </si>
  <si>
    <t>RECARGAPAY INSTITUICAO DE PAGAMENTO LTDA.</t>
  </si>
  <si>
    <t>COOPERATIVA DE CRÉDITO SAROM</t>
  </si>
  <si>
    <t>SAO ROQUE DE MINAS</t>
  </si>
  <si>
    <t>COOPERATIVA DE CRÉDITO CREDICOCAPEC</t>
  </si>
  <si>
    <t>FRANCA</t>
  </si>
  <si>
    <t>BANCO RIBEIRAO PRETO S.A.</t>
  </si>
  <si>
    <t>COOPERATIVA DE CRÉDITO E INVESTIMENTO SICOOB CENTRO</t>
  </si>
  <si>
    <t>COOPERATIVA DE CRÉDITO UNICRED VALE LTDA - UNICRED VALE</t>
  </si>
  <si>
    <t>COOPERATIVA DE CRÉDITO COOPACREDI LTDA. - SICOOB COOPACREDI</t>
  </si>
  <si>
    <t>PATROCINIO</t>
  </si>
  <si>
    <t>COOPERATIVA DE CRÉDITO INTEGRADO - SICOOB INTEGRADO</t>
  </si>
  <si>
    <t>PATO BRANCO</t>
  </si>
  <si>
    <t>QISTA S.A. - CRÉDITO, FINANCIAMENTO E INVESTIMENTO</t>
  </si>
  <si>
    <t>ICBC DO BRASIL BANCO MÚLTIPLO S.A.</t>
  </si>
  <si>
    <t>CENTRAL DAS COOPERATIVAS DE CRÉDITO DO NORDESTE - SICOOB CENTRAL NE</t>
  </si>
  <si>
    <t>BANCO MONEO S.A.</t>
  </si>
  <si>
    <t>COOPERATIVA DE CRÉDITO COOPERAÇÃO - SICREDI COOPERAÇÃO</t>
  </si>
  <si>
    <t>NAO-ME-TOQUE</t>
  </si>
  <si>
    <t>COOPERATIVA DE ECONOMIA E CRÉDITO MÚTUO UNICRED ELEVA LTDA.</t>
  </si>
  <si>
    <t>SANTO ANGELO</t>
  </si>
  <si>
    <t>COOPERATIVA DE CREDITO CREDISUDESTE LTDA. - SICOOB CREDISUDESTE</t>
  </si>
  <si>
    <t>MURIAE</t>
  </si>
  <si>
    <t>COOPERATIVA DE CRÉDITO DE LIVRE ADMISSÃO DE ITAÚNA E REGIÃO LTDA - SICOOB CENTRO-OESTE</t>
  </si>
  <si>
    <t>ITAUNA</t>
  </si>
  <si>
    <t>COOPERATIVA DE CRÉDITO E INVESTIMENTO COM INTERAÇÃO SOLIDÁRIA DA AMAZÔNIA - CRESOL AMAZÔNIA</t>
  </si>
  <si>
    <t>COOPERATIVA DE CRÉDITO CREDIVERTENTES LTDA. - SICOOB CREDIVERTENTES</t>
  </si>
  <si>
    <t>SAO TIAGO</t>
  </si>
  <si>
    <t>COOPERATIVA DE CRÉDITO E INVESTIMENTO COM INTERAÇÃO SOLIDÁRIA INTEGRAÇÃO - CRESOL INTEGRAÇÃO</t>
  </si>
  <si>
    <t>COOPERATIVA DE CRÉDITO, CAPTAÇÃO, POUPANÇA E SOLUÇÕES FINANCEIRAS SICOOB CREDICAPITAL</t>
  </si>
  <si>
    <t>CASCAVEL</t>
  </si>
  <si>
    <t>COOPERATIVA DE CRÉDITO CREDINOR LTDA - SICOOB CREDINOR</t>
  </si>
  <si>
    <t>MONTES CLAROS</t>
  </si>
  <si>
    <t>COOPERATIVA DE CRÉDITO CREDICAF LTDA - SICOOB CREDICAF</t>
  </si>
  <si>
    <t>LAJINHA</t>
  </si>
  <si>
    <t>COOPERATIVA DE CRÉDITO DE LIVRE ADMISSÃO DE ASSOCIADOS - SICOOB CREDICARU SC/RS</t>
  </si>
  <si>
    <t>SAO JOSE DO CERRITO</t>
  </si>
  <si>
    <t>CHG-MERIDIAN DO BRASIL ARRENDAMENTO MERCANTIL S.A.</t>
  </si>
  <si>
    <t>STARA FINANCEIRA S.A. - CRÉDITO FINANCIAMENTO E INVESTIMENTO</t>
  </si>
  <si>
    <t>COOPERATIVA DE CRÉDITO CREDINTER LTDA. - SICOOB CREDINTER</t>
  </si>
  <si>
    <t>GUARANESIA</t>
  </si>
  <si>
    <t>COOPERATIVA DE CRÉDITO E INVESTIMENTO COM INTERAÇÃO SOLIDÁRIA VANGUARDA - CRESOL VANGUARDA</t>
  </si>
  <si>
    <t>COOPERATIVA DE CRÉDITO DE LIVRE ADMISSÃO DO NORTE DE MATO GROSSO - SICOOB NORTE MT</t>
  </si>
  <si>
    <t>SINOP</t>
  </si>
  <si>
    <t>COOPERATIVA DE POUPANÇA E CRÉDITO DO VALE DO RIO DOCE LTDA - SICOOB CREDIRIODOCE</t>
  </si>
  <si>
    <t>GOVERNADOR VALADARES</t>
  </si>
  <si>
    <t>COOPERATIVA DE CRÉDITO CREDCOOPER LTDA - SICOOB CREDCOOPER</t>
  </si>
  <si>
    <t>CARATINGA</t>
  </si>
  <si>
    <t>WISE BRASIL INSTITUICAO DE PAGAMENTO LTDA</t>
  </si>
  <si>
    <t>BANCO KOMATSU DO BRASIL S.A.</t>
  </si>
  <si>
    <t>COOPERATIVA DE CRÉDITO, POUPANÇA E INVESTIMENTO DO NOROESTE DO ESTADO DE SÃO PAULO - SICREDI NOROESTE SP</t>
  </si>
  <si>
    <t>SAO JOSE DO RIO PRETO</t>
  </si>
  <si>
    <t>COOPERATIVA DE CRÉDITO DE LIVRE ADMISSÃO TRÊS FRONTEIRAS - SICOOB TRÊS FRONTEIRAS</t>
  </si>
  <si>
    <t>FOZ DO IGUACU</t>
  </si>
  <si>
    <t>BANCO KEB HANA DO BRASIL S.A.</t>
  </si>
  <si>
    <t>COOPERATIVA DE CRÉDITO DE LIVRE ADMISSÃO DE ASSOCIADOS ITAPIRANGA - SICOOB CREDITAPIRANGA SC/RS</t>
  </si>
  <si>
    <t>ITAPIRANGA</t>
  </si>
  <si>
    <t>BANCO ARBI S.A.</t>
  </si>
  <si>
    <t>COOPERATIVA DE CRÉDITO DE LIVRE ADMISSÃO DE ASSOCIADOS VALE DO CHAPECOZINHO - SICOOB VALCREDI SUL</t>
  </si>
  <si>
    <t>PASSOS MAIA</t>
  </si>
  <si>
    <t>COOPERATIVA DE CRÉDITO NOSSOCRÉDITO LTDA - SICOOB NOSSOCRÉDITO</t>
  </si>
  <si>
    <t>SAO SEBASTIAO DO PARAISO</t>
  </si>
  <si>
    <t>AGROLEND SOCIEDADE DE CREDITO, FINANCIAMENTO E INVESTIMENTO S.A.</t>
  </si>
  <si>
    <t>COOPERATIVA DE CRÉDITO DE LIVRE ADMISSÃO DE ASSOCIADOS NOVA TRENTO   SICOOB TRENTOCREDI SC</t>
  </si>
  <si>
    <t>NOVA TRENTO</t>
  </si>
  <si>
    <t>COOPERATIVA DE CRÉDITO E ECONOMIA COM INTERAÇÃO SOLIDÁRIA DO PLANALTO SERRA SUL DO RIO GRANDE DO SUL - CRESOL PLANALTO SERRA SUL</t>
  </si>
  <si>
    <t>SANANDUVA</t>
  </si>
  <si>
    <t>BANCO B3 S.A.</t>
  </si>
  <si>
    <t>COOPERATIVA DE CRÉDITO E INVESTIMENTO COM INTERAÇÃO SOLIDÁRIA TRIUNFO - CRESOL TRIUNFO</t>
  </si>
  <si>
    <t>SAO JOAO DO TRIUNFO</t>
  </si>
  <si>
    <t>COOPERATIVA DE CRÉDITO CREDIUNA LTDA - SICOOB CREDIUNA</t>
  </si>
  <si>
    <t>COOPERATIVA DE CRÉDITO E INVESTIMENTO COM INTERAÇÃO SOLIDÁRIA DE MINAS GERAIS - CRESOL MINAS GERAIS</t>
  </si>
  <si>
    <t>EMPRESA BRASILEIRA DE BENEFICIOS E PAGAMENTOS INSTITUICAO DE PAGAMENTO LTDA</t>
  </si>
  <si>
    <t>COOPERATIVA DE CREDITO COOPLIVRE</t>
  </si>
  <si>
    <t>CAPIVARI</t>
  </si>
  <si>
    <t>COOPERATIVA DE CRÉDITO DOS PROFISSIONAIS DA ÁREA DA SAÚDE E DE LIVRE ADMISSÃO LTDA - UNICRED ALIANÇA</t>
  </si>
  <si>
    <t>COOPERATIVA CENTRAL DE CRÉDITO, POUPANÇA E INVESTIMENTO DO CENTRO NORTE DO BRASIL - CENTRAL SICREDI CENTRO NORTE</t>
  </si>
  <si>
    <t>COOPERATIVA DE CRÉDITO CREDISETE LTDA. - SICOOB CREDISETE</t>
  </si>
  <si>
    <t>SETE LAGOAS</t>
  </si>
  <si>
    <t>COOPERATIVA DE CRÉDITO E INVESTIMENTO COM INTERAÇÃO SOLIDÁRIA ESSÊNCIA - CRESOL ESSÊNCIA</t>
  </si>
  <si>
    <t>SANTO CRISTO</t>
  </si>
  <si>
    <t>OPEA SOCIEDADE DE CRÉDITO DIRETO S.A.</t>
  </si>
  <si>
    <t>COOPERATIVA DE CRÉDITO DE LIVRE ADMISSÃO DO ESTADO DE SÃO PAULO - SICOOB PAULISTA</t>
  </si>
  <si>
    <t>PRESIDENTE PRUDENTE</t>
  </si>
  <si>
    <t>COOPERATIVA DE CRÉDITO DA FOZ DO RIO ITAJAÍ AÇU - CREDIFOZ</t>
  </si>
  <si>
    <t>BANCO SENFF S.A.</t>
  </si>
  <si>
    <t>SWAP INSTITUIÇÃO DE PAGAMENTO S.A.</t>
  </si>
  <si>
    <t>COOPERATIVA DE CRÉDITO, POUPANÇA E INVESTIMENTO DE ARARAQUARA E REGIÃO - SICREDI MORADA DO SOL SP</t>
  </si>
  <si>
    <t>ARARAQUARA</t>
  </si>
  <si>
    <t>CREDISIS JICRED - COOPERATIVA DE CRÉDITO DE LIVRE ADMISSÃO JICRED</t>
  </si>
  <si>
    <t>COOPERATIVA DE CRÉDITO CREDICARPA LTDA. - SICOOB CREDICARPA</t>
  </si>
  <si>
    <t>CARMO DO PARANAIBA</t>
  </si>
  <si>
    <t>COOPERATIVA DE CRÉDITO E INVESTIMENTO COM INTERAÇÃO SOLIDÁRIA TRANSFORMAÇÃO - CRESOL TRANSFORMAÇÃO</t>
  </si>
  <si>
    <t>DONA EMMA</t>
  </si>
  <si>
    <t>COOPERATIVA DE CRÉDITO CREDIBOM LTDA. - SICOOB CREDIBOM</t>
  </si>
  <si>
    <t>BOM DESPACHO</t>
  </si>
  <si>
    <t>COOPERATIVA DE CRÉDITO DE LIVRE ADMISSÃO DE ASSOCIADOS VALE DO RIO DO PEIXE - SICOOB CREDIRIO SC</t>
  </si>
  <si>
    <t>JOACABA</t>
  </si>
  <si>
    <t>CREDISIS CREDIARI - COOPERATIVA DE CRÉDITO LTDA.</t>
  </si>
  <si>
    <t>ARIQUEMES</t>
  </si>
  <si>
    <t>IUGU INSTITUIÇÃO DE PAGAMENTO S.A.</t>
  </si>
  <si>
    <t>COOPERATIVA DE CRÉDITO DE LIVRE ADMISSÃO DE PERNAMBUCO - SICOOB PERNAMBUCO</t>
  </si>
  <si>
    <t>SAO JOSE DO EGITO</t>
  </si>
  <si>
    <t>PE</t>
  </si>
  <si>
    <t>COOPERATIVA DE CRÉDITO CREDIFOR LTDA - SICOOB CREDIFOR</t>
  </si>
  <si>
    <t>FORMIGA</t>
  </si>
  <si>
    <t>COOPERATIVA DE CRÉDITO E INVESTIMENTO COM INTERAÇÃO SOLIDÁRIA PROGRESSO - CRESOL PROGRESSO</t>
  </si>
  <si>
    <t>COOPERATIVA DE CRÉDITO DE LIVRE ADMISSÃO UNIÃO E NEGÓCIOS - SICOOB INTEGRAÇÃO</t>
  </si>
  <si>
    <t>COOPERATIVA DE CRÉDITO CREDISG LTDA. - SICOOB CREDISG</t>
  </si>
  <si>
    <t>SAO GOTARDO</t>
  </si>
  <si>
    <t>COOPERATIVA DE CRÉDITO CREDIVALE LTDA - SICOOB CREDIVALE</t>
  </si>
  <si>
    <t>TEOFILO OTONI</t>
  </si>
  <si>
    <t>BPCE EQUIPMENT SOLUTIONS BRASIL S.A. - ARRENDAMENTO MERCANTIL</t>
  </si>
  <si>
    <t>BS2 PAYMENTS INSTITUIÇÃO DE PAGAMENTO S.A.</t>
  </si>
  <si>
    <t>BANCO IBM S.A.</t>
  </si>
  <si>
    <t>COOPERATIVA DE CRÉDITO, POUPANÇA E INVESTIMENTO SICREDI SERIGY - SICREDI SERIGY SE/BA</t>
  </si>
  <si>
    <t>DESENBAHIA - AGENCIA DE FOMENTO DO ESTADO DA BAHIA S.A.</t>
  </si>
  <si>
    <t>COOPERATIVA DE CRÉDITO POUPANÇA E INVESTIMENTO DA ALTA NOROESTE DE SÃO PAULO - SICREDI ALTA NOROESTE SP</t>
  </si>
  <si>
    <t>BIRIGUI</t>
  </si>
  <si>
    <t>COOPERATIVA DE CREDITO NOSSO - SICOOB NOSSO</t>
  </si>
  <si>
    <t>ADAMANTINA</t>
  </si>
  <si>
    <t>STARK BANK S.A. - INSTITUICAO DE PAGAMENTO</t>
  </si>
  <si>
    <t>COOPERATIVA DE CRÉDITO E INVESTIMENTO COM INTERAÇÃO SOLIDÁRIA NORTE PARANAENSE - CRESOL NORTE PARANAENSE</t>
  </si>
  <si>
    <t>COOPERATIVA DE CRÉDITO DE LIVRE ADMISSÃO DO VALE DO PARANAPANEMA</t>
  </si>
  <si>
    <t>COOPERATIVA DE CRÉDITO EVOLUA</t>
  </si>
  <si>
    <t>WORLDPAY DO BRASIL INSTITUICAO DE PAGAMENTO LTDA</t>
  </si>
  <si>
    <t>COOPERATIVA DE ECONOMIA E CRÉDITO MÚTUO DOS PROFISSIONAIS DA SAÚDE DA REGIÃO DA ALTA MOGIANA - SICOOB CREDIMOGIANA</t>
  </si>
  <si>
    <t>CARUANA S.A. - SOCIEDADE DE CRÉDITO, FINANCIAMENTO E INVESTIMENTO</t>
  </si>
  <si>
    <t>REPOM INSTITUIÇÃO DE PAGAMENTO HUSA S.A.</t>
  </si>
  <si>
    <t>COOPERATIVA DE CRÉDITO NOROESTE DE MINAS LTDA. - SICOOB NOROESTE DE MINAS</t>
  </si>
  <si>
    <t>UNAI</t>
  </si>
  <si>
    <t>COOPERATIVA DE CRÉDITO E INVESTIMENTO COM INTERAÇÃO SOLIDÁRIA GRANDES LAGOS PR/SP - CRESOL GRANDES LAGOS PR/SP</t>
  </si>
  <si>
    <t>COOPERATIVA DE CRÉDITO DE LIVRE ADMISSÃO E DOS TRANSPORTADORES RODOVIÁRIOS DE VEÍCULOS - SICOOB CREDCEG</t>
  </si>
  <si>
    <t>COOPERATIVA DE CRÉDITO DE LIVRE ADMISSÃO DA REGIÃO DE FRUTAL LTDA.   SICOOB FRUTAL</t>
  </si>
  <si>
    <t>FRUTAL</t>
  </si>
  <si>
    <t>COOPERATIVA DE CREDITO DE LIVRE ADMISSAO DO CENTRO NORDESTE MINEIRO LTDA - SICOOB CREDICENM</t>
  </si>
  <si>
    <t>GUANHAES</t>
  </si>
  <si>
    <t>SEM PARAR SOCIEDADE DE CRÉDITO DIRETO S.A.</t>
  </si>
  <si>
    <t>MULVI INSTITUICAO DE PAGAMENTO S.A.</t>
  </si>
  <si>
    <t>COOPERATIVA DE CRÉDITO E INVESTIMENTO COM INTERAÇÃO SOLIDÁRIA HORIZONTE - CRESOL HORIZONTE</t>
  </si>
  <si>
    <t>UNIAO DA VITORIA</t>
  </si>
  <si>
    <t>SICREDI RECIFE - COOPERATIVA DE CRÉDITO, POUPANÇA E INVESTIMENTO SICREDI RECIFE</t>
  </si>
  <si>
    <t>RECIFE</t>
  </si>
  <si>
    <t>COOPERATIVA DE CRÉDITO E INVESTIMENTO COM INTERAÇÃO SOLIDÁRIA LIDERANÇA - CRESOL LIDERANÇA</t>
  </si>
  <si>
    <t>CHOPINZINHO</t>
  </si>
  <si>
    <t>BANCO SEMEAR S.A.</t>
  </si>
  <si>
    <t>COOPERATIVA DE CRÉDITO UNIQUE BR</t>
  </si>
  <si>
    <t>COOPERATIVA DE CRÉDITO DO NORTE CATARINENSE - ACREDICOOP</t>
  </si>
  <si>
    <t>COOPERATIVA DE CRÉDITO DOS PROFISSIONAIS DOS CREAS E DEMAIS ÁREAS TECNOLÓGICAS - CREDCREA</t>
  </si>
  <si>
    <t>COOPERATIVA DE CRÉDITO DE LIVRE ADMISSÃO DE  LAGOA DA PRATA E REGIÃO LTDA.   SICOOB LAGOACRED GERAIS</t>
  </si>
  <si>
    <t>LAGOA DA PRATA</t>
  </si>
  <si>
    <t>BNY MELLON</t>
  </si>
  <si>
    <t>COOPERATIVA DE CRÉDITO CREDICOPE LTDA. - SICOOB CREDICOPE</t>
  </si>
  <si>
    <t>CONSELHEIRO PENA</t>
  </si>
  <si>
    <t>NATURA &amp;CO PAY SOCIEDADE DE CRÉDITO DIRETO S.A.</t>
  </si>
  <si>
    <t>COOPERATIVA DE CRÉDITO ORIGINAL - SICOOB ORIGINAL</t>
  </si>
  <si>
    <t>SAO LOURENCO D'OESTE</t>
  </si>
  <si>
    <t>COOPERATIVA DE CRÉDITO DE LIVRE ADMISSÃO DA REGIÃO DE  PARÁ DE MINAS LTDA - SICOOB CREDIRURAL</t>
  </si>
  <si>
    <t>PARA DE MINAS</t>
  </si>
  <si>
    <t>COOPERATIVA DE CRÉDITO DE PRODUTORES RURAIS E DE LIVRE ADMISSÃO DO TRIÂNGULO LTDA    SICOOB CREDITRIL</t>
  </si>
  <si>
    <t>RP FINANCEIRA S.A. - SOCIEDADE DE CRÉDITO, FINANCIAMENTO E INVESTIMENTO</t>
  </si>
  <si>
    <t>COOPERATIVA DE CRÉDITO E INVESTIMENTO COM INTERAÇÃO SOLIDÁRIA DO RIO GRANDE DO SUL - CRESOL RIO GRANDE DO SUL</t>
  </si>
  <si>
    <t>BENTO GONCALVES</t>
  </si>
  <si>
    <t>COOPERATIVA DE CRÉDITO E CAPTAÇÃO SICOOB UNICIDADES</t>
  </si>
  <si>
    <t>OLIVEIRA TRUST DISTRIBUIDORA DE TÍTULOS E VALORES MOBILIARIOS S.A.</t>
  </si>
  <si>
    <t>COOPERATIVA DE CRÉDITO DE LIVRE ADMISSÃO DO VALE DO PARANAÍBA LTDA.</t>
  </si>
  <si>
    <t>QUIRINOPOLIS</t>
  </si>
  <si>
    <t>COOPERATIVA DE CRÉDITO E INVESTIMENTO COM INTERAÇÃO SOLIDÁRIA ORIGENS - CRESOL ORIGENS</t>
  </si>
  <si>
    <t>SICOOB UNIMAIS METROPOLITANA - COOPERATIVA DE CRÉDITO DE LIVRE ADMISSÃO</t>
  </si>
  <si>
    <t>SANTOS</t>
  </si>
  <si>
    <t>COOPERATIVA DE CRÉDITO SICOOB CREDSEGURO LTDA.</t>
  </si>
  <si>
    <t>COOPERATIVA DE CRÉDITO DE LIVRE ADMISSÃO CREDINOVA LTDA. - SICOOB CREDINOVA</t>
  </si>
  <si>
    <t>NOVA SERRANA</t>
  </si>
  <si>
    <t>COOPERATIVA DE CRÉDITO MÚTUO DOS ADVOGADOS DE SANTA CATARINA</t>
  </si>
  <si>
    <t>SAO JOSE</t>
  </si>
  <si>
    <t>COOPERATIVA DE CREDITO DE LIVRE ADMISSAO DO VALE DO AÇO LTDA - SICOOB VALE DO AÇO</t>
  </si>
  <si>
    <t>IPATINGA</t>
  </si>
  <si>
    <t>COOPERATIVA DE CRÉDITO CREDIPEU LTDA.  - SICOOB CREDIPEU</t>
  </si>
  <si>
    <t>POMPEU</t>
  </si>
  <si>
    <t>COOPERATIVA DE CRÉDITO SICOOB EXTREMO SUL LTDA.</t>
  </si>
  <si>
    <t>TEIXEIRA DE FREITAS</t>
  </si>
  <si>
    <t>COOPERATIVA DE CRÉDITO SICOOB UNIMAIS CENTRO LESTE PAULISTA - SICOOB UNIMAIS CLP</t>
  </si>
  <si>
    <t>RIO CLARO</t>
  </si>
  <si>
    <t>COOPERATIVA DE CRÉDITO DE LIVRE ADMISSÃO DA REGIÃO LESTE DA BACIA DO RIO DOCE LTDA   SICOOB CREDILESTE</t>
  </si>
  <si>
    <t>COOPERATIVA DE CRÉDITO DE LIVRE ADMISSÃO DE BELO HORIZONTE E CIDADES POLO DO ESTADO DE MINAS GERAIS LTDA. - SICOOB NOSSACOOP</t>
  </si>
  <si>
    <t>COOPERATIVA DE CRÉDITO MÚTUO DOS EMPREGADOS DA EMBRAER- SICOOB COOPEREMB</t>
  </si>
  <si>
    <t>COOPERATIVA DE CRÉDITO CREDPLUS LTDA. - SICOOB CREDPLUS</t>
  </si>
  <si>
    <t>LUZ</t>
  </si>
  <si>
    <t>BULLLA INSTITUICAO DE PAGAMENTO S.A.</t>
  </si>
  <si>
    <t>COOPERATIVA DE CRÉDITO DE LIVRE ADMISSÃO DO VALE DO ARAGUAIA LTDA.</t>
  </si>
  <si>
    <t>MINEIROS</t>
  </si>
  <si>
    <t>COOPERATIVA DE CRÉDITO UNIÃO CENTRO OESTE LTDA. - SICOOB UNIÃO CENTRO OESTE</t>
  </si>
  <si>
    <t>COOPERATIVA DE CRÉDITO DO CENTRO SUL MINEIRO LTDA. - SICOOB CENTRO SUL MINEIRO</t>
  </si>
  <si>
    <t>CARMOPOLIS DE MINAS</t>
  </si>
  <si>
    <t>CSILATINA ARRENDAMENTO MERCANTIL S.A.</t>
  </si>
  <si>
    <t>STRIPE BRASIL SOLUCOES DE PAGAMENTO INSTITUICAO DE PAGAMENTO LTDA</t>
  </si>
  <si>
    <t>COOPERATIVA DE CRÉDITO RURAL COOPAVEL</t>
  </si>
  <si>
    <t>COOPERATIVA DE CRÉDITO DA REGIÃO DO CONTESTADO - CIVIA</t>
  </si>
  <si>
    <t>SAO BENTO DO SUL</t>
  </si>
  <si>
    <t>COOPERATIVA DE CRÉDITO E INVESTIMENTO COM INTERAÇÃO SOLIDÁRIA CONEXÃO - CRESOL CONEXÃO</t>
  </si>
  <si>
    <t>COOPERATIVA DE CRÉDITO CENTRO LESTE NORTE MARANHENSE - SICOOB CENTROLESTE</t>
  </si>
  <si>
    <t>GRAJAU</t>
  </si>
  <si>
    <t>MA</t>
  </si>
  <si>
    <t>COOPERATIVA DE CRÉDITO SICOOB UNI SUDESTE</t>
  </si>
  <si>
    <t>UBA</t>
  </si>
  <si>
    <t>COOPERATIVA DE CRÉDITO DE LIVRE ADMISSÃO DO TOCANTINS LTDA</t>
  </si>
  <si>
    <t>PARAISO DO NORTE DO TOCANTINS</t>
  </si>
  <si>
    <t>TO</t>
  </si>
  <si>
    <t>BANCO XCMG BRASIL S.A.</t>
  </si>
  <si>
    <t>POUSO ALEGRE</t>
  </si>
  <si>
    <t>COOPERATIVA DE CRÉDITO SICOOB 3 COLINAS</t>
  </si>
  <si>
    <t>SICOOB AC CREDI - COOPERATIVA DE CRÉDITO DE LIVRE ADMISSÃO DO LESTE E NORDESTE MINEIRO LTDA.</t>
  </si>
  <si>
    <t>UNIPRIME PIONEIRA COOPERATIVA DE CRÉDITO</t>
  </si>
  <si>
    <t>COOPERATIVA DE CRÉDITO COOCRELIVRE</t>
  </si>
  <si>
    <t>ORLANDIA</t>
  </si>
  <si>
    <t>COOPERATIVA DE CRÉDITO CREDIMATA LTDA. - SICOOB CREDIMATA</t>
  </si>
  <si>
    <t>VOLTA GRANDE</t>
  </si>
  <si>
    <t>COOPERATIVA DE CRÉDITO CREDIJEQUITINHONHA LTDA. - SICOOB CREDIJEQUITINHONHA</t>
  </si>
  <si>
    <t>CAPELINHA</t>
  </si>
  <si>
    <t>MIRAE ASSET (BRASIL) CORRETORA DE CÂMBIO, TÍTULOS  E VALORES MOBILIÁRIOS LTDA.</t>
  </si>
  <si>
    <t>COOPERATIVA DE CRÉDITO CREDIFIEMG LTDA. - SICOOB CREDIFIEMG</t>
  </si>
  <si>
    <t>COOPERATIVA DE CREDITO DE LIVRE ADMISSAO DE PARA DE MINAS LTDA - SICOOB ASCICRED</t>
  </si>
  <si>
    <t>COOPERATIVA DE CRÉDITO E ECONOMIA COM INTERAÇÃO SOLIDÁRIA - CRESOL INTERAÇÃO</t>
  </si>
  <si>
    <t>XANXERE</t>
  </si>
  <si>
    <t>SENFFNET INSTITUIÇÃO DE PAGAMENTO LTDA.</t>
  </si>
  <si>
    <t>COOPERATIVA DE CRÉDITO DE LIVRE ADMISSÃO DE ASSOCIADOS NOVOS CAMPOS - SICOOB NOVOS CAMPOS</t>
  </si>
  <si>
    <t>CAMPOS NOVOS</t>
  </si>
  <si>
    <t>UNIPRIME CENTRAL NACIONAL - CENTRAL NACIONAL DE COOPERATIVA DE CREDITO</t>
  </si>
  <si>
    <t>AGENCIA DE FOMENTO DO ESTADO DO RIO DE JANEIRO S.A.</t>
  </si>
  <si>
    <t>CONFEDERACAO NACIONAL DAS COOPERATIVAS DO SICOOB LTDA</t>
  </si>
  <si>
    <t>DM INSTITUICAO DE PAGAMENTO S.A.</t>
  </si>
  <si>
    <t>SIMPALA S.A. CRÉDITO, FINANCIAMENTO E INVESTIMENTO</t>
  </si>
  <si>
    <t>COOPERATIVA DE CRÉDITO CREDIARA LTDA - SICOOB CREDIARA</t>
  </si>
  <si>
    <t>ARAXA</t>
  </si>
  <si>
    <t>COOPERATIVA DE CRÉDITO SICOOB ALIANÇA</t>
  </si>
  <si>
    <t>APUCARANA</t>
  </si>
  <si>
    <t>CONFIDENCE</t>
  </si>
  <si>
    <t>BANCO TRICURY S.A.</t>
  </si>
  <si>
    <t>COOPERATIVA DE CRÉDITO E INVESTIMENTO COM INTERAÇÃO SOLIDÁRIA COOPERAR - CRESOL COOPERAR</t>
  </si>
  <si>
    <t>HUMAITA</t>
  </si>
  <si>
    <t>COOPERATIVA DE CRÉDITO E INVESTIMENTO COM INTERAÇÃO SOLIDÁRIA ATIVA - CRESOL ATIVA</t>
  </si>
  <si>
    <t>TANGARA</t>
  </si>
  <si>
    <t>VR</t>
  </si>
  <si>
    <t>COOPERATIVA DE CRÉDITO E INVESTIMENTO COM INTERAÇÃO SOLIDÁRIA ALTO VALE - CRESOL ALTO VALE</t>
  </si>
  <si>
    <t>WITMARSUM</t>
  </si>
  <si>
    <t>COOPERATIVA DE CRÉDITO DE LIVRE ADMISSÃO CENTRO OESTE LTDA.</t>
  </si>
  <si>
    <t>GOIANESIA</t>
  </si>
  <si>
    <t>COOPERATIVA DE CREDITO DE LIVRE ADMISSAO DE RUBIATABA E REGIAO LTDA</t>
  </si>
  <si>
    <t>RUBIATABA</t>
  </si>
  <si>
    <t>COOPERATIVA DE CRÉDITO DE LIVRE ADMISSÃO DE SANTO ANTÔNIO DO MONTE LTDA.   SICOOB CREDIMONTE</t>
  </si>
  <si>
    <t>SANTO ANTONIO DO MONTE</t>
  </si>
  <si>
    <t>NAIP INSTITUIÇÃO DE PAGAMENTO S.A.</t>
  </si>
  <si>
    <t>COOPERATIVA DE CRÉDITO COPERSUL LTDA - SICOOB COPERSUL</t>
  </si>
  <si>
    <t>TRES PONTAS</t>
  </si>
  <si>
    <t>COOPERATIVA DE CRÉDITO SICOOB MÉDIO OESTE</t>
  </si>
  <si>
    <t>ASSIS CHATEAUBRIAND</t>
  </si>
  <si>
    <t>FITS INSTITUIÇÃO DE PAGAMENTO S.A.</t>
  </si>
  <si>
    <t>EFÍ S.A. - INSTITUIÇÃO DE PAGAMENTO</t>
  </si>
  <si>
    <t>OURO PRETO</t>
  </si>
  <si>
    <t>BITZ INSTITUICAO DE PAGAMENTO S.A.</t>
  </si>
  <si>
    <t>COOPERATIVA DE CRÉDITO CREDINACIONAL LTDA. - SICOOB CREDINACIONAL</t>
  </si>
  <si>
    <t>ABAETE</t>
  </si>
  <si>
    <t>QUERO-QUERO VERDECARD INSTITUIÇÃO DE PAGAMENTO S.A.</t>
  </si>
  <si>
    <t>CACHOEIRINHA</t>
  </si>
  <si>
    <t>COOPERATIVA DE CRÉDITO DE LIVRE ADMISSÃO DA GRANDE GOIÂNIA LTDA.</t>
  </si>
  <si>
    <t>COOPERATIVA DE CRÉDITO  DE FRONTEIRAS  LTDA. - SICOOB FRONTEIRAS</t>
  </si>
  <si>
    <t>CACOAL</t>
  </si>
  <si>
    <t>BANCO WOORI BANK DO BRASIL S.A.</t>
  </si>
  <si>
    <t>BANCO FATOR S.A.</t>
  </si>
  <si>
    <t>COOPERATIVA CENTRAL DE CRÉDITO, POUPANÇA E INVESTIMENTO DE MATO GROSSO DO SUL, GOIÁS, DISTRITO FEDERAL E TOCANTINS - CENTRAL SICREDI BRASIL CENTRAL</t>
  </si>
  <si>
    <t>COOPERATIVA DE CRÉDITO ARACREDI LTDA. - SICOOB ARACREDI</t>
  </si>
  <si>
    <t>COOPERATIVA DE CRÉDITO - CREDICOMIN</t>
  </si>
  <si>
    <t>LAGES</t>
  </si>
  <si>
    <t>CLARA INSTITUICAO DE PAGAMENTO LTDA.</t>
  </si>
  <si>
    <t>COOPERATIVA DE CRÉDITO DE LIVRE ADMISSÃO DE ASSOCIADOS DO MEIO OESTE CATARINENSE - SICOOB CREDIMOC SC</t>
  </si>
  <si>
    <t>COOPERATIVA DE CRÉDITO E INVESTIMENTO COM INTERAÇÃO SOLIDÁRIA VALE DAS ÁGUAS PR/MG - CRESOL VALE DAS ÁGUAS PR/MG</t>
  </si>
  <si>
    <t>COOPERATIVA DE CRÉDITO CREDIVERDE LTDA. - SICOOB CREDIVERDE</t>
  </si>
  <si>
    <t>COOPERATIVA DE CRÉDITO CREDICAMPO LTDA.- SICOOB CREDICAMPO</t>
  </si>
  <si>
    <t>ENTRE RIOS DE MINAS</t>
  </si>
  <si>
    <t>COOPERATIVA DE CRÉDITO E ECONOMIA COM INTERAÇÃO SOLIDÁRIA CRESOL EVOLUÇÃO</t>
  </si>
  <si>
    <t>DIONISIO CERQUEIRA</t>
  </si>
  <si>
    <t>COOPERATIVA DE CRÉDITO GUARANICREDI LTDA. - SICOOB GUARANICREDI</t>
  </si>
  <si>
    <t>GUARANI</t>
  </si>
  <si>
    <t>SOCIEDADE COOPERATIVA DE CRÉDITO COOPERE LTDA.  - SICOOB COOPERE</t>
  </si>
  <si>
    <t>VALENTE</t>
  </si>
  <si>
    <t>COOPERATIVA DE CRÉDITO SICOOB SERTÃO LTDA</t>
  </si>
  <si>
    <t>PINTADAS</t>
  </si>
  <si>
    <t>DEUTSCHE SPARKASSEN LEASING DO BRASIL BANCO MÚLTIPLO S.A.</t>
  </si>
  <si>
    <t>COOPERATIVA DE CRÉDITO DE LIVRE ADMISSÃO DA REGIÃO CENTRAL DE RONDÔNIA   SICOOB OUROCREDI</t>
  </si>
  <si>
    <t>OURO PRETO DO OESTE</t>
  </si>
  <si>
    <t>SUPERLÓGICA SOCIEDADE DE CRÉDITO DIRETO S.A.</t>
  </si>
  <si>
    <t>COOPERATIVA DE CRÉDITO E INVESTIMENTO COM INTERAÇÃO SOLIDÁRIA DE GOIÁS - CRESOL GOIÁS</t>
  </si>
  <si>
    <t>ORIZONA</t>
  </si>
  <si>
    <t>COOPERATIVA DE CRÉDITO E ECONOMIA COM INTERAÇÃO SOLIDÁRIA - CRESOL ALIANÇA</t>
  </si>
  <si>
    <t>COOPERATIVA DE CRÉDITO E INVESTIMENTO SICOOB COOPERCRED LTDA.</t>
  </si>
  <si>
    <t>COOPERATIVA DE ECONOMIA E CRÉDITO MÚTUO UNICRED PROSPERAR LTDA. - UNICRED PROSPERAR</t>
  </si>
  <si>
    <t>SANTANA DO LIVRAMENTO</t>
  </si>
  <si>
    <t>COOPERATIVA DE CRÉDITO DE LIVRE ADMISSÃO DO VALE DO RIO GRANDE LTDA. - SICOOB UBERABA</t>
  </si>
  <si>
    <t>UBERABA</t>
  </si>
  <si>
    <t>COOPERATIVA DE CRÉDITO DA REGIÃO CENTRAL DE MINAS LTDA. - SICOOB UNIÃO CENTRAL</t>
  </si>
  <si>
    <t>PARAOPEBA</t>
  </si>
  <si>
    <t>COOPERATIVA DE CRÉDITO DO DISTRITO FEDERAL E ENTORNO LTDA</t>
  </si>
  <si>
    <t>CREDI-SHOP S/A - INSTITUIÇÃO DE PAGAMENTO</t>
  </si>
  <si>
    <t>TERESINA</t>
  </si>
  <si>
    <t>PI</t>
  </si>
  <si>
    <t>COOPERATIVA DE CRÉDITO DE LIVRE ADMISSÃO DO ALTO SÃO FRANCISCO LTDA.</t>
  </si>
  <si>
    <t>PIUMHI</t>
  </si>
  <si>
    <t>COOPERATIVA DE CRÉDITO DE LIVRE ADMISSÃO LTDA. - SICOOB CREDIJUSTRA</t>
  </si>
  <si>
    <t>COOPERATIVA DE CRÉDITO E INVESTIMENTO COM INTERAÇÃO SOLIDÁRIA EXCELÊNCIA - CRESOL EXCELÊNCIA</t>
  </si>
  <si>
    <t>SAO JOAQUIM</t>
  </si>
  <si>
    <t>SICOOB CREDIGOIÁS COOPERATIVA DE CRÉDITO LTDA.</t>
  </si>
  <si>
    <t>CONFEDERACAO DAS COOPERATIVAS DO SICREDI - CONFEDERACAO SICREDI</t>
  </si>
  <si>
    <t>COOPERATIVA DE CRÉDITO DE LIVRE ADMISSÃO DE RIO VERDE E REGIÃO LTDA.</t>
  </si>
  <si>
    <t>COOPERATIVA DE CREDITO DO MERCADO IMOBILIÁRIO - SICOOB IMOB.VC</t>
  </si>
  <si>
    <t>COOPERATIVA DE CRÉDITO MONTECREDI LTDA. - SICOOB MONTECREDI</t>
  </si>
  <si>
    <t>MONTE CARMELO</t>
  </si>
  <si>
    <t>COOPERATIVA DE CRÉDITO CARLOS CHAGAS LTDA. - SICOOB CARLOS CHAGAS</t>
  </si>
  <si>
    <t>CARLOS CHAGAS</t>
  </si>
  <si>
    <t>ZEMA CRÉDITO, FINANCIAMENTO E INVESTIMENTO S/A</t>
  </si>
  <si>
    <t>COOPERATIVA DE CRÉDITO DE LIVRE ADMISSÃO BURITIS - SICOOB BURITIS</t>
  </si>
  <si>
    <t>COOPERATIVA DE CRÉDITO E INVESTIMENTO COM INTERAÇÃO SOLIDÁRIA CONFIANÇA - CRESOL CONFIANÇA</t>
  </si>
  <si>
    <t>PAIM FILHO</t>
  </si>
  <si>
    <t>COOPERATIVA DE CRÉDITO, POUPANÇA E INVESTIMENTO NATIVA - SICREDI NATIVA PE/BA</t>
  </si>
  <si>
    <t>PETROLINA</t>
  </si>
  <si>
    <t>COOPERATIVA DE CRÉDITO DE LIVRE ADMISSÃO DO ESTADO DO RIO DE JANEIRO - SICOOB FLUMINENSE</t>
  </si>
  <si>
    <t>CAMPOS DOS GOYTACAZES</t>
  </si>
  <si>
    <t>COOPERATIVA DE CRÉDITO CREDIALP LTDA - SICOOB CREDIALP</t>
  </si>
  <si>
    <t>ALPINOPOLIS</t>
  </si>
  <si>
    <t>COOPERATIVA DE CRÉDITO UNIÃO DO CENTRO OESTE DE MINAS LTDA. - SICOOB CENTRO UNIÃO</t>
  </si>
  <si>
    <t>CARMO DO CAJURU</t>
  </si>
  <si>
    <t>COOPERATIVA DE CRÉDITO DE LIVRE ADMISSÃO DE ASSOCIADOS URUBICI - SICOOB CREDIARAUCÁRIA/SC</t>
  </si>
  <si>
    <t>URUBICI</t>
  </si>
  <si>
    <t>COOPERATIVA DE CRÉDITO DE LIVRE ADMISSÃO DE BOA ESPERANÇA LTDA. - SICOOB BELCREDI</t>
  </si>
  <si>
    <t>BOA ESPERANCA</t>
  </si>
  <si>
    <t>COOPERATIVA DE CRÉDITO CREDSAOPAULO - SICOOB CREDSAOPAULO</t>
  </si>
  <si>
    <t>COOPERATIVA DE CRÉDITO DE LIVRE ADMISSÃO DO CENTRO-SUL GOIANO LTDA</t>
  </si>
  <si>
    <t>MORRINHOS</t>
  </si>
  <si>
    <t>EDENRED SOLUCOES DE MOBILIDADE E INSTITUICAO DE PAGAMENTO HU S.A.</t>
  </si>
  <si>
    <t>BLU INSTITUIÇÃO DE PAGAMENTO LTDA.</t>
  </si>
  <si>
    <t>COOPERATIVA DE CRÉDITO DE LIVRE ADMISSÃO SICOOB CREDIACIL</t>
  </si>
  <si>
    <t>LEME</t>
  </si>
  <si>
    <t>ACESSO SOLUÇÕES DE PAGAMENTO S.A. - INSTITUIÇÃO DE PAGAMENTO</t>
  </si>
  <si>
    <t>COOPERATIVA DE CRÉDITO CREDIRAMA LTDA - SICOOB CREDIRAMA</t>
  </si>
  <si>
    <t>ITURAMA</t>
  </si>
  <si>
    <t>COOPERATIVA DE CRÉDITO DE LIVRE ADMISSÃO DO ESTADO DO ACRE LTDA.</t>
  </si>
  <si>
    <t>RIO BRANCO</t>
  </si>
  <si>
    <t>AC</t>
  </si>
  <si>
    <t>COOPERATIVA DE CRÉDITO DA REGIÃO E COLAR METROPOLITANO DO VALE DO AÇO LTDA. - SICOOB COSMIPA</t>
  </si>
  <si>
    <t>COOPERATIVA DE CRÉDITO CREDIBELO LTDA. - SICOOB CREDIBELO</t>
  </si>
  <si>
    <t>CAMPO BELO</t>
  </si>
  <si>
    <t>CONTA SIMPLES SOCIEDADE DE CRÉDITO DIRETO S.A.</t>
  </si>
  <si>
    <t>COOPERATIVA DE CRÉDITO E INVESTIMENTO COM INTERAÇÃO SOLIDÁRIA MISSÕES FRONTEIRA RS - CRESOL MISSÕES FRONTEIRA RS</t>
  </si>
  <si>
    <t>GUARANI DAS MISSOES</t>
  </si>
  <si>
    <t>TODESCREDI S/A - CRÉDITO, FINANCIAMENTO E INVESTIMENTO</t>
  </si>
  <si>
    <t>COOPERATIVA DE ECONOMIA E CRÉDITO MÚTUO UNICRED COALIZÃO LTDA - UNICRED COALIZÃO</t>
  </si>
  <si>
    <t>COOPERATIVA DE CRÉDITO CREDINORTE LTDA. - SICOOB CREDINORTE</t>
  </si>
  <si>
    <t>NANUQUE</t>
  </si>
  <si>
    <t>VIA CERTA FINANCIADORA S.A. - CRÉDITO, FINANCIAMENTO E INVESTIMENTOS</t>
  </si>
  <si>
    <t>COOPERATIVA DE CRÉDITO SICOOB COSTA DO DESCOBRIMENTO LTDA.</t>
  </si>
  <si>
    <t>ITAMARAJU</t>
  </si>
  <si>
    <t>COOPERATIVA DE ECONOMIA E CRÉDITO MÚTUO DOS EMPREGADOS DE FURNAS E DAS DEMAIS EMPRESAS DO SISTEMA ELETROBRÁS LTDA. - SICOOB CECREMEF</t>
  </si>
  <si>
    <t>MAGALUPAY - SOCIEDADE DE CRÉDITO, FINANCIAMENTO E INVESTIMENTO S.A.</t>
  </si>
  <si>
    <t>COOPERATIVA DE CRÉDITO NOSSA SENHORA DO DESTERRO - SICOOB CREDISC</t>
  </si>
  <si>
    <t>COOPERATIVA DE CRÉDITO UNIPRIME SUL</t>
  </si>
  <si>
    <t>CREDISIS CREDIPLAN - COOPERATIVA DE CRÉDITO DE LIVRE ADMISSÃO DO PLANALTO MÉDIO DO RIO GRANDE DO SUL LTDA</t>
  </si>
  <si>
    <t>COOPERATIVA DE CREDITO CREDIAGRO LTDA. - SICOOB CREDIAGRO</t>
  </si>
  <si>
    <t>CAMPOS ALTOS</t>
  </si>
  <si>
    <t>COOPERATIVA DE CRÉDITO DE LIVRE ADMISSÃO DE ANÁPOLIS E REGIÃO LTDA</t>
  </si>
  <si>
    <t>AL5 S.A. SOCIEDADE DE CRÉDITO, FINANCIAMENTO E INVESTIMENTO</t>
  </si>
  <si>
    <t>CASAS BAHIA PAY INSTITUIÇÃO DE PAGAMENTO LTDA.</t>
  </si>
  <si>
    <t>COOPERATIVA DE CRÉDITO DE LIVRE ADMISSÃO UNIÃO DO CENTRO OESTE DE MINAS LTDA - SICOOB CREDESP</t>
  </si>
  <si>
    <t>COOPERATIVA DE CRÉDITO E INVESTIMENTO COM INTERAÇÃO SOLIDÁRIA NASCENTE - CRESOL NASCENTE</t>
  </si>
  <si>
    <t>ALFREDO WAGNER</t>
  </si>
  <si>
    <t>COOPERATIVA DE CRÉDITO DOS SERVIDORES MILITARES, DA POLÍCIA CIVIL, DA SECRETARIA DE EDUCAÇÃO DO ESTADO DE MINAS GERAIS E DE LIVRE ADMISSÃO LTDA - SICOOB COOPEMG</t>
  </si>
  <si>
    <t>COOPERATIVA DE CREDITO DE LIVRE ADMISSAO DE PITANGUI E REGIAO LTDA. - SICOOB CREDPIT</t>
  </si>
  <si>
    <t>PITANGUI</t>
  </si>
  <si>
    <t>COOPERATIVA DE CREDITO DO PLANALTO SUL - SICOOB CREDISSERRANA</t>
  </si>
  <si>
    <t>COOPERATIVA DE CRÉDITO DE LIVRE ADMISSÃO E DOS ADVOGADOS LTDA. - SICOOB CREDIJUR</t>
  </si>
  <si>
    <t>COOPERATIVA DE CRÉDITO DOS PROFISSIONAIS DA SAÚDE E LIVRE ADMISSÃO DO SUL DE MINAS LTDA</t>
  </si>
  <si>
    <t>COOPERATIVA DE CRÉDITO CREDICOOP LTDA - SICOOB CREDICOOP</t>
  </si>
  <si>
    <t>SOCINAL S.A. - CRÉDITO, FINANCIAMENTO E INVESTIMENTO</t>
  </si>
  <si>
    <t>ARARUAMA</t>
  </si>
  <si>
    <t>COOPERATIVA DE CRÉDITO DE LIVRE ADMISSÃO DE ASSOCIADOS DO PLANALTO SERRANO - SICOOB CREDISERRA SC</t>
  </si>
  <si>
    <t>URUPEMA</t>
  </si>
  <si>
    <t>COOPERATIVA DE CRÉDITO DOS INTEGRANTES DO PODER JUDICIÁRIO E DO MINISTÉRIO PÚBLICO DO ESTADO DE MINAS GERAIS LTDA. - SICOOB JUS-MP</t>
  </si>
  <si>
    <t>TENTOS S.A. CRÉDITO, FINANCIAMENTO E INVESTIMENTO</t>
  </si>
  <si>
    <t>COOPERATIVA DE CRÉDITO UNICRED AMPLA LTDA - UNICRED AMPLA</t>
  </si>
  <si>
    <t>COOPERATIVA DE CRÉDITO E ECONOMIA COM INTERAÇÃO SOLIDÁRIA - CRESOL ENCOSTAS DA SERRA GERAL</t>
  </si>
  <si>
    <t>SANTA ROSA DE LIMA</t>
  </si>
  <si>
    <t>URBANO S.A. - SOCIEDADE DE CRÉDITO, FINANCIAMENTO E INVESTIMENTO</t>
  </si>
  <si>
    <t>COOPERATIVA DE CRÉDITO DO VALE DO ITAJAÍ E VALE DO ITAPOCÚ - SICOOB MULTICREDI</t>
  </si>
  <si>
    <t>COOPERATIVA DE CRÉDITO SACRAMENTO LTDA - SICOOB SACRAMENTO</t>
  </si>
  <si>
    <t>SACRAMENTO</t>
  </si>
  <si>
    <t>COOPERATIVA DE CREDITO, POUPANCA E INVESTIMENTO DO RIO DE JANEIRO - SICREDI RIO RJ</t>
  </si>
  <si>
    <t>COOPERATIVA DE ECONOMIA E CRÉDITO MÚTUO DOS INTEGRANTES DO MINISTÉRIO PÚBLICO E DA DEFENSORIA PÚBLICA NO ESTADO DO RIO DE JANEIRO LIMITADA. - SICOOB COMPERJ</t>
  </si>
  <si>
    <t>COOPERATIVA DE ECONOMIA E CRÉDITO MÚTUO DOS SERVIDORES DO PODER JUDICIÁRIO, DO TRIBUNAL DE CONTAS ESTADUAL E DEMAIS ÓRGÃOS PÚBLICOS MUNICIPAIS, ESTADUAIS E FEDERAIS NO ESTADO DO RIO DE JANEIRO LTDA.</t>
  </si>
  <si>
    <t>CREDI&amp;GENTE - COOPERATIVA DE CRÉDITO E INVESTIMENTOS</t>
  </si>
  <si>
    <t>LAR COOPERATIVA DE CRÉDITO - LAR CREDI</t>
  </si>
  <si>
    <t>CREDIARE S.A. - CRÉDITO, FINANCIAMENTO E INVESTIMENTO</t>
  </si>
  <si>
    <t>FARROUPILHA</t>
  </si>
  <si>
    <t>WISE BRASIL CORRETORA DE CÂMBIO LTDA</t>
  </si>
  <si>
    <t>COOPERATIVA DE CRÉDITO UNICRED COOMARCA LTDA. - COOMARCA</t>
  </si>
  <si>
    <t>COOPERATIVA DE CRÉDITO E ECONOMIA COM INTERAÇÃO SOLIDÁRIA DE JACUTINGA - CRESOL JACUTINGA</t>
  </si>
  <si>
    <t>JACUTINGA</t>
  </si>
  <si>
    <t>COOPERATIVA DE CREDITO CREDIMOTA   SICOOB CREDIMOTA</t>
  </si>
  <si>
    <t>CANDIDO MOTA</t>
  </si>
  <si>
    <t>COOPERATIVA DE CRÉDITO DE LIVRE ADMISSÃO DE PIRACANJUBA LTDA. - SICOOB CERRADO</t>
  </si>
  <si>
    <t>PIRACANJUBA</t>
  </si>
  <si>
    <t>KREDILIG S.A. - CRÉDITO, FINANCIAMENTO E INVESTIMENTO</t>
  </si>
  <si>
    <t>BIGUACU</t>
  </si>
  <si>
    <t>OXY CH - FINANCEIRO</t>
  </si>
  <si>
    <t>COOPERATIVA DE CRÉDITO DO VALE EUROPEU - SICOOB EURO VALE</t>
  </si>
  <si>
    <t>TIMBO</t>
  </si>
  <si>
    <t>COOPERATIVA DE CRÉDITO E INVESTIMENTO COM INTERAÇÃO SOLIDÁRIA CENTRO SERRA - CRESOL CENTRO SERRA</t>
  </si>
  <si>
    <t>CURITIBANOS</t>
  </si>
  <si>
    <t>COOPERATIVA DE CRÉDITO DE LIVRE ADMISSÃO DE PEDRO LEOPOLDO LTDA - SICOOB CREDIPEL</t>
  </si>
  <si>
    <t>PEDRO LEOPOLDO</t>
  </si>
  <si>
    <t>SUMUP SOCIEDADE DE CRÉDITO DIRETO S.A.</t>
  </si>
  <si>
    <t>COOPERATIVA DE ECONOMIA E CRÉDITO MÚTUO NOS ESTADOS DE ALAGOAS, SERGIPE E BAHIA - SICOOB LESTE</t>
  </si>
  <si>
    <t>RENDIMENTOPAY INSTITUIÇÃO DE PAGAMENTO S.A.</t>
  </si>
  <si>
    <t>COOPERATIVA DE CRÉDITO CREDIPINHO LTDA - SICOOB CREDIPINHO</t>
  </si>
  <si>
    <t>JOAO PINHEIRO</t>
  </si>
  <si>
    <t>GREENPASS TECNOLOGIA E INSTITUICAO DE PAGAMENTO HUE S.A.</t>
  </si>
  <si>
    <t>SWILE INSTITUICAO DE PAGAMENTO LTDA</t>
  </si>
  <si>
    <t>CREDISAN COOPERATIVA DE CRÉDITO</t>
  </si>
  <si>
    <t>SAO JOAO DA BOA VISTA</t>
  </si>
  <si>
    <t>COOPERATIVA DE CRÉDITO DE LIVRE ADMISSÃO DE CAMPOS GERAIS E CAMPO DO MEIO LTDA - SICOOB CREDCAM</t>
  </si>
  <si>
    <t>CAMPOS GERAIS</t>
  </si>
  <si>
    <t>COOPERATIVA DE CRÉDITO E ECONOMIA COM INTERAÇÃO SOLIDÁRIA CAMINHOS - CRESOL CAMINHOS</t>
  </si>
  <si>
    <t>GETULIO VARGAS</t>
  </si>
  <si>
    <t>COOPERATIVA DE CRÉDITO DE LIVRE ADMISSÃO DE ASSOCIADOS DO SUL DO BRASIL - CREVISC</t>
  </si>
  <si>
    <t>GUARAMIRIM</t>
  </si>
  <si>
    <t>COOPERATIVA DE CRÉDITO DE LIVRE ADMISSÃO DO CENTRO SUL DE MATO GROSSO DO SUL - SICOOB CENTRO SUL MS</t>
  </si>
  <si>
    <t>AGORACRED S/A SOCIEDADE DE CRÉDITO, FINANCIAMENTO E INVESTIMENTO</t>
  </si>
  <si>
    <t>COOPERATIVA DE CRÉDITO DOS SERVIDORES DOS PODERES LEGISLATIVOS DO ESTADO DE MINAS GERAIS E DO SEU ÓRGÃO AUXILIAR E DE LIVRE ADMISSÃO LTDA. - SICOOB COFAL</t>
  </si>
  <si>
    <t>EBURY BANCO DE CÂMBIO S.A.</t>
  </si>
  <si>
    <t>COOPERATIVA DE ECONOMIA E CRÉDITO MÚTUO UNICRED HORIZONTES LTDA - UNICRED HORIZONTES</t>
  </si>
  <si>
    <t>COOPERATIVA DE CRÉDITO DE LIVRE ADMISSÃO DO SUL CATARINENSE - ACENTRA</t>
  </si>
  <si>
    <t>OKTO INSTITUIÇÃO DE PAGAMENTO S.A.</t>
  </si>
  <si>
    <t>COOPERATIVA DE CRÉDITO DOS SERVIDORES PÚBLICOS NO ESTADO DA BAHIA LTDA. - SICOOB INOVA</t>
  </si>
  <si>
    <t>COOPERATIVA DE CRÉDITO, POUPANÇA E INVESTIMENTO BANDEIRANTES - SICREDI BANDEIRANTES SP</t>
  </si>
  <si>
    <t>SAO CARLOS</t>
  </si>
  <si>
    <t>COOPERATIVA DE CRÉDITO DE TIROS E MATUTINA LTDA.- SICOOB CREDITIROS</t>
  </si>
  <si>
    <t>TIROS</t>
  </si>
  <si>
    <t>COOPERATIVA DE CREDITO SULCREDI AMPLEA</t>
  </si>
  <si>
    <t>EQI INVESTIMENTOS CORRETORA DE TÍTULOS E VALORES MOBILIÁRIOS S.A.</t>
  </si>
  <si>
    <t>COOPERATIVA DE CRÉDITO DA GRANDE FLORIANÓPOLIS - ÚNILOS</t>
  </si>
  <si>
    <t>COOPERATIVA DE CRÉDITO RURAL DE IRAÍ DE MINAS LTDA -SICOOB CREDIMIL</t>
  </si>
  <si>
    <t>IRAI DE MINAS</t>
  </si>
  <si>
    <t>COOPERATIVA DE CRÉDITO SICOOB CONFIANÇA</t>
  </si>
  <si>
    <t>COOPERATIVA DE CRÉDITO DE LIVRE ADMISSÃO DE CARMO DO RIO CLARO LTDA - SICOOB CREDICARMO</t>
  </si>
  <si>
    <t>CARMO DO RIO CLARO</t>
  </si>
  <si>
    <t>COOPERATIVA DE CRÉDITO, POUPANÇA E INVESTIMENTO DOS JUÍZES E CARREIRAS PÚBLICAS DO DIREITO DO ESTADO DO RIO GRANDE DO SUL - SICREDI AJURIS RS</t>
  </si>
  <si>
    <t>COOPERATIVA DE CRÉDITO CREDIVAG LTDA - SICOOB CREDIVAG</t>
  </si>
  <si>
    <t>JANAUBA</t>
  </si>
  <si>
    <t>EDENRED SOLUCOES E INSTITUICAO DE PAGAMENTO AHA S.A.</t>
  </si>
  <si>
    <t>COOPERATIVA DE CRÉDITO DE LIVRE ADMISSÃO DO ESTADO DE GOIÁS</t>
  </si>
  <si>
    <t>GAZINCRED S.A. SOCIEDADE DE CRÉDITO, FINANCIAMENTO E INVESTIMENTO</t>
  </si>
  <si>
    <t>DOURADINA</t>
  </si>
  <si>
    <t>UNIPRIME DO IGUAÇU - COOPERATIVA DE CRÉDITO, POUPANÇA E INVESTIMENTO</t>
  </si>
  <si>
    <t>COOPERATIVA DE CRÉDITO SICREDI ALTO SERTÃO PARAIBANO - SICREDI ALTO SERTÃO PARAIBANO</t>
  </si>
  <si>
    <t>SOUSA</t>
  </si>
  <si>
    <t>COOPERATIVA DE CRÉDITO, POUPANÇA E INVESTIMENTO CENTRO PERNAMBUCANA - SICREDI CENTRO PERNAMBUCANA PE</t>
  </si>
  <si>
    <t>CARUARU</t>
  </si>
  <si>
    <t>COOPERATIVA DE CRÉDITO E ECONOMIA COM INTERAÇÃO SOLIDÁRIA - CRESOL MAIS</t>
  </si>
  <si>
    <t>QUILOMBO</t>
  </si>
  <si>
    <t>COOPERATIVA DE CRÉDITO DO SUDOESTE BAIANO LTDA - SICOOB CREDICONQUISTA</t>
  </si>
  <si>
    <t>VITORIA DA CONQUISTA</t>
  </si>
  <si>
    <t>COOPERATIVA DE CRÉDITO E ECONOMIA COM INTERAÇÃO SOLIDÁRIA DE ARATIBA - CRESOL ARATIBA</t>
  </si>
  <si>
    <t>ARATIBA</t>
  </si>
  <si>
    <t>COOPERATIVA DE CRÉDITO RURAL DE ABELARDO LUZ - SULCREDI/CREDILUZ</t>
  </si>
  <si>
    <t>ABELARDO LUZ</t>
  </si>
  <si>
    <t>BGC LIQUIDEZ DISTRIBUIDORA DE TÍTULOS E VALORES MOBILIÁRIOS LTDA</t>
  </si>
  <si>
    <t>REVOLUT SOCIEDADE DE CRÉDITO DIRETO S.A.</t>
  </si>
  <si>
    <t>COOPERATIVA DE CRÉDITO, POUPANÇA E INVESTIMENTO INTEGRAÇÃO BAHIA - SICREDI INTEGRAÇÃO BAHIA - BA</t>
  </si>
  <si>
    <t>ITABUNA</t>
  </si>
  <si>
    <t>AGÊNCIA DE FOMENTO DO ESTADO DO AMAZONAS S.A. - AFEAM</t>
  </si>
  <si>
    <t>MANAUS</t>
  </si>
  <si>
    <t>AM</t>
  </si>
  <si>
    <t>NEGRESCO S.A. - CREDITO, FINANCIAMENTO E INVESTIMENTOS</t>
  </si>
  <si>
    <t>COOPERATIVA DE CRÉDITO SICOOB NORTE SUL LTDA</t>
  </si>
  <si>
    <t>GANDU</t>
  </si>
  <si>
    <t>COOPERATIVA DE CRÉDITO DE LIVRE ADMISSÃO DE PALMEIRAS E REGIÃO LTDA.</t>
  </si>
  <si>
    <t>PALMEIRAS DE GOIAS</t>
  </si>
  <si>
    <t>ZERO INSTITUIÇÃO DE PAGAMENTO S.A.</t>
  </si>
  <si>
    <t>COOPERATIVA DE ECONOMIA E CRÉDITO DE LIVRE ADMISSÃO LTDA. - SICOOB EMPRESARIAL</t>
  </si>
  <si>
    <t>SANTINVEST S.A. - CREDITO, FINANCIAMENTO E INVESTIMENTOS</t>
  </si>
  <si>
    <t>STRADA PAY INSTITUIÇÃO DE PAGAMENTO LTDA.</t>
  </si>
  <si>
    <t>COOPERATIVA DE CRÉDITO E INVESTIMENTO COM INTERAÇÃO SOLIDÁRIA DE NOVA MUTUM E REGIÃO - CRESOL MATO GROSSO</t>
  </si>
  <si>
    <t>NOVA MUTUM</t>
  </si>
  <si>
    <t>COOPERATIVA DE CRÉDITO E ECONOMIA COM INTERAÇÃO SOLIDÁRIA CRESOL VALE</t>
  </si>
  <si>
    <t>VITOR MEIRELES</t>
  </si>
  <si>
    <t>BRAZA BANK S.A. BANCO DE CÂMBIO</t>
  </si>
  <si>
    <t>COOPERATIVA DE CRÉDITO, POUPANÇA E INVESTIMENTO EMPREENDEDORES - SICREDI EMPREENDEDORES PR</t>
  </si>
  <si>
    <t>COOPERATIVA DE CRÉDITO CREDIBAM LTDA. - SICOOB CREDIBAM</t>
  </si>
  <si>
    <t>BAMBUI</t>
  </si>
  <si>
    <t>COBUCCIO S/A - SOCIEDADE DE CRÉDITO, FINANCIAMENTO E INVESTIMENTOS</t>
  </si>
  <si>
    <t>COOPERATIVA DE ECONOMIA E CRÉDITO MÚTUO DOS PROFISSIONAIS DA ÁREA NOTARIAL E REGISTRAL - COOPNORE</t>
  </si>
  <si>
    <t>CALCARD S.A. - INSTITUIÇÃO DE PAGAMENTOS</t>
  </si>
  <si>
    <t>PALHOCA</t>
  </si>
  <si>
    <t>INTL FCSTONE</t>
  </si>
  <si>
    <t>BRINKS PAY INSTITUICAO DE PAGAMENTO LTDA</t>
  </si>
  <si>
    <t>COOPERATIVA DE CRÉDITO HORIZONTE - SICOOB HORIZONTE</t>
  </si>
  <si>
    <t>ARAPONGAS</t>
  </si>
  <si>
    <t>COOPERATIVA DE CRÉDITO CREDICAMPINA LTDA. - SICOOB CREDICAMPINA</t>
  </si>
  <si>
    <t>CAMPINA VERDE</t>
  </si>
  <si>
    <t>MÊNTORE INSTITUIÇÃO DE PAGAMENTO S.A.</t>
  </si>
  <si>
    <t>COOPERATIVA DE CRÉDITO DO VALE DOS PINHAIS - SICOOB VALE DOS PINHAIS</t>
  </si>
  <si>
    <t>CACADOR</t>
  </si>
  <si>
    <t>BARRACRED - COOPERATIVA DE ECONOMIA E CRÉDITO MÚTUO</t>
  </si>
  <si>
    <t>BARRA BONITA</t>
  </si>
  <si>
    <t>COOPERATIVA DE ECONOMIA E CRÉDITO MÚTUO - SICOOB COOPERAC</t>
  </si>
  <si>
    <t>PARATI - CREDITO, FINANCIAMENTO E INVESTIMENTO S.A.</t>
  </si>
  <si>
    <t>AGENCIA DE FOMENTO DE GOIAS S/A</t>
  </si>
  <si>
    <t>COOPERATIVA DE CRÉDITO DE LIVRE ADMISSÃO SICOOB CREDMISSÃO LTDA. - SICOOB CREDMISSÃO</t>
  </si>
  <si>
    <t>PIRAPORA</t>
  </si>
  <si>
    <t>COOPERATIVA DE CRÉDITO E ECONOMIA COM INTERAÇÃO SOLIDÁRIA - CRESOL DESENVOLVIMENTO</t>
  </si>
  <si>
    <t>LAUNCH PAD SOCIEDADE DE CRÉDITO DIRETO S.A.</t>
  </si>
  <si>
    <t>VIC-DISTRIBUIDORA DE TITULOS E VALORES MOBILIARIOS S/A</t>
  </si>
  <si>
    <t>Z-ON SOCIEDADE DE CRÉDITO DIRETO S.A.</t>
  </si>
  <si>
    <t>COOPERATIVA DE CRÉDITO DOS PROFISSIONAIS DE SAÚDE E DE LIVRE ADMISSÃO DO TRIÂNGULO MINEIRO E SUL DE MINAS LTDA. - UNICRED PROGRESSO</t>
  </si>
  <si>
    <t>COOPERATIVA DE CRÉDITO DE LIVRE ADMISSÃO DE ASSOCIADOS LTDA. - SICOOB JUDICIÁRIO</t>
  </si>
  <si>
    <t>COOPERATIVA DE CRÉDITO E INVESTIMENTO COM INTERAÇÃO SOLIDÁRIA TRANSAMAZÔNICA - CRESOL TRANSAMAZÔNICA</t>
  </si>
  <si>
    <t>PACAJA</t>
  </si>
  <si>
    <t>PLUXEE INSTITUIÇÃO DE PAGAMENTO BRASIL S.A.</t>
  </si>
  <si>
    <t>BRL TRUST</t>
  </si>
  <si>
    <t>COOPERATIVA DE ECONOMIA E CRÉDITO MÚTUO DO VALE DAS ANTAS LTDA. - UNICRED PIONEIRA</t>
  </si>
  <si>
    <t>CASCA</t>
  </si>
  <si>
    <t>COOPERATIVA DE CRÉDITO DOS MAGISTRADOS, SERVIDORES DA JUSTIÇA DO ESTADO DE GOIÁS E EMPREGADOS DA CELG LTDA. - SICOOB JURISCRED</t>
  </si>
  <si>
    <t>PLANNER</t>
  </si>
  <si>
    <t>COOPERATIVA DE CRÉDITO CREDIVAZ LTDA. - SICOOB CREDIVAZ</t>
  </si>
  <si>
    <t>VAZANTE</t>
  </si>
  <si>
    <t>COOPERATIVA DE CRÉDITO DE LIVRE ADMISSÃO DE JATAÍ E REGIÃO LTDA.</t>
  </si>
  <si>
    <t>JATAI</t>
  </si>
  <si>
    <t>ONEKEY PAYMENTS INSTITUICAO DE PAGAMENTO SA</t>
  </si>
  <si>
    <t>COOPERATIVA DE CRÉDITO DE LIVRE ADMISSÃO DE ITAJUBÁ LTDA - SICOOB SUDESTE MAIS</t>
  </si>
  <si>
    <t>ITAJUBA</t>
  </si>
  <si>
    <t>COOPERATIVA DE CRÉDITO E ECONOMIA COM INTERAÇÃO SOLIDÁRIA - CRESOL INOVAÇÃO</t>
  </si>
  <si>
    <t>CORONEL MARTINS</t>
  </si>
  <si>
    <t>COOPERATIVA DE CRÉDITO DE LIVRE ADMISSÃO DO BRASIL CENTRAL LTDA. - SICOOB EXECUTIVO</t>
  </si>
  <si>
    <t>COOPERATIVA DE CRÉDITO E ECONOMIA COM INTERAÇÃO SOLIDÁRIA DE SÃO VALENTIM - CRESOL SÃO VALENTIM</t>
  </si>
  <si>
    <t>SAO VALENTIM</t>
  </si>
  <si>
    <t>BEES INSTITUICAO DE PAGAMENTO LTDA.</t>
  </si>
  <si>
    <t>COOPERATIVA DE ECONOMIA E CRÉDITO MÚTUO DOS FUNCIONÁRIOS DA SECRETARIA DE ESTADO DA FAZENDA  DO ESTADO DE MINAS GERAIS E DE LIVRE ADMISSÃO LTDA - SICOOB COOPSEF</t>
  </si>
  <si>
    <t>COOPERATIVA DE CRÉDITO COOPCRED</t>
  </si>
  <si>
    <t>VALPARAISO</t>
  </si>
  <si>
    <t>COOPERATIVA DE CRÉDITO DE LIVRE ADMISSÃO CREDFAZ LTDA. - SICOOB CREDFAZ</t>
  </si>
  <si>
    <t>COOPERATIVA DE CRÉDITO CREDISUCESSO LTDA.- SICOOB CREDISUCESSO</t>
  </si>
  <si>
    <t>BOM SUCESSO</t>
  </si>
  <si>
    <t>COOPERATIVA DE CRÉDITO DE LIVRE ADMISSÃO DE ARCOS LTDA. - SICOOB ARCOMCREDI</t>
  </si>
  <si>
    <t>ARCOS</t>
  </si>
  <si>
    <t>FIDÚCIA SOCIEDADE DE CRÉDITO AO MICROEMPREENDEDOR E À EMPRESA DE PEQUENO PORTE LIMITADA.</t>
  </si>
  <si>
    <t>COOPERATIVA DE CRÉDITO DE LIVRE ADMISSÃO SICOOB COOPJUS LTDA.</t>
  </si>
  <si>
    <t>COOPERATIVA DE CREDITO CLASSICA DO ESTADO DO RIO DE JANEIRO - SICOOB EMPRESAS RJ</t>
  </si>
  <si>
    <t>SICOOB CRESSEM - COOPERATIVA DE ECONOMIA E CRÉDITO MUTUO DOS SERVIDORES MUNICIPAIS DA REGIÃO METROPOLITANA DO VALE DO PARAIBA E LITORAL NORTE</t>
  </si>
  <si>
    <t>CONTAAZUL INSTITUICAO DE PAGAMENTO LTDA.</t>
  </si>
  <si>
    <t>COOPERATIVA DE CRÉDITO SICOOB COOPMIL</t>
  </si>
  <si>
    <t>COOPERATIVA DE CRÉDITO CREDIESMERALDAS LTDA. - SICOOB CREDIESMERALDAS</t>
  </si>
  <si>
    <t>ESMERALDAS</t>
  </si>
  <si>
    <t>COOPERATIVA DE CRÉDITO DE LIVRE ADMISSÃO BRMIL LTDA. - SICOOB BRMIL</t>
  </si>
  <si>
    <t>HS FINANCEIRA S/A CREDITO, FINANCIAMENTO E INVESTIMENTOS</t>
  </si>
  <si>
    <t>DOIS IRMAOS</t>
  </si>
  <si>
    <t>CACTVS INSTITUICAO DE PAGAMENTO S.A</t>
  </si>
  <si>
    <t>RPW S/A SOCIEDADE DE CRÉDITO, FINANCIAMENTO E INVESTIMENTO</t>
  </si>
  <si>
    <t>STARK SOCIEDADE DE CRÉDITO DIRETO S.A.</t>
  </si>
  <si>
    <t>COOPERATIVA DE CRÉDITO VALE DO CANOAS - SICOOB/SC CREDICANOAS</t>
  </si>
  <si>
    <t>ABDON BATISTA</t>
  </si>
  <si>
    <t>COOPERATIVA DE CRÉDITO SICOOB ITAPAGIPE LTDA - SICOOB ITAPAGIPE</t>
  </si>
  <si>
    <t>ITAPAGIPE</t>
  </si>
  <si>
    <t>CAPPTA INSTITUIÇÃO DE PAGAMENTO S.A.</t>
  </si>
  <si>
    <t>AGÊNCIA DE FOMENTO DO ESTADO DE MATO GROSSO S/A - DESENVOLVE MT</t>
  </si>
  <si>
    <t>COOPERATIVA DE CRÉDITO DE LIVRE ADMISSÃO DE SANTA CRUZ DAS PALMEIRAS E REGIÃO</t>
  </si>
  <si>
    <t>SANTA CRUZ DAS PALMEIRAS</t>
  </si>
  <si>
    <t>ALESTA SOCIEDADE DE CREDITO DIRETO S.A.</t>
  </si>
  <si>
    <t>COOPERATIVA DE CRÉDITO SICOOB COOPEMAR LTDA</t>
  </si>
  <si>
    <t>MAIRI</t>
  </si>
  <si>
    <t>WESTERN UNION</t>
  </si>
  <si>
    <t>COOPERATIVA DE CRÉDITO DE LIVRE ADMISSÃO DA MARGEM ESQUERDA DO URUCUIA E SÃO FRANCISCO LTDA - SICOOB CREDICHAPADA</t>
  </si>
  <si>
    <t>CHAPADA GAUCHA</t>
  </si>
  <si>
    <t>TRANSFEERA INSTITUIÇÃO DE PAGAMENTO S.A</t>
  </si>
  <si>
    <t>COOPERATIVA DE CREDITO POTIGUAR - SICOOB POTIGUAR</t>
  </si>
  <si>
    <t>COOPERATIVA DE CREDITO E ECONOMIA COM INTERAÇÃO SOLIDÁRIA - CRESOL SERRA MAR</t>
  </si>
  <si>
    <t>RIO FORTUNA</t>
  </si>
  <si>
    <t>FINAMAX S.A. - CREDITO, FINANCIAMENTO E INVESTIMENTO</t>
  </si>
  <si>
    <t>JUNDIAI</t>
  </si>
  <si>
    <t>COOPERATIVA DE CRÉDITO DOS INTEGRANTES DO MINISTÉRIO PÚBLICO E DO PODER JUDICIÁRIO NOS ESTADOS DO AMAPÁ E CEARÁ E LIVRE ADMISSÃO NO ESTADO DO PARÁ - SICOOB COIMPPA</t>
  </si>
  <si>
    <t>COOPERATIVA CENTRAL DE CRÉDITO, POUPANÇA E INVESTIMENTO DO NORDESTE - CENTRAL SICREDI NORDESTE</t>
  </si>
  <si>
    <t>COOPERATIVA DE CRÉDITO - SICOOB CREDUNI</t>
  </si>
  <si>
    <t>ATIVA INVESTIMENTOS S.A. CORRETORA DE TÍTULOS, CÂMBIO E VALORES</t>
  </si>
  <si>
    <t>MONTE BRAVO CORRETORA DE TÍTULOS E VALORES MOBILIÁRIOS S.A.</t>
  </si>
  <si>
    <t>CREDISIS SUDOESTE/RO - COOPERATIVA DE CRÉDITO E INVESTIMENTO DO SUDOESTE DE RONDÔNIA</t>
  </si>
  <si>
    <t>ROLIM DE MOURA</t>
  </si>
  <si>
    <t>COOPERATIVA DE CRÉDITO DE LIVRE ADMISSÃO DE CERES E RIALMA LTDA</t>
  </si>
  <si>
    <t>CERES</t>
  </si>
  <si>
    <t>COOPERATIVA DE CRÉDITO LIVRE ADMISSÃO SICOOB OURICRED</t>
  </si>
  <si>
    <t>OURINHOS</t>
  </si>
  <si>
    <t>REAG IP S.A. - INSTITUIÇÃO DE PAGAMENTO</t>
  </si>
  <si>
    <t>COOPERATIVA DE CRÉDITO DA REGIÃO DO VALE DO RIO GRANDE LTDA. - SICOOB CREDILEITE</t>
  </si>
  <si>
    <t>CREDISIS CAPITALCREDI - COOPERATIVA DE CRÉDITO DE LIVRE ADMISSÃO DO ACRE LTDA</t>
  </si>
  <si>
    <t>COOPERATIVA DE CREDITO CREDLIDER - SICOOB CREDLIDER</t>
  </si>
  <si>
    <t>VOTUPORANGA</t>
  </si>
  <si>
    <t>COOPERATIVA DE CRÉDITO DE LIVRE ADMISSÃO DA REGIÃO DE GUAXUPÉ LTDA. - SICOOB ACICREDI</t>
  </si>
  <si>
    <t>ROADCARD INSTITUICAO DE PAGAMENTO INTEGRADO DA LOGISTICA S.A.</t>
  </si>
  <si>
    <t>COOPERATIVA DE CRÉDITO, POUPANÇA E INVESTIMENTO DOS INTEGRANTES DA MAGISTRATURA E DO MINISTÉRIO PÚBLICO NO ESTADO DO PARANÁ - SICREDI CREDJURIS</t>
  </si>
  <si>
    <t>ACG INSTITUIÇÃO DE PAGAMENTO S.A.</t>
  </si>
  <si>
    <t>COOPERATIVA DE ECONOMIA E CRÉDITO MÚTUO DOS SERVIDORES DA FEDERAÇÃO DO COMÉRCIO, SESC E SENAC DE SÃO PAULO</t>
  </si>
  <si>
    <t>SUL AMERICA INVESTIMENTOS DISTRIBUIDORA DE TITULOS E VALORES MOBILIARIOS S.A.</t>
  </si>
  <si>
    <t>SERVNET INSTITUIÇÃO DE PAGAMENTO LTDA.</t>
  </si>
  <si>
    <t>SICOOB CREDIMONTES - COOPERATIVA DE CRÉDITO DE LIVRE ADMISSÃO REGIONAL DE MONTES CLAROS LTDA</t>
  </si>
  <si>
    <t>TULLETT PREBON BRASIL</t>
  </si>
  <si>
    <t>COOPERATIVA DE CRÉDITO DE LIVRE ADMISSÃO DA REGIÃO DE SÃO SEBASTIÃO DO PARAÍSO LTDA. - SICOOB PARAÍSOCRED</t>
  </si>
  <si>
    <t>SRM BANK INSTITUIÇÃO DE PAGAMENTO S/A</t>
  </si>
  <si>
    <t>BOLT CARD INSTITUIÇÃO DE PAGAMENTOS LTDA.</t>
  </si>
  <si>
    <t>AGÊNCIA DE FOMENTO E DESENVOLVIMENTO DO ESTADO DO PIAUÍ S.A.</t>
  </si>
  <si>
    <t>COOPERATIVA DE CRÉDITO DE LIVRE ADMISSÃO CREDIEMBRAPA LTDA - SICOOB.</t>
  </si>
  <si>
    <t>C&amp;A PAY SOCIEDADE DE CRÉDITO DIRETO S.A.</t>
  </si>
  <si>
    <t>COOPERATIVA DE CRÉDITO SICOOB UNI SUL MS</t>
  </si>
  <si>
    <t>COOPERATIVA DE CREDITO E ECONOMIA COM INTERAÇÃO SOLIDARIA - CRESOL LITORAL</t>
  </si>
  <si>
    <t>JAGUARUNA</t>
  </si>
  <si>
    <t>COOPERATIVA DE CRÉDITO, POUPANÇA E INVESTIMENTO DOS PROFESSORES, FUNCIONÁRIOS E ALUNOS DA UNIVERSIDADE DE CAXIAS DO SUL - SICREDI EDUCAÇÃO RS</t>
  </si>
  <si>
    <t>COOPERATIVA DE CRÉDITO CREDICAPI LTDA - SICOOB CREDICAPI</t>
  </si>
  <si>
    <t>CAPITOLIO</t>
  </si>
  <si>
    <t>BRASIL CASH INSTITUICAO DE PAGAMENTO S.A</t>
  </si>
  <si>
    <t>PAGBRASIL INSTITUICAO DE PAGAMENTO LTDA</t>
  </si>
  <si>
    <t>BANCO DE LA PROVINCIA DE BUENOS AIRES</t>
  </si>
  <si>
    <t>CREDISIS CREDIBRÁS COOPERATIVA DE CRÉDITO E INVESTIMENTO DE LIVRE ADMISSÃO DO OESTE DE RONDÔNIA</t>
  </si>
  <si>
    <t>NOVA BRASILANDIA</t>
  </si>
  <si>
    <t>POMELO INSTITUICAO DE PAGAMENTO LTDA.</t>
  </si>
  <si>
    <t>COOPERATIVA DE CRÉDITO DE LIVRE ADMISSÃO DE ASSOCIADOS DE DORES DO INDAIÁ LTDA - SICOOB COOPCREDI</t>
  </si>
  <si>
    <t>DORES DO INDAIA</t>
  </si>
  <si>
    <t>COOPERATIVA DE ECONOMIA E CRÉDITO MÚTUO DOS FUNCIONÁRIOS DO ATACADÃO</t>
  </si>
  <si>
    <t>COOPERATIVA DE CRÉDITO DE LIVRE ADMISSÃO SICOOB UNIÃO SUDESTE</t>
  </si>
  <si>
    <t>SANTO ANDRE</t>
  </si>
  <si>
    <t>COOPERATIVA DE CRÉDITO DE LIVRE ADMISSÃO DE ASSOCIADOS - SICOOB CRUZ ALTA</t>
  </si>
  <si>
    <t>SINOSSERRA FINANCEIRA S/A - SOCIEDADE DE CRÉDITO, FINANCIAMENTO E INVESTIMENTO</t>
  </si>
  <si>
    <t>NOVO HAMBURGO</t>
  </si>
  <si>
    <t>CALCRED S.A. - CRÉDITO, FINANCIAMENTO E INVESTIMENTO</t>
  </si>
  <si>
    <t>COOPERATIVA DE CRÉDITO DE LIVRE ADMISSÃO DO OESTE MARANHENSE - SICOOB OESTE MARANHENSE</t>
  </si>
  <si>
    <t>ACAILANDIA</t>
  </si>
  <si>
    <t>VOX INSTITUICAO DE PAGAMENTO S.A.</t>
  </si>
  <si>
    <t>ITAQUAQUECETUBA</t>
  </si>
  <si>
    <t>COOPERATIVA DE CRÉDITO NO PIAUÍ - SICOOB PIAUÍ</t>
  </si>
  <si>
    <t>COOPERATIVA DE ECONOMIA E CRÉDITO MÚTUO DOS MILITARES ESTADUAIS DE SANTA CATARINA - CREDPOM</t>
  </si>
  <si>
    <t>COOPERATIVA DE CRÉDITO DE LIVRE ADMISSÃO DO CIRCUITO DAS ÁGUAS - SICOOB CIRCUITO DAS ÁGUAS</t>
  </si>
  <si>
    <t>AGUAS DE LINDOIA</t>
  </si>
  <si>
    <t>COOPERATIVA DE CRÉDITO POPULAR DO BRASIL - CREHNOR</t>
  </si>
  <si>
    <t>COOPERATIVA DE CRÉDITO SICOOB IPÊ - SICOOB IPÊ</t>
  </si>
  <si>
    <t>PLANTAE S.A. - CRÉDITO, FINANCIAMENTO E INVESTIMENTO</t>
  </si>
  <si>
    <t>COOPERATIVA DE CRÉDITO DE RIO RUFINO - SICOOB CREDIUNIÃO</t>
  </si>
  <si>
    <t>RIO RUFINO</t>
  </si>
  <si>
    <t>PAY4FUN INSTITUICAO DE PAGAMENTO S.A.</t>
  </si>
  <si>
    <t>GPATIVA - COOPERATIVA DE ECONOMIA E CRÉDITO MÚTUO DOS EMPREGADOS DO GRUPO PÃO DE AÇÚCAR</t>
  </si>
  <si>
    <t>COOPERATIVA DE CRÉDITO RURAL DOS FORNECEDORES DE CANA DA REGIÃO DE CATANDUVA-COFOCRED</t>
  </si>
  <si>
    <t>CATANDUVA</t>
  </si>
  <si>
    <t>PINBANK BRASIL INSTITUIÇÃO DE PAGAMENTO S.A.</t>
  </si>
  <si>
    <t>COOPERATIVA DE CRÉDITO CREDIMAC LTDA - SICOOB CREDIMAC</t>
  </si>
  <si>
    <t>MARTINHO CAMPOS</t>
  </si>
  <si>
    <t>COOPERATIVA DE CRÉDITO DE LIVRE ADMISSÃO DO ESTADO DO PARÁ - SICOOB COOESA</t>
  </si>
  <si>
    <t>BIZ INSTITUIÇÃO DE PAGAMENTO S.A.</t>
  </si>
  <si>
    <t>COOPERATIVA DE ECONOMIA E CRÉDITO MÚTUO DOS TRABALHADORES DO GRUPO SÃO MARTINHO   USICRED</t>
  </si>
  <si>
    <t>PRADOPOLIS</t>
  </si>
  <si>
    <t>COOPERATIVA DE ECONOMIA E CRÉDITO MÚTUO E BENEFÍCIOS SOCIAIS BECOOPER</t>
  </si>
  <si>
    <t>COOPERATIVA DE CRÉDITO MÚTUO DO CEARÁ - SICOOB CEARÁ</t>
  </si>
  <si>
    <t>COOPERATIVA DE CRÉDITO SICOOB CREDCOOP LTDA.</t>
  </si>
  <si>
    <t>COOPER CARD INSTITUIÇÃO DE PAGAMENTO LTDA.</t>
  </si>
  <si>
    <t>COOPERATIVA DE CRÉDITO DE LIVRE ADMISSÃO DE VITÓRIA DA CONQUISTA - UNICRED SUDOESTE DA BAHIA</t>
  </si>
  <si>
    <t>COOPERATIVA DE ECONOMIA E CRÉDITO MÚTUO DE LIVRE ADMISSÃO DOS SERVIDORES DA UNIVERSIDADE FEDERAL DE VIÇOSA LTDA. - SICOOB UFVCREDI</t>
  </si>
  <si>
    <t>VICOSA</t>
  </si>
  <si>
    <t>UY3 SOCIEDADE DE CRÉDITO DIRETO S/A</t>
  </si>
  <si>
    <t>COOPERATIVA DE CREDITO E ECONOMIA COM INTERAÇÃO SOLIDÁRIA - CRESOL JACINTO MACHADO</t>
  </si>
  <si>
    <t>COOPERATIVA DE CRÉDITO, POUPANÇA E INVESTIMENTO DOS MILITARES ESTADUAIS E SERVIDORES DA SEGURANÇA DO ESTADO DO RIO GRANDE DO SUL - SICREDI TRADIÇÃO RS</t>
  </si>
  <si>
    <t>GREENCRED - COOPERATIVA DE CREDITO</t>
  </si>
  <si>
    <t>COOPERATIVA DE ECONOMIA E CRÉDITO MÚTUO SICOOB METALCRED</t>
  </si>
  <si>
    <t>COOPERATIVA DE CRÉDITO MÚTUO DOS CORRETORES DE SEGUROS DO ESTADO DE SÃO PAULO - SICOOB CREDICOR/SP</t>
  </si>
  <si>
    <t>COOPERATIVA DE CREDITO E ECONOMIA COM INTERAÇÃO SOLIDÁRIA - CRESOL TREZE DE MAIO</t>
  </si>
  <si>
    <t>TREZE DE MAIO</t>
  </si>
  <si>
    <t>BELLUNO INSTITUICAO DE PAGAMENTO LTDA</t>
  </si>
  <si>
    <t>JARAGUA DO SUL</t>
  </si>
  <si>
    <t>COOPERATIVA DE CRÉDITO E INVESTIMENTOS DE RONDÔNIA - SICOOB CREDJURD</t>
  </si>
  <si>
    <t>COOPERATIVA DE CRÉDITO UNIPRIME CREDICANA</t>
  </si>
  <si>
    <t>ASSIS</t>
  </si>
  <si>
    <t>ASTRO INSTITUICAO DE PAGAMENTO LTDA.</t>
  </si>
  <si>
    <t>COOPERATIVA DE CRÉDITO CREDINOSSO LTDA - SICOOB CREDINOSSO</t>
  </si>
  <si>
    <t>PAY2ALL INSTITUICAO DE PAGAMENTO LTDA</t>
  </si>
  <si>
    <t>NSTECH IP INSTITUICAO DE PAGAMENTO S.A.</t>
  </si>
  <si>
    <t>COOPERFEMSA - COOPERATIVA DE CRÉDITO</t>
  </si>
  <si>
    <t>COOPERATIVA DE CRÉDITO MÚTUO DOS PROFISSIONAIS DA SAÚDE E LIVRE ADMISSÃO DE TEÓFILO OTONI LTDA. - UNICRED TRÊS VALES</t>
  </si>
  <si>
    <t>COOPERATIVA DE CRÉDITO MÚTUO DOS DESPACHANTES DE TRÂNSITO DE SANTA CATARINA E RIO GRANDE DO SUL - SICOOB CREDITRAN</t>
  </si>
  <si>
    <t>COOPERATIVA DE CRÉDITO DOS EMPREGADOS DO GRUPO VALLOUREC NO BRASIL - COOVALL LTDA.</t>
  </si>
  <si>
    <t>COOPERATIVA DE ECONOMIA E CRÉDITO MÚTUO - COOPERSERV</t>
  </si>
  <si>
    <t>LENCOIS PAULISTA</t>
  </si>
  <si>
    <t>GOOGLE PAY BRASIL INSTITUICAO DE PAGAMENTO LTDA.</t>
  </si>
  <si>
    <t>COOPERATIVA DE CRÉDITO DE LIVRE ADMISSÃO - SICOOB COPESITA</t>
  </si>
  <si>
    <t>TIMOTEO</t>
  </si>
  <si>
    <t>COOPERATIVA DE ECONOMIA E CRÉDITO DE LIVRE ADMISSÃO DOS EMPREGADOS DOS CORREIOS LTDA. - SICOOB COOPERCORREIOS</t>
  </si>
  <si>
    <t>SOMAPAY SOCIEDADE DE CRÉDITO DIRETO S.A.</t>
  </si>
  <si>
    <t>COOPERATIVA DE ECONOMIA E CRÉDITO MÚTUO DOS SERVIDORES DA JUSTIÇA DO ESTADO DE MINAS GERAIS LTDA. - SICOOB CREDJUS</t>
  </si>
  <si>
    <t>TRIO INSTITUICAO DE PAGAMENTO LTDA.</t>
  </si>
  <si>
    <t>EAGLE INSTITUICAO DE PAGAMENTO LTDA.</t>
  </si>
  <si>
    <t>COOPERATIVA DE CRÉDITO, POUPANÇA E INVESTIMENTO DOS ESCRIVÃES, NOTÁRIOS E REGISTRADORES NO ESTADO DO PARANÁ - SICREDI CREDENOREG PR</t>
  </si>
  <si>
    <t>ACCREDITO - SOCIEDADE DE CRÉDITO DIRETO S.A.</t>
  </si>
  <si>
    <t>PAGME INSTITUIÇÃO DE PAGAMENTO LTDA.</t>
  </si>
  <si>
    <t>NVIO BRASIL BITSO INSTITUIÇÃO DE PAGAMENTO LTDA</t>
  </si>
  <si>
    <t>SOLVER INSTITUICAO DE PAGAMENTO LTDA</t>
  </si>
  <si>
    <t>COOPERATIVA DE CRÉDITO E ECONOMIA COM INTERAÇÃO SOLIDÁRIA - CRESOL COOPERACRED</t>
  </si>
  <si>
    <t>SAO JOAO DO SUL</t>
  </si>
  <si>
    <t>COOPERATIVA DE CRÉDITO MÚTUO DOS EMPREGADOS DA MAXION - CREDMAXION</t>
  </si>
  <si>
    <t>CRUZEIRO</t>
  </si>
  <si>
    <t>FAIR SOCIEDADE CORRETORA DE CÂMBIO S.A.</t>
  </si>
  <si>
    <t>CAPITAL CONSIG SOCIEDADE DE CRÉDITO DIRETO S.A.</t>
  </si>
  <si>
    <t>MAREE IP - FINANCEIRO</t>
  </si>
  <si>
    <t>COOPERATIVA DE CRÉDITO, POUPANÇA E INVESTIMENTO DO SISTEMA DE JUSTIÇA NO ESTADO DO CEARÁ - SICREDI COOPERJURIS</t>
  </si>
  <si>
    <t>COOPERATIVA DE CRÉDITO MÚTUO DE LIVRE ADMISSÃO DA REGIÃO ADMINISTRATIVA DE SOROCABA - SICOOB COOPERASO</t>
  </si>
  <si>
    <t>COOPERATIVA DE ECONOMIA E CRÉDITO MÚTUO DOS SERVIDORES PÚBLICOS - SICOOB COOPERPLAN CREDSEF</t>
  </si>
  <si>
    <t>REPASSES FINANCEIROS E SOLUCOES TECNOLOGICAS INSTITUICAO DE PAGAMENTO S.A.</t>
  </si>
  <si>
    <t>MERCADO BITCOIN INSTITUICAO DE PAGAMENTO LTDA</t>
  </si>
  <si>
    <t>COOPERATIVA DE CRÉDITO DE LIVRE ADMISSÃO SUL MARANHENSE - SICOOB SUL MARANHENSE</t>
  </si>
  <si>
    <t>BALSAS</t>
  </si>
  <si>
    <t>CREDISIS OESTE - COOPERATIVA DE CRÉDITO E INVESTIMENTO DO OESTE</t>
  </si>
  <si>
    <t>ESPIGAO D'OESTE</t>
  </si>
  <si>
    <t>INOVANTI INSTITUIÇÃO DE PAGAMENTO S.A.</t>
  </si>
  <si>
    <t>MT INSTITUICAO DE PAGAMENTO SA</t>
  </si>
  <si>
    <t>COOPERATIVA DE CRÉDITO, POUPANÇA E INVESTIMENTO DOS PROFISSIONAIS MÉDICOS E DA SAÚDE DE CURITIBA E REGIÃO METROPOLITANA - SICREDI MEDICRED PR</t>
  </si>
  <si>
    <t>PAGCERTO INSTITUICAO DE PAGAMENTO LTDA.</t>
  </si>
  <si>
    <t>CREDITÁ S/A CRÉDITO, FINANCIAMENTO E INVESTIMENTO</t>
  </si>
  <si>
    <t>GOWD INSTITUIÇÃO DE PAGAMENTO LTDA.</t>
  </si>
  <si>
    <t>PAY INSTITUICAO DE PAGAMENTO S.A.</t>
  </si>
  <si>
    <t>DELFINANCE SOCIEDADE DE CREDITO DIRETO S.A.</t>
  </si>
  <si>
    <t>KANASTRA FINANCEIRA S.A, CREDITO, FINANCIAMENTO E INVESTIMENTO</t>
  </si>
  <si>
    <t>CELCOIN SOCIEDADE DE CRÉDITO DIRETO S.A.</t>
  </si>
  <si>
    <t>COOPERATIVA DE CRÉDITO DE LIVRE ADMISSÃO CENTRO NORDESTE - SICOOB CENTRO NORDESTE</t>
  </si>
  <si>
    <t>COOPERATIVA DE ECONOMIA E CRÉDITO MÚTUO DOS MAGISTRADOS DE SÃO PAULO - MAGISCRED</t>
  </si>
  <si>
    <t>AVANCARD PROVER INSTITUIÇÃO DE PAGAMENTO LTDA</t>
  </si>
  <si>
    <t>COOPERATIVA DE CRÉDITO, POUPANÇA E INVESTIMENTO DA ADVOCACIA E SERVENTUÁRIOS DO PODER JUDICIÁRIO NO ESTADO DO RIO GRANDE DO SUL - SICREDI COOABCRED RS</t>
  </si>
  <si>
    <t>NG CASH INSTITUIÇÃO DE PAGAMENTO LTDA.</t>
  </si>
  <si>
    <t>JBCRED S.A. SOCIEDADE DE CREDITO, FINANCIAMENTO E INVESTIMENTO</t>
  </si>
  <si>
    <t>CM CAPITAL MARKETS CORRETORA DE CÂMBIO, TÍTULOS E VALORES MOBILIÁRIOS LTDA</t>
  </si>
  <si>
    <t>COOPERATIVA DE CRÉDITO DE SÃO FRANCISCO DE SALES LTDA. - SICOOB CREDISALES</t>
  </si>
  <si>
    <t>SAO FRANCISCO DE SALES</t>
  </si>
  <si>
    <t>COOPERATIVA DE CRÉDITO COGEM</t>
  </si>
  <si>
    <t>MULTIPLIKE FINANCEIRA S.A. SOCIEDADE DE CRÉDITO, FINANCIAMENTO E INVESTIMENTO</t>
  </si>
  <si>
    <t>COOPERATIVA DE CRÉDITO, POUPANÇA E INVESTIMENTO DOS POLICIAIS FEDERAIS DO RIO GRANDE DO SUL E SANTA CATARINA - SICREDI POL RS/SC</t>
  </si>
  <si>
    <t>AGENCIA DE FOMENTO DO RIO GRANDE DO NORTE S.A.</t>
  </si>
  <si>
    <t>LECCA CRÉDITO, FINANCIAMENTO E INVESTIMENTO S/A</t>
  </si>
  <si>
    <t>COOPERATIVA DE ECONOMIA E CRÉDITO MÚTUO DOS FUNCIONÁRIOS DA  NESTLÉ - NESCRED</t>
  </si>
  <si>
    <t>CENTROCRED S.A. CRÉDITO, FINANCIAMENTO E INVESTIMENTOS</t>
  </si>
  <si>
    <t>COOPERATIVA DE CRÉDITO, POUPANÇA E INVESTIMENTO DAS CARREIRAS DO MINISTÉRIO PÚBLICO, TRIBUNAL DE CONTAS E SECRETARIA DA FAZENDA DO RIO GRANDE DO SUL - SICREDI MP RS</t>
  </si>
  <si>
    <t>SICOOB CRED COPERCANA COOPERATIVA DE CRÉDITO</t>
  </si>
  <si>
    <t>BANCO SANY BRASIL S.A.</t>
  </si>
  <si>
    <t>PROTEGE CASH INSTITUIÇÃO DE PAGAMENTO S.A.</t>
  </si>
  <si>
    <t>COOPERATIVA DE CRÉDITO MÚTUO - SICOOB CREDIACISC</t>
  </si>
  <si>
    <t>SITA SOCIEDADE CORRETORA DE CAMBIO E VALORES MOBILIARIOS S.A</t>
  </si>
  <si>
    <t>SICOOB CREDIMED - COOPERATIVA DE CRÉDITO DE LIVRE ADMISSÃO DA CIDADE DE UBERABA LTDA.</t>
  </si>
  <si>
    <t>COOPERATIVA DE CRÉDITO - SICREDI LENÇÓIS</t>
  </si>
  <si>
    <t>SAO LUIS</t>
  </si>
  <si>
    <t>ID CORRETORA DE TÍTULOS E VALORES MOBILIÁRIOS S.A.</t>
  </si>
  <si>
    <t>GALAX PAY INSTITUIÇÃO DE PAGAMENTO S.A.</t>
  </si>
  <si>
    <t>WOOVI INSTITUICAO DE PAGAMENTO LTDA</t>
  </si>
  <si>
    <t>BANCO DE LA NACION ARGENTINA</t>
  </si>
  <si>
    <t>GRAZZIOTIN FINANCEIRA S/A - CRÉDITO, FINANCIAMENTO E INVESTIMENTOS</t>
  </si>
  <si>
    <t>NOVA FUTURA CORRETORA DE TÍTULOS E VALORES MOBILIÁRIOS LTDA.</t>
  </si>
  <si>
    <t>VERT DISTRIBUIDORA DE TÍTULOS E VALORES MOBILIÁRIOS LTDA</t>
  </si>
  <si>
    <t>COOPERATIVA DE CRÉDITO CREDIPIMENTA LTDA. - SICOOB CREDIPIMENTA</t>
  </si>
  <si>
    <t>PIMENTA</t>
  </si>
  <si>
    <t>COOPERATIVA DE CRÉDITO MÚTUO DOS SERVIDORES MUNICIPAIS DE SÃO JOÃO DA BOA VISTA - CREDIVISTA</t>
  </si>
  <si>
    <t>COOPERATIVA DE CRÉDITO DOS CONTADORES, ADMINISTRADORES DE EMPRESAS, ECONOMISTAS E CORRETORES DE SEGUROS LTDA. - SICOOB CREDITABIL</t>
  </si>
  <si>
    <t>MOVA SOCIEDADE DE EMPRÉSTIMO ENTRE PESSOAS S.A.</t>
  </si>
  <si>
    <t>COOPERATIVA DE ECONOMIA E CRÉDITO MÚTUO DOS EMPRESÁRIOS DE AMERICANA, LIMEIRA E REGIÃO - SICOOB ACICRED</t>
  </si>
  <si>
    <t>AMERICANA</t>
  </si>
  <si>
    <t>99PAY SOCIEDADE DE CRÉDITO DIRETO S.A.</t>
  </si>
  <si>
    <t>CREFAZ SOCIEDADE DE CRÉDITO AO MICROEMPREENDEDOR E A EMPRESA DE PEQUENO PORTE S.A.</t>
  </si>
  <si>
    <t>CARTOS SOCIEDADE DE CRÉDITO DIRETO S.A.</t>
  </si>
  <si>
    <t>COOPERATIVA DE CRÉDITO MÚTUO DOS EMPREGADOS DO MAGAZINE LUIZA, EMPRESAS CONTROLADAS E COLIGADAS - COOPLUIZA</t>
  </si>
  <si>
    <t>COOPERÁGUIA - COOPERATIVA DE ECONOMIA E CRÉDITO MÚTUO DOS EMPREGADOS DO GRUPO ÁGUIA BRANCA</t>
  </si>
  <si>
    <t>CARIACICA</t>
  </si>
  <si>
    <t>SOCIEDADE DE CRÉDITO, FINANCIAMENTO E INVESTIMENTO EFÍ S.A.</t>
  </si>
  <si>
    <t>SIMPAUL CORRETORA DE CAMBIO E VALORES MOBILIARIOS  S.A.</t>
  </si>
  <si>
    <t>DIREÇÃO S.A. - SOCIEDADE DE CRÉDITO, FINANCIAMENTO E INVESTIMENTO</t>
  </si>
  <si>
    <t>BK INSTITUIÇÃO DE PAGAMENTO S.A.</t>
  </si>
  <si>
    <t>CREDISIS/CREDISUL COOPERATIVA DE CRÉDITO</t>
  </si>
  <si>
    <t>LIONS TRUST DISTRIBUIDORA DE TÍTULOS E VALORES MOBILIÁRIOS LTDA.</t>
  </si>
  <si>
    <t>AGÊNCIA DE FOMENTO DO ESTADO DO TOCANTINS S.A.</t>
  </si>
  <si>
    <t>PALMAS</t>
  </si>
  <si>
    <t>COOPERATIVA DE ECONOMIA E CREDITO MUTUO DOS EMPREGADOS DAS EMPRESAS RANDON</t>
  </si>
  <si>
    <t>SICOOB CREDICONSUMO - COOPERATIVA DE CRÉDITO</t>
  </si>
  <si>
    <t>BANCO INDUSCRED DE INVESTIMENTO S.A.</t>
  </si>
  <si>
    <t>GALAPAGOS CAPITAL DISTRIBUIDORA DE TÍTULOS E VALORES MOBILIÁRIOS S.A.</t>
  </si>
  <si>
    <t>COOPERATIVA DE ECONOMIA E CRÉDITO MÚTUO DOS EMPREGADOS DO BANRISUL</t>
  </si>
  <si>
    <t>COOPERATIVA DE ECONOMIA E CRÉDITO MÚTUO DOS SERVIDORES DA FUNDAÇÃO HOSPITALAR E EMPREGADOS DOS ESTABELECIMENTOS HOSPITALARES DE BELO HORIZONTE, REGIÃO METROPOLITANA E ZONA DA MATA LTDA.- SICOOB CECREF</t>
  </si>
  <si>
    <t>HEMERA DISTRIBUIDORA DE TÍTULOS E VALORES MOBILIÁRIOS LTDA.</t>
  </si>
  <si>
    <t>AGÊNCIA DE FOMENTO DO ESTADO DE PERNAMBUCO S.A.</t>
  </si>
  <si>
    <t>COOPERATIVA DE ECONOMIA E CRÉDITO MÚTUO DOS SERVIDORES PÚBLICOS DO ESTADO DE SÃO PAULO - CREDIPAULISTA</t>
  </si>
  <si>
    <t>COOPERATIVA DE CRÉDITO DE LIVRE ADMISSÃO DA REGIÃO SUL DO MARANHÃO - SICREDI SUL DO MARANHÃO</t>
  </si>
  <si>
    <t>IMPERATRIZ</t>
  </si>
  <si>
    <t>BANCO RNX S.A.</t>
  </si>
  <si>
    <t>ATTRUS INSTITUIÇÃO DE PAGAMENTO S/A</t>
  </si>
  <si>
    <t>NOVA LIMA</t>
  </si>
  <si>
    <t>NUPAY FOR BUSINESS INSTITUICAO DE PAGAMENTO LTDA.</t>
  </si>
  <si>
    <t>COOPERATIVA DE CRÉDITO CLÁSSICA DOS EMPREGADOS DA VALE S/A E ENTIDADES VINCULADAS LTDA. - SICOOB COOPVALE</t>
  </si>
  <si>
    <t>COOPERATIVA DE CREDITO SICOOB COOPEC LTDA.</t>
  </si>
  <si>
    <t>BANCO CEDULA S.A.</t>
  </si>
  <si>
    <t>HINOVA PAY INSTITUICAO DE PAGAMENTO S.A.</t>
  </si>
  <si>
    <t>FLAGSHIP INSTITUICAO DE PAGAMENTO LTDA</t>
  </si>
  <si>
    <t>PINPAG INSTITUIÇÃO DE PAGAMENTO S.A.</t>
  </si>
  <si>
    <t>SAO CAETANO DO SUL</t>
  </si>
  <si>
    <t>IFOOD PAGO SOCIEDADE DE CRÉDITO DIRETO S.A.</t>
  </si>
  <si>
    <t>ARTTA SOCIEDADE DE CRÉDITO DIRETO S.A</t>
  </si>
  <si>
    <t>F &amp; F INSTITUICAO DE PAGAMENTO S. A.</t>
  </si>
  <si>
    <t>VALOR S/A SOCIEDADE DE CRÉDITO, FINANCIAMENTO E INVESTIMENTO</t>
  </si>
  <si>
    <t>FINVEST DISTRIBUIDORA DE TÍTULOS E VALORES MOBILIÁRIOS LTDA.</t>
  </si>
  <si>
    <t>FINAXIS</t>
  </si>
  <si>
    <t>COOPERATIVA DE ECONOMIA E CRÉDITO MÚTUO DOS FUNCIONÁRIOS DA CARGILL</t>
  </si>
  <si>
    <t>COOPERATIVA DE ECONOMIA E CRÉDITO MÚTUO DOS EMPREGADOS DA CENTRAIS ELÉTRICAS DE SANTA CATARINA - CREDELESC</t>
  </si>
  <si>
    <t>H H PICCHIONI S/A CORRETORA DE CAMBIO E VALORES MOBILIARIOS</t>
  </si>
  <si>
    <t>SMART SOLUTIONS GROUP INSTITUICAO DE PAGAMENTO LTDA</t>
  </si>
  <si>
    <t>ISSUER INSTITUICAO DE PAGAMENTO LTDA.</t>
  </si>
  <si>
    <t>COOPERATIVA DE ECONOMIA E CRÉDITO MÚTUO DO GRUPO BASF</t>
  </si>
  <si>
    <t>INTEX BANK BANCO DE CÂMBIO S.A.</t>
  </si>
  <si>
    <t>COOPERATIVA DE CRÉDITO DE ITAPETININGA - SICOOB CRED-ACI</t>
  </si>
  <si>
    <t>ITAPETININGA</t>
  </si>
  <si>
    <t>COOPERATIVA DE CRÉDITO MÚTUO DOS SERVIDORES PÚBLICOS - CREDI-SP</t>
  </si>
  <si>
    <t>SBXPAY INSTITUIÇÃO DE PAGAMENTO LTDA</t>
  </si>
  <si>
    <t>COOPERATIVA DE CAPITAL E EMPRÉSTIMO COOPERMULTICRED - COOPERMC</t>
  </si>
  <si>
    <t>GUARULHOS</t>
  </si>
  <si>
    <t>FORIS GFS BR INSTITUICAO DE PAGAMENTO LTDA</t>
  </si>
  <si>
    <t>FUTURO SOCIEDADE DE CRÉDITO DIRETO S.A.</t>
  </si>
  <si>
    <t>KIWIFY INSTITUICAO DE PAGAMENTO LTDA</t>
  </si>
  <si>
    <t>BALNEARIO CAMBORIU</t>
  </si>
  <si>
    <t>ECONOMISA COMPANHIA HIPOTECÁRIA.</t>
  </si>
  <si>
    <t>SOLFÁCIL SOCIEDADE DE CRÉDITO, FINANCIAMENTO E INVESTIMENTO S.A.</t>
  </si>
  <si>
    <t>CODEPE</t>
  </si>
  <si>
    <t>CREDSYSTEM SOCIEDADE DE CRÉDITO DIRETO S.A.</t>
  </si>
  <si>
    <t>COOPERATIVA DE ECONOMIA E CREDITO MUTUO DOS MEDICOS E DEMAIS PROFISSIONAIS DA SAUDE DE JOACABA</t>
  </si>
  <si>
    <t>COOPERATIVA DE ECONOMIA E CRÉDITO MÚTUO DOS EMPREGADOS DA MONDELEZ BRASIL E PHILIP MORRIS BRASIL - SICOOB COOPMOND</t>
  </si>
  <si>
    <t>OM DISTRIBUIDORA DE TÍTULOS E VALORES MOBILIÁRIOS LTDA</t>
  </si>
  <si>
    <t>LISTO INSTITUICAO DE PAGAMENTO LTDA</t>
  </si>
  <si>
    <t>REMITLY CORRETORA DE CÂMBIO LTDA.</t>
  </si>
  <si>
    <t>GUITTA CORRETORA DE CAMBIO LTDA.</t>
  </si>
  <si>
    <t>COOPERATIVA DE ECONOMIA E CRÉDITO MÚTUO SICOOB CRED-ACILPA</t>
  </si>
  <si>
    <t>CREDISIS COOPERUFPA - COOPERATIVA DE ECONOMIA E CRÉDITO MÚTUO DOS SERVIDORES PÚBLICOS FEDERAIS E ESTADUAIS E DAS ENTIDADES DE ENSINO COM SEUS RESPECTIVOS FUNCIONÁRIOS NO ESTADO DO PARÁ</t>
  </si>
  <si>
    <t>AGÊNCIA DE FOMENTO DE ALAGOAS S.A.</t>
  </si>
  <si>
    <t>COOPERATIVA  ECONOMIA CRÉDITO MÚTUO  SERVS E EMPREGADOS PÚBLICOS MUNIC DE BELO HORIZONTE BETIM BRUMADINHO CONTAGEM IBIRITÉ NOVA LIMA RIBEIRÃO DAS NEVES SABARÁ SANTA LUZIA E VESPASIANO SICOOB CREDISERV</t>
  </si>
  <si>
    <t>SANTS SOCIEDADE DE CRÉDITO DIRETO S.A.</t>
  </si>
  <si>
    <t>COOPERATIVA DE CRÉDITO RURAL DOS PLANTADORES DE CANA DE ALAGOAS</t>
  </si>
  <si>
    <t>COOPERATIVA DE ECONOMIA E CRÉDITO MÚTUO DOS EMPREGADOS DO GRUPO COLORADO</t>
  </si>
  <si>
    <t>GUAIRA</t>
  </si>
  <si>
    <t>AZUMI DISTRIBUIDORA DE TÍTULOS E VALORES MOBILIÁRIOS LTDA.</t>
  </si>
  <si>
    <t>GLOBAL EXCHANGE DO BRASIL SOCIEDADE CORRETORA DE CÂMBIO LTDA.</t>
  </si>
  <si>
    <t>HR DIGITAL - SOCIEDADE DE CRÉDITO DIRETO S/A</t>
  </si>
  <si>
    <t>MONEYCORP BANCO DE CÂMBIO S.A.</t>
  </si>
  <si>
    <t>BT CORRETORA DE CÂMBIO LTDA.</t>
  </si>
  <si>
    <t>HEDGEPOINT GLOBAL MARKETS DISTRIBUIDORA DE TITULOS E VALORES MOBILIÁRIOS LTDA.</t>
  </si>
  <si>
    <t>J17 SCD - FINANCEIRO</t>
  </si>
  <si>
    <t>SERVICOOP - COOPERATIVA DE CRÉDITO DOS SERVIDORES PÚBLICOS ESTADUAIS E MUNICIPAIS DO RIO GRANDE DO SUL</t>
  </si>
  <si>
    <t>FFCRED SOCIEDADE DE CRÉDITO DIRETO S.A..</t>
  </si>
  <si>
    <t>COOPERATIVA DE ECONOMIA E CREDITO MUTUO DOS FUNCIONARIOS DA COMIGO</t>
  </si>
  <si>
    <t>INDEPENDÊNCIA COOPERATIVA DE CRÉDITO E INVESTIMENTO - INDEPENDÊNCIA COOPERATIVA DE CRÉDITO</t>
  </si>
  <si>
    <t>GOLCRED S/A - CRÉDITO, FINANCIAMENTO E INVESTIMENTO</t>
  </si>
  <si>
    <t>TAMBASA SOCIEDADE DE CRÉDITO DIRETO S.A.</t>
  </si>
  <si>
    <t>MW INSTITUICAO DE PAGAMENTO LTDA</t>
  </si>
  <si>
    <t>LISTO SOCIEDADE DE CREDITO DIRETO S.A.</t>
  </si>
  <si>
    <t>CORRETORA GERAL DE VALORES E CÂMBIO LTDA</t>
  </si>
  <si>
    <t>COOPERATIVA DE CRÉDITO MÚTUO DOS SERVIDORES FEDERAIS NA PARAÍBA - SICOOB COOPERCRET</t>
  </si>
  <si>
    <t>COOPERATIVA DE CRÉDITO CREDICENTRO</t>
  </si>
  <si>
    <t>ACTUAL DISTRIBUIDORA DE TÍTULOS E VALORES MOBILIÁRIOS S.A.</t>
  </si>
  <si>
    <t>BIGCASH SOCIEDADE DE CREDITO DIRETO S.A.</t>
  </si>
  <si>
    <t>VILLELA INSTITUICAO DE PAGAMENTO S/A.</t>
  </si>
  <si>
    <t>COOPERATIVA DE ECONOMIA E CRÉDITO MÚTUO DOS EMPREGADOS DO GRUPO SCHAEFFLER</t>
  </si>
  <si>
    <t>MAX INSTITUIÇÃO DE PAGAMENTO LTDA</t>
  </si>
  <si>
    <t>BSN PAGAMENTOS INSTITUIÇÃO DE PAGAMENTO LTDA</t>
  </si>
  <si>
    <t>AZIMUT BRASIL DISTRIBUIDORA DE TÍTULOS E VALORES MOBILIÁRIOS LTDA</t>
  </si>
  <si>
    <t>B3 INSTITUICAO DE PAGAMENTO LTDA</t>
  </si>
  <si>
    <t>COOPERATIVA DE ECONOMIA E CRÉDITO MÚTUO DOS FUNCIONÁRIOS DA FUNDAÇÃO ZERBINI E DA FUNDAÇÃO FACULDADE DE MEDICINA (FFM) - COOPINCOR</t>
  </si>
  <si>
    <t>COINVALORES CORRETORA DE CÂMBIO E VALORES MOBILIÁRIOS LTDA.</t>
  </si>
  <si>
    <t>SAFETYPAY BRASIL INSTITUICAO DE PAGAMENTO LTDA</t>
  </si>
  <si>
    <t>COBANSA COMPANHIA HIPOTECARIA</t>
  </si>
  <si>
    <t>COOPERATIVA    DE    ECONOMIA    E    CRÉDITO   MÚTUO  MINUANO</t>
  </si>
  <si>
    <t>CANOAS</t>
  </si>
  <si>
    <t>COOPERATIVA DE CRÉDITO MÚTUO DO ABC - COOPER 7</t>
  </si>
  <si>
    <t>COOPERATIVA DE ECONOMIA E CRÉDITO MÚTUO DOS EMPREGADOS DA CBMM LTDA.</t>
  </si>
  <si>
    <t>COOPERATIVA DE ECONOMIA E CRÉDITO MÚTUO DOS SERVIDORES DA UNIVERSIDADE ESTADUAL DE CAMPINAS - COOPERUNICAMP</t>
  </si>
  <si>
    <t>TTSCD SOCIEDADE DE CRÉDITO DIRETO S.A.</t>
  </si>
  <si>
    <t>PAYMEE BRASIL INSTITUIÇÃO DE PAGAMENTO S.A.</t>
  </si>
  <si>
    <t>MÉRITO DTVM - FINANCEIRO</t>
  </si>
  <si>
    <t>INCO SOCIEDADE DE EMPRÉSTIMO ENTRE PESSOAS S.A.</t>
  </si>
  <si>
    <t>COOPERATIVA DE CRÉDITO MÚTUO DOS SERVIDORES DO MINISTERIO DA EDUCAÇÃO EM SÃO PAULO - COOPEMESP</t>
  </si>
  <si>
    <t>SER FINANCE SOCIEDADE DE CRÉDITO DIRETO S.A.</t>
  </si>
  <si>
    <t>PAGSMILE INSTITUIÇÃO DE PAGAMENTO LTDA.</t>
  </si>
  <si>
    <t>WOH INSTITUICAO DE PAGAMENTO LTDA</t>
  </si>
  <si>
    <t>FESTOR INSTITUIÇÃO DE PAGAMENTO LTDA.</t>
  </si>
  <si>
    <t>BPY CORRETORA DE CÂMBIO, TÍTULOS E VALORES MOBILIÁRIOS S.A.</t>
  </si>
  <si>
    <t>COMPREV - CRÉDITO, FINANCIAMENTO E INVESTIMENTO S.A.</t>
  </si>
  <si>
    <t>CORRETORA DE CÂMBIO AÇORIANA LIMITADA.</t>
  </si>
  <si>
    <t>COOPERATIVA DE CREDITO RURAL DE IBIAM - SULCREDI/IBIAM</t>
  </si>
  <si>
    <t>IBIAM</t>
  </si>
  <si>
    <t>F.D'GOLD - DISTRIBUIDORA DE TÍTULOS E VALORES MOBILIÁRIOS LTDA.</t>
  </si>
  <si>
    <t>BANCO PORTO REAL DE INVESTIMENTOS S.A</t>
  </si>
  <si>
    <t>PORTO REAL</t>
  </si>
  <si>
    <t>UNIDA DISTRIBUIDORA DE TÍTULOS E VALORES MOBILIÁRIOS LTDA.</t>
  </si>
  <si>
    <t>COOPERATIVA DE CRÉDITO DOS FORNECEDORES DE CANA DE BARRA BONITA E REGIÃO</t>
  </si>
  <si>
    <t>VIVO PAY SOCIEDADE DE CRÉDITO DIRETO S.A.</t>
  </si>
  <si>
    <t>PAGHIPER INSTITUIÇAO DE PAGAMENTO LTDA.</t>
  </si>
  <si>
    <t>PARANAVAI</t>
  </si>
  <si>
    <t>AWX BRASIL  INSTITUICAO DE PAGAMENTO LTDA</t>
  </si>
  <si>
    <t>CRESERV CREDISIS - COOPERATIVA DE ECONOMIA E CRÉDITO MÚTUO DOS SERVIDORES PÚBLICOS DE PINHÃO</t>
  </si>
  <si>
    <t>PINHAO</t>
  </si>
  <si>
    <t>COOPERATIVA DE ECONOMIA E CRÉDITO MÚTUO DOS FUNCIONÁRIOS DA ERICSSON - COOPERICSSON</t>
  </si>
  <si>
    <t>PROTOTYPE INSTITUICAO DE PAGAMENTO S.A.</t>
  </si>
  <si>
    <t>CLARO PAY S.A. - INSTITUIÇÃO DE PAGAMENTO</t>
  </si>
  <si>
    <t>COOPERATIVA DE ECONOMIA E CRÉDITO MÚTUO DOS TRABALHADORES DA CIA. DE PROCESSAMENTO DE DADOS DO ESTADO DE SÃO PAULO - CREDIPRODESP</t>
  </si>
  <si>
    <t>TABOAO DA SERRA</t>
  </si>
  <si>
    <t>PINTOS S.A. CREDITO, FINANCIAMENTO E INVESTIMENTO</t>
  </si>
  <si>
    <t>COOPERATIVA DE CRÉDITO SICOOB CREDMETAL</t>
  </si>
  <si>
    <t>PAGOL SOCIEDADE DE CRÉDITO DIRETO S.A.</t>
  </si>
  <si>
    <t>CREDIFIT SOCIEDADE DE CRÉDITO DIRETO S.A.</t>
  </si>
  <si>
    <t>WASU - WALLET SUPPORT INSTITUIÇÃO DE PAGAMENTO LTDA</t>
  </si>
  <si>
    <t>COOPERATIVA DE ECONOMIA E CRÉDITO MÚTUO DOS FUNCIONÁRIOS DA TETRA PAK</t>
  </si>
  <si>
    <t>MONTE MOR</t>
  </si>
  <si>
    <t>INTEGRAÇÃO DE CRÉDITO E COBRANÇA SOCIEDADE DE CRÉDITO DIRETO S.A.</t>
  </si>
  <si>
    <t>COOPERATIVA DE ECONOMIA E CRÉDITO MÚTUO DOS EMPREGADOS DAS EMPRESAS DO GRUPO ECONÔMICO RHODIA - CREDIRHODIA</t>
  </si>
  <si>
    <t>PAULINIA</t>
  </si>
  <si>
    <t>COOPERATIVA DE ECONOMIA E CRÉDITO MÚTUO DOS COLABORADORES DO GRUPO EMPRESARIAL A COSTA LTDA.</t>
  </si>
  <si>
    <t>VISCONDE DO RIO BRANCO</t>
  </si>
  <si>
    <t>HARMOS S.A. - SOCIEDADE DE CRÉDITO, FINANCIAMENTO E INVESTIMENTO</t>
  </si>
  <si>
    <t>CREBEL - COOPERATIVA DE ECONOMIA E CRÉDITO MÚTUO DOS COLABORADORES DAS EMPRESAS BELGO BEKAERT - CREBEL LTDA.</t>
  </si>
  <si>
    <t>CONTAGEM</t>
  </si>
  <si>
    <t>COOPER BENEFICIOS INSTITUICAO DE PAGAMENTO LTDA</t>
  </si>
  <si>
    <t>LINA INSTITUICAO DE PAGAMENTO S.A</t>
  </si>
  <si>
    <t>COOPERATIVA DE CRÉDITO DOS MAGISTRADOS DO ESTADO DO RIO DE JANEIRO LTDA. - MAGICREDI-RJ</t>
  </si>
  <si>
    <t>FARMTECH SOCIEDADE DE CRÉDITO DIRETO S.A.</t>
  </si>
  <si>
    <t>AGK CORRETORA DE CAMBIO S.A.</t>
  </si>
  <si>
    <t>CDC SOCIEDADE DE CRÉDITO DIRETO S.A.</t>
  </si>
  <si>
    <t>INICIADOR INSTITUICAO DE PAGAMENTO LTDA</t>
  </si>
  <si>
    <t>VIS DISTRIBUIDORA DE TÍTULOS E VALORES MOBILIÁRIOS LTDA</t>
  </si>
  <si>
    <t>BONUSPAGO SOCIEDADE DE CRÉDITO DIRETO S.A.</t>
  </si>
  <si>
    <t>COOPERATIVA DE CRÉDITO MÚTUO DOS SERVIDORES DA ASSEMBLEIA LEGISLATIVA DO ESTADO DE SÃO PAULO - COOPERALESP</t>
  </si>
  <si>
    <t>BMS SOCIEDADE DE CRÉDITO DIRETO S.A.</t>
  </si>
  <si>
    <t>DELTA GLOBAL SOCIEDADE DE CRÉDITO DIRETO S.A.</t>
  </si>
  <si>
    <t>COOPERATIVA DE ECONOMIA E CRÉDITO MÚTUO DOS EMPREGADOS DAS EMPRESAS METALÚRGICAS DE MATÃO - METALCOOPERCRED</t>
  </si>
  <si>
    <t>MATAO</t>
  </si>
  <si>
    <t>COOPERATIVA DE CRÉDITO COOPAÇO LTDA.</t>
  </si>
  <si>
    <t>OURO BRANCO</t>
  </si>
  <si>
    <t>WEALTH HIGH GOVERNANCE DISTRIBUIDORA DE TÍTULOS E VALORES MOBILIÁRIOS S.A.</t>
  </si>
  <si>
    <t>CASAS BAHIA PAY SOCIEDADE DE CRÉDITO DIRETO S.A.</t>
  </si>
  <si>
    <t>COOPERATIVA DE ECONOMIA E CRÉDITO MÚTUO DOS EMPREGADOS DAS EMPRESAS CONTROLADAS E COLIGADAS DA USINA SANTA ADELIA - USAGRO</t>
  </si>
  <si>
    <t>JABOTICABAL</t>
  </si>
  <si>
    <t>V3 INSTITUICAO DE PAGAMENTO S.A.</t>
  </si>
  <si>
    <t>COOPERATIVA DE ECONOMIA E CRÉDITO MÚTUO DOS EMPREGADOS DA COMPANHIA BRASILEIRA DE ALUMÍNIO</t>
  </si>
  <si>
    <t>ALUMINIO</t>
  </si>
  <si>
    <t>LIMINE TRUST DISTRIBUIDORA DE TÍTULOS E VALORES MOBILIÁRIOS S.A.</t>
  </si>
  <si>
    <t>COLUNA S/A DISTRIBUIDORA DE TITULOS E VALORES MOBILIÁRIOS</t>
  </si>
  <si>
    <t>A27 INSTITUICAO DE PAGAMENTOS S/A</t>
  </si>
  <si>
    <t>FLORES DA CUNHA</t>
  </si>
  <si>
    <t>HEDGE INVESTMENTS DISTRIBUIDORA DE TÍTULOS E VALORES MOBILIÁRIOS LTDA.</t>
  </si>
  <si>
    <t>COOPERATIVA DE ECONOMIA E CRÉDITO MÚTUO DOS FUNCIONÁRIOS DA VILLARES METALS</t>
  </si>
  <si>
    <t>SUMARE</t>
  </si>
  <si>
    <t>COOPERATIVA DE ECONOMIA E CRÉDITO MÚTUO DOS FUNCIONÁRIOS DO GRUPO OWENS-ILLINOIS DO BRASIL</t>
  </si>
  <si>
    <t>BNK DIGITAL SOCIEDADE DE CRÉDITO DIRETO S.A.</t>
  </si>
  <si>
    <t>COOPERATIVA DE ECONOMIA E CRÉDITO MÚTUO DOS SERVIDORES DA PREFEITURA MUNICIPAL DE ORLÂNDIA - CRED SERV</t>
  </si>
  <si>
    <t>GALLERIA - SOCIEDADE DE CRÉDITO DIRETO S/A</t>
  </si>
  <si>
    <t>WNT CAPITAL DISTRIBUIDORA DE TÍTULOS E VALORES MOBILIÁRIOS S.A.</t>
  </si>
  <si>
    <t>CREDISIS COOPESA - COOPERATIVA DE ECONOMIA E CRÉDITO</t>
  </si>
  <si>
    <t>KIKAI SOCIEDADE DE CRÉDITO DIRETO S.A.</t>
  </si>
  <si>
    <t>COOPERATIVA DE ECONOMIA E CRÉDITO MÚTUO DOS FUNCIONÁRIOS DO GRUPO JAL LTDA.</t>
  </si>
  <si>
    <t>SAO JOAO DE MERITI</t>
  </si>
  <si>
    <t>BROKER BRASIL CORRETORA DE CÂMBIO LTDA.</t>
  </si>
  <si>
    <t>COOPERATIVA DE CRÉDITO DOS EMPREGADOS DA MINERAÇÃO RIO DO NORTE</t>
  </si>
  <si>
    <t>ORIXIMINA</t>
  </si>
  <si>
    <t>ASAAS SOCIEDADE DE CRÉDITO, FINANCIAMENTO E INVESTIMENTO S.A.</t>
  </si>
  <si>
    <t>ASPENFIN-BR - SOCIEDADE DE CRÉDITO AO MICROEMPREENDEDOR E A EMPRESA DE PEQUENO PORTE LTDA.</t>
  </si>
  <si>
    <t>BOKU NETWORK BRASIL INSTITUICAO DE PAGAMENTO LTDA</t>
  </si>
  <si>
    <t>SOCIAL BANK BANCO MÚLTIPLO S/A</t>
  </si>
  <si>
    <t>UNLIMIT BRASIL INSTITUICAO DE PAGAMENTO LTDA</t>
  </si>
  <si>
    <t>COOPERATIVA DE CRÉDITO DOS EMPREGADOS DE ELEVADORES ATLAS</t>
  </si>
  <si>
    <t>MERCADO BITCOIN CORRETORA DE TÍTULOS E VALORES MOBILIÁRIOS S.A.</t>
  </si>
  <si>
    <t>COOPERATIVA DE ECONOMIA E CREDITO MUTUO DOS EMPREGADOS DE CHOCOLATES GAROTO LTDA. - CREDI-GAROTO</t>
  </si>
  <si>
    <t>VILA VELHA</t>
  </si>
  <si>
    <t>COOPERATIVA DE ECONOMIA E CRÉDITO MÚTUO DOS FUNCIONÁRIOS DA TICKET SERVIÇOS COMÉRCIO E ADMINISTRAÇÃO</t>
  </si>
  <si>
    <t>COOPERATIVA DE ECONOMIA E CRÉDITO MÚTUO DOS COLABORADORES DA CEBRACE</t>
  </si>
  <si>
    <t>JACAREI</t>
  </si>
  <si>
    <t>COOPERATIVA DE ECONOMIA E CRÉDITO MÚTUO DOS EMPREGADOS DA CEMIG E DAS INDÚSTRIAS METALÚRGICAS E DE MATERIAL ELÉTRICO E DOS SERVIDORES PÚBLICOS MUNICIPAIS DE JUIZ DE FORA LTDA. - SICOOB CECREMEC</t>
  </si>
  <si>
    <t>UNAVANTI SOCIEDADE DE CRÉDITO DIRETO S/A</t>
  </si>
  <si>
    <t>TORRA SOCIEDADE DE CRÉDITO DIRETO S.A.</t>
  </si>
  <si>
    <t>FISERV SOCIEDADE DE CRÉDITO DIRETO S.A.</t>
  </si>
  <si>
    <t>COOPERATIVA DE CREDITO RURAL DE GUACUI - CREDIGUAÇUÍ</t>
  </si>
  <si>
    <t>GUACUI</t>
  </si>
  <si>
    <t>COOPERATIVA DE CRÉDITO DOS SERVIDORES PÚBLICOS MUNICIPAIS DA GRANDE VITÓRIA/ES</t>
  </si>
  <si>
    <t>A55 SOCIEDADE DE CRÉDITO DIRETO S.A.</t>
  </si>
  <si>
    <t>OPPORTUNITY DISTRIBUIDORA DE TÍTULOS E VALORES MOBILIÁRIOS LTDA</t>
  </si>
  <si>
    <t>COOPERATIVA DE ECONOMIA E CRÉDITO MÚTUO DOS SERVIDORES PÚBLICOS MUNICIPAIS EM JOÃO MONLEVADE LTDA. - COPREMON</t>
  </si>
  <si>
    <t>COOPERATIVA DE ECONOMIA E CRÉDITO MÚTUO DOS EMPREGADOS DO GRUPO SBF LTDA. - COOPER ATIVA SBF</t>
  </si>
  <si>
    <t>COOPERATIVA DE ECONOMIA E CRÉDITO MÚTUO DOS FUNCIONÁRIOS PÚBLICOS MUNICIPAIS DE ITAPIRA - CREDITA</t>
  </si>
  <si>
    <t>ITAPIRA</t>
  </si>
  <si>
    <t>OSLO CAPITAL DISTRIBUIDORA DE TÍTULOS E VALORES MOBILIÁRIOS S.A</t>
  </si>
  <si>
    <t>LEND SOCIEDADE DE CRÉDITO DIRETO S.A.</t>
  </si>
  <si>
    <t>BULLLA IP - FINANCEIRO</t>
  </si>
  <si>
    <t>ATF SOCIEDADE DE CRÉDITO DIRETO S.A.</t>
  </si>
  <si>
    <t>COOPERATIVA DE CRÉDITO MÚTUO DOS POLICIAIS FEDERAIS E SERVIDORES PÚBLICOS NO ESPÍRITO SANTO - CREDFEDERAL</t>
  </si>
  <si>
    <t>EXIM CORRETORA DE CAMBIO LTDA</t>
  </si>
  <si>
    <t>MICROCASH SOCIEDADE DE CRÉDITO AO MICROEMPREENDEDOR E À EMPRESA DE PEQUENO PORTE LTDA.</t>
  </si>
  <si>
    <t>COOPERATIVA DE ECONOMIA E CRÉDITO MÚTUO DOS EMPREGADOS DA SAMARCO MINERAÇÃO S.A. LTDA - CREDISAM</t>
  </si>
  <si>
    <t>COOPERATIVA DE ECONOMIA E CRÉDÍTO MÚTUO DOS FUNCIONÁRIOS DA MWM TUPY DO BRASIL</t>
  </si>
  <si>
    <t>FAMÍLIA PAULISTA COMPANHIA HIPOTECÁRIA</t>
  </si>
  <si>
    <t>COOPERATIVA DE ECONOMIA E CRÉDITO MÚTUO DOS EMPREGADOS DA UNIÃO MARISTA DO BRASIL E SUAS ASSOCIADAS, PROVÍNCIA MARISTA BRASIL CENTRO-NORTE E UNIÃO BRASILEIRA DE EDUCAÇÃO CATÓLICA.</t>
  </si>
  <si>
    <t>NIXFIN SOCIEDADE DE CRÉDITO DIRETO S.A.</t>
  </si>
  <si>
    <t>UP.P SOCIEDADE DE EMPRÉSTIMO ENTRE PESSOAS S.A.</t>
  </si>
  <si>
    <t>COOPERATIVA DE CRÉDITO DOS SERVIDORES PÚBLICOS MUNICIPAIS DE TIMÓTEO LTDA. - COOPERTIM</t>
  </si>
  <si>
    <t>LEVYCAM - CORRETORA DE CAMBIO E VALORES LTDA.</t>
  </si>
  <si>
    <t>IDEA MAKER INSTITUICAO DE PAGAMENTO LTDA</t>
  </si>
  <si>
    <t>PAGARE INSTITUICAO DE PAGAMENTO S.A.</t>
  </si>
  <si>
    <t>FIDD DISTRIBUIDORA DE TÍTULOS E VALORES MOBILIÁRIOS LTDA.</t>
  </si>
  <si>
    <t>PAGPRIME INSTITUICAO DE PAGAMENTO LTDA</t>
  </si>
  <si>
    <t>COOPERATIVA DE CRÉDITO COOPHARMA</t>
  </si>
  <si>
    <t>COOPERATIVA DE ECONOMIA E CRÉDITO MÚTUO DOS EMPREGADOS DO SISTEMA FIERGS - CRESUL</t>
  </si>
  <si>
    <t>MAG INSTITUICAO DE PAGAMENTO LTDA</t>
  </si>
  <si>
    <t>COOPERATIVA DE ECONOMIA E CRÉDITO MÚTUO DOS SERVIDORES MUNICIPAIS DE POÇOS DE CALDAS LTDA. - COOPOÇOS</t>
  </si>
  <si>
    <t>POCOS DE CALDAS</t>
  </si>
  <si>
    <t>FACEBOOK INSTITUIÇÃO DE PAGAMENTO DO BRASIL LTDA.</t>
  </si>
  <si>
    <t>PARTNER INSTITUIÇÃO DE PAGAMENTO S.A.</t>
  </si>
  <si>
    <t>OZ CORRETORA DE CÂMBIO S.A.</t>
  </si>
  <si>
    <t>AGENCIA DE FOMENTO DO AMAPA S.A.</t>
  </si>
  <si>
    <t>MACAPA</t>
  </si>
  <si>
    <t>AP</t>
  </si>
  <si>
    <t>COOPERATIVA DE ECONOMIA E CRÉDITO MÚTUO DOS FUNCIONÁRIOS DA ASTRAZENECA DO BRASIL</t>
  </si>
  <si>
    <t>COTIA</t>
  </si>
  <si>
    <t>BEETELLER INSTITUIÇÃO DE PAGAMENTO LTDA.</t>
  </si>
  <si>
    <t>RJI CORRETORA DE TITULOS E VALORES MOBILIARIOS LTDA</t>
  </si>
  <si>
    <t>COOPERATIVA DE ECONOMIA E CREDITO MUTUO DOS EMPREGADOS DE ELEVADORES ATLAS SCHINDLER LTDA.</t>
  </si>
  <si>
    <t>BARU</t>
  </si>
  <si>
    <t>DILLON S/A DISTRIBUIDORA DE TITULOS E VALORES MOBILIARIOS</t>
  </si>
  <si>
    <t>COOPERATIVA DE CRÉDITO E SERVIÇOS FINANCEIROS DE CURITIBA E REGIÃO METROPOLITANA</t>
  </si>
  <si>
    <t>TRINUS</t>
  </si>
  <si>
    <t>COOPERATIVA DE ECONOMIA E CRÉDITO MÚTUO DOS EMPREGADOS DO GRUPO BAYER E EMPRESAS QUÍMICAS E FARMACÊUTICAS DO ESTADO DO RIO DE JANEIRO LTDA.</t>
  </si>
  <si>
    <t>BELFORD ROXO</t>
  </si>
  <si>
    <t>WE PAY OUT INSTITUICAO DE PAGAMENTO LTDA.</t>
  </si>
  <si>
    <t>COOPERATIVA DE ECONOMIA E CRÉDITO MÚTUO DOS APOSENTADOS, PENSIONISTAS E IDOSOS - SICOOB COOPERNAPI</t>
  </si>
  <si>
    <t>COOPERATIVA DE ECONOMIA E CRÉDITO MÚTUO DOS EMPREGADOS DA NOVELIS</t>
  </si>
  <si>
    <t>RIO BRAVO INVESTIMENTOS - DISTRIBUIDORA DE TÍTULOS E VALORES MOBILIÁRIOS LTDA.</t>
  </si>
  <si>
    <t>BELVO INSTITUICAO DE PAGAMENTO LTDA</t>
  </si>
  <si>
    <t>ZM SOCIEDADE DE CRÉDITO DIRETO S.A.</t>
  </si>
  <si>
    <t>AGUAS LINDAS DE GOIAS</t>
  </si>
  <si>
    <t>CONPAY INSTITUIÇÃO DE PAGAMENTO E TECNOLOGIA S.A</t>
  </si>
  <si>
    <t>INTEGRAL ACCESS DISTRIBUIDORA DE TÍTULOS E VALORES MOBILIÁRIOS LTDA.</t>
  </si>
  <si>
    <t>SISPAY INSTITUIÇÃO DE PAGAMENTO LTDA.</t>
  </si>
  <si>
    <t>COOPERATIVA DE ECONOMIA E CRÉDITO MÚTUO DOS SERVIDORES PÚBLICOS DOS PODERES EXECUTIVOS NO ESTADO DO ESPÍRITO SANTO</t>
  </si>
  <si>
    <t>INVEST SOCIEDADE CORRETORA DE CÂMBIO LTDA.</t>
  </si>
  <si>
    <t>COOPERATIVA DE ECONOMIA E CRÉDITO MÚTUO DOS MEMBROS DO MINISTÉRIO PÚBLICO DE SÃO PAULO - PROMOCRED</t>
  </si>
  <si>
    <t>QUADRA SOCIEDADE DE CRÉDITO DIRETO S.A.</t>
  </si>
  <si>
    <t>INSTITUIÇÃO DE PAGAMENTOS MAPS LTDA.</t>
  </si>
  <si>
    <t>ATICCA - SOCIEDADE DE CRÉDITO DIRETO S.A.</t>
  </si>
  <si>
    <t>EWALLY INSTITUIÇÃO DE PAGAMENTO S.A.</t>
  </si>
  <si>
    <t>COOPERATIVA DE ECONOMIA E CRÉDITO MÚTUO DOS SERVIDORES PÚBLICOS DA REGIÃO METROPOLITANA DE BELÉM - CREDISIS CREDBEM METROPOLITANA</t>
  </si>
  <si>
    <t>ZIPDIN SOLUÇÕES DIGITAIS SOCIEDADE DE CRÉDITO DIRETO S/A</t>
  </si>
  <si>
    <t>ALL IN CRED SOCIEDADE DE CREDITO DIRETO S.A.</t>
  </si>
  <si>
    <t>APROMS NET INSTITUICAO DE PAGAMENTO LTDA.</t>
  </si>
  <si>
    <t>COOPERATIVA DE ECONOMIA E CRÉDITO MÚTUO DOS  EMPREGADOS DA TUPY MINAS GERAIS LTDA. E NEMAK ALUMÍNIO DO BRASIL LTDA.</t>
  </si>
  <si>
    <t>BETIM</t>
  </si>
  <si>
    <t>LOAN BRASIL SOCIEDADE DE CRÉDITO DIRETO S.A.</t>
  </si>
  <si>
    <t>INTERCAM CORRETORA DE CÂMBIO LTDA.</t>
  </si>
  <si>
    <t>COOPERATIVA DE CRÉDITO E INVESTIMENTO COM INTERAÇÃO SOLIDÁRIA DE TOLEDO E REGIÃO - CRESOL PRIMATO CREDI</t>
  </si>
  <si>
    <t>G5 SOCIEDADE DE CRÉDITO DIRETO S.A.</t>
  </si>
  <si>
    <t>COOPERATIVA DE ECONOMIA E CRÉDITO MÚTUO DOS EMPREGADOS DA CONFAB</t>
  </si>
  <si>
    <t>PINDAMONHANGABA</t>
  </si>
  <si>
    <t>GLOBAL FINANÇAS SOCIEDADE DE CRÉDITO AO MICROEMPREENDEDOR E À EMPRESA DE PEQUENO PORTE LTDA.</t>
  </si>
  <si>
    <t>COOPERATIVA DE CRÉDITO MÚTUO DOS EMPREGADOS DA SKF E COLIGADAS</t>
  </si>
  <si>
    <t>CAJAMAR</t>
  </si>
  <si>
    <t>HBI SOCIEDADE DE CRÉDITO DIRETO S/A.</t>
  </si>
  <si>
    <t>LEOPOLDINA</t>
  </si>
  <si>
    <t>ACTIVTRADES CORRETORA DE CÂMBIO, TÍTULOS E VALORES MOBILIÁRIOS LTDA.</t>
  </si>
  <si>
    <t>LEV DISTRIBUIDORA DE TÍTULOS E VALORES MOBILIÁRIOS LTDA.</t>
  </si>
  <si>
    <t>ONCRED - SOCIEDADE DE CRÉDITO DIRETO S.A.</t>
  </si>
  <si>
    <t>COOPERATIVA DE ECONOMIA E CRÉDITO MÚTUO DOS FUNCIONÁRIOS DO FLEURY</t>
  </si>
  <si>
    <t>COOPERATIVA DE ECONOMIA E CRÉDITO MÚTUO DOS FUNCIONÁRIOS DO GRUPO COMOLATTI - SÃO PAULO</t>
  </si>
  <si>
    <t>DAUX SOCIEDADE DE CRÉDITO DIRETO S.A.</t>
  </si>
  <si>
    <t>LINS</t>
  </si>
  <si>
    <t>LABOR SOCIEDADE CORRETORA DE CÂMBIO LTDA.</t>
  </si>
  <si>
    <t>COOPERATIVA DE ECONOMIA E CRÉDITO MÚTUO DOS FUNCIONÁRIOS DA BOMBRIL</t>
  </si>
  <si>
    <t>BFC SOCIEDADE DE CRÉDITO DIRETO S.A.</t>
  </si>
  <si>
    <t>COOPERATIVA DE ECONOMIA E CRÉDITO MÚTUO DOS PETROLEIROS NO ESTADO DE MINAS GERAIS LTDA. - COPETRO</t>
  </si>
  <si>
    <t>COOPERATIVA DE ECONOMIA E CREDITO MUTUO DOS SERVIDORES ESTATUTARIOS DA ADMINISTRAÇÃO DIRETA DO ESTADO DO ESPIRITO SANTO - COOPSERVIDOR ES</t>
  </si>
  <si>
    <t>COOPERATIVA DE ECONOMIA E CREDITO MUTUO JOHN F. KENNEDY LTDA</t>
  </si>
  <si>
    <t>PAY BROKERS IP INSTITUICAO DE PAGAMENTO LTDA.</t>
  </si>
  <si>
    <t>GERU SOCIEDADE DE CRÉDITO DIRETO S.A.</t>
  </si>
  <si>
    <t>CREDJUST - COOPERATIVA DE CRÉDITO MÚTUO DOS INTEGRANTES DA JUSTIÇA DO TRABALHO DA 13- REGIÃO LTDA.</t>
  </si>
  <si>
    <t>AMARIL FRANKLIN CORRETORA DE TÍTULOS E VALORES LTDA</t>
  </si>
  <si>
    <t>DGBK CREDIT S.A. - SOCIEDADE DE CRÉDITO DIRETO.</t>
  </si>
  <si>
    <t>UZZIPAY INSTITUIÇÃO DE PAGAMENTO S.A.</t>
  </si>
  <si>
    <t>DUFRIO FINANCEIRA, CRÉDITO, FINANCIAMENTO E INVESTIMENTOS S.A.</t>
  </si>
  <si>
    <t>MULTICRED SOCIEDADE DE CRÉDITO DIRETO S.A.</t>
  </si>
  <si>
    <t>BR-CAPITAL DISTRIBUIDORA DE TÍTULOS E VALORES MOBILIÁRIOS S.A.</t>
  </si>
  <si>
    <t>COOPERATIVA DE CRÉDITO MÚTUO DOS EMPREGADOS DA PILKINGTON BRASIL</t>
  </si>
  <si>
    <t>CACAPAVA</t>
  </si>
  <si>
    <t>COOPERATIVA DE ECONOMIA E CRÉDITO MÚTUO DOS EMPREGADOS DA JOYSON SAFETY SYSTEMS - COOPERJSS</t>
  </si>
  <si>
    <t>SCB CRÉDITO SOCIEDADE DE CRÉDITO AO MICROEMPREENDEDOR E À EMPRESA DE PEQUENO PORTE LTDA.</t>
  </si>
  <si>
    <t>FONTECRED - SOCIEDADE DE CRÉDITO DIRETO S/A</t>
  </si>
  <si>
    <t>COOPERATIVA DE CRÉDITO RURAL DOS PLANTADORES DE CANA DA REGIÃO DE IGARAPAVA</t>
  </si>
  <si>
    <t>IGARAPAVA</t>
  </si>
  <si>
    <t>H.COMMCOR DISTRIBUIDORA DE TÍTULOS E VALORES MOBILIÁRIOS LTDA.</t>
  </si>
  <si>
    <t>CREDI-SHOP - SOCIEDADE DE CRÉDITO DIRETO S.A.</t>
  </si>
  <si>
    <t>HSCM - SOCIEDADE DE CRÉDITO AO MICROEMPREENDEDOR E À EMPRESA DE PEQUENO PORTE LTDA.</t>
  </si>
  <si>
    <t>IBIA</t>
  </si>
  <si>
    <t>SOCIALCRED S/A - SOCIEDADE DE CRÉDITO AO MICROEMPREENDEDOR E À EMPRESA DE PEQUENO PORTE</t>
  </si>
  <si>
    <t>COOPERATIVA DE ECONOMIA E CRÉDITO MÚTUO DOS FABRICANTES DE CALÇADOS DE SAPIRANGA LTDA.</t>
  </si>
  <si>
    <t>SAPIRANGA</t>
  </si>
  <si>
    <t>COOPERATIVA DE ECONOMIA E CRÉDITO MÚTUO DOS FUNCIONÁRIOS DA ELGIN</t>
  </si>
  <si>
    <t>MOGI DAS CRUZES</t>
  </si>
  <si>
    <t>COOPERATIVA DE ECONOMIA E CRÉDITO MÚTUO DOS SERVIDORES DA SECRETARIA DE DEFESA SOCIAL DO ESTADO DE MINAS GERAIS LTDA. - COOPSESP</t>
  </si>
  <si>
    <t>MAGNUM SOCIEDADE DE CRÉDITO DIRETO S.A.</t>
  </si>
  <si>
    <t>BM4 SOCIEDADE DE CRÉDITO DIRETO S.A.</t>
  </si>
  <si>
    <t>COOPERATIVA DE ECONOMIA E CRÉDITO MÚTUO DOS FUNCIONÁRIOS DA FACULDADE DE CIÊNCIAS AGRÁRIAS E VETERINÁRIAS - CAMPUS DE JABOTICABAL/SP - COOPERFAC</t>
  </si>
  <si>
    <t>COOPERATIVA DE ECONOMIA E CRÉDITO MÚTUO DOS SERVIDORES DO DISTRITO FEDERAL LTDA. - COOSERVCRED</t>
  </si>
  <si>
    <t>SOCRED S.A. - SOCIEDADE DE CRÉDITO AO MICROEMPREENDEDOR E À EMPRESA DE PEQUENO PORTE</t>
  </si>
  <si>
    <t>PAYFACE INSTITUICAO DE PAGAMENTO S.A.</t>
  </si>
  <si>
    <t>VBS SOCIEDADE DE CRÉDITO DIRETO S.A.</t>
  </si>
  <si>
    <t>COOPERATIVA DE ECONOMIA E CRÉDITO MÚTUO DOS TRABALHADORES NAS INDÚSTRIAS DE EXTRAÇÃO DE FERRO E METAIS BÁSICOS DA REGIÃO DE CONGONHAS LTDA. - COOFERSE</t>
  </si>
  <si>
    <t>CONGONHAS</t>
  </si>
  <si>
    <t>COOPERATIVA DE ECONOMIA E CRÉDITO MÚTUO DOS SERVIDORES DA EMPRESA BRASILEIRA DE CORREIOS E TELÉGRAFOS E EMPRESAS DE LOGÍSTICA DE ENTREGAS DE ENCOMENDAS LTDA.</t>
  </si>
  <si>
    <t>TRADERS DISTRIBUIDORA DE TÍTULOS E VALORES MOBILIÁRIOS LTDA.</t>
  </si>
  <si>
    <t>COOPERATIVA DE CRÉDITO MÚTUO DOS SERVIDORES DA SEGURANÇA PÚBLICA DE SÃO PAULO - CREDIAFAM</t>
  </si>
  <si>
    <t>COOPERATIVA DE ECONOMIA E CRÉDITO MÚTUO DOS FUNCIONÁRIOS DA MORLAN - CRED MORLAN</t>
  </si>
  <si>
    <t>NDD INSTITUICAO DE PAGAMENTO LTDA</t>
  </si>
  <si>
    <t>UNICRED DISTRIBUIDORA DE TITULOS E VALORES MOBILIARIOS LTDA</t>
  </si>
  <si>
    <t>CRETOVALE - COOPERATIVA DE ECONOMIA E CRÉDITO MÚTUO DOS TRABALHADORES DA VALE</t>
  </si>
  <si>
    <t>TRANSFERO INSTITUICAO DE PAGAMENTO LTDA.</t>
  </si>
  <si>
    <t>COOPERATIVA DE ECONOMIA E CRÉDITO MÚTUO DOS SERVIDORES DA FACULDADE DE ENGENHARIA DE ILHA SOLTEIRA - COOPERFEIS</t>
  </si>
  <si>
    <t>ILHA SOLTEIRA</t>
  </si>
  <si>
    <t>NOSSA TERRA BRASIL COOPERATIVA DE CRÉDITO</t>
  </si>
  <si>
    <t>CAJATI</t>
  </si>
  <si>
    <t>COOPERATIVA DE ECONOMIA E CRÉDITO MÚTUO DOS FUNCIONÁRIOS DO GRUPO LORENZETTI</t>
  </si>
  <si>
    <t>KLAVI INSTITUIÇÃO DE PAGAMENTO E GESTÃO DE DADOS LTDA.</t>
  </si>
  <si>
    <t>COOPERATIVA DE ECONOMIA E CRÉDITO MÚTUO DOS EMPREGADOS DA SAINT-GOBAIN DO BRASIL PRODUTOS INDUSTRIAIS E PARA CONSTRUÇÃO - DIVISÃO VIDRO PLANO</t>
  </si>
  <si>
    <t>MAUA</t>
  </si>
  <si>
    <t>COOPERATIVA DE ECONOMIA E CRÉDITO MÚTUO ALIANÇA - COOPERNITRO</t>
  </si>
  <si>
    <t>GET MONEY SOCIEDADE CORRETORA DE CÂMBIO S.A.</t>
  </si>
  <si>
    <t>GO SOCIEDADE DE CRÉDITO DIRETO S.A.</t>
  </si>
  <si>
    <t>PENTAGONO S/A DISTRIBUIDORA DE TITULOS E VALORES MOBILIARIOS</t>
  </si>
  <si>
    <t>DAPPER - SOCIEDADE DE CRÉDITO DIRETO S/A</t>
  </si>
  <si>
    <t>LB PAY INSTITUIÇÃO DE PAGAMENTO LTDA</t>
  </si>
  <si>
    <t>COOPSEBRAE - COOPERATIVA DE CRÉDITO MÚTUO DOS EMPREGADOS DO SEBRAE/PB, SEBRAE/RN, SESC/PB, SENAC/PB, SENAR/PB, SENAR/RN E FAEPA/PB</t>
  </si>
  <si>
    <t>COOPERATIVA DE ECONOMIA E CRÉDITO MÚTUO DOS EMPREGADOS DO GRUPO TELEFÔNICA</t>
  </si>
  <si>
    <t>SQUID SOCIEDADE DE CRÉDITO DIRETO S.A.</t>
  </si>
  <si>
    <t>COOPERATIVA DE ECONOMIA E CRÉDITO MÚTUO DOS FUNCIONÁRIOS DAS EMPRESAS DO GRUPO DANA - COOPDANA</t>
  </si>
  <si>
    <t>GRAVATAI</t>
  </si>
  <si>
    <t>NUMBRS SOCIEDADE DE CRÉDITO DIRETO S.A.</t>
  </si>
  <si>
    <t>INTRA INVESTIMENTOS DISTRIBUIDORA DE TÍTULOS E VALORES MOBILIÁRIOS LTDA</t>
  </si>
  <si>
    <t>BCP SECURITIES DISTRIBUIDORA DE TÍTULOS E VALORES MOBILIÁRIOS LTDA.</t>
  </si>
  <si>
    <t>SENSO CORRETORA DE CAMBIO E VALORES MOBILIARIOS S.A</t>
  </si>
  <si>
    <t>COOPERATIVA DE ECONOMIA E CRÉDITO MÚTUO DOS FUNCIONÁRIOS DAS EMPRESAS DE CERÂMICA - COOPASPACER</t>
  </si>
  <si>
    <t>SANTA GERTRUDES</t>
  </si>
  <si>
    <t>EXECUTIVE SOCIEDADE CORRETORA DE CÂMBIO LTDA.</t>
  </si>
  <si>
    <t>BRX SOCIEDADE CORRETORA DE CÂMBIO LTDA.</t>
  </si>
  <si>
    <t>FIDEM SOCIEDADE DE CRÉDITO DIRETO S/A</t>
  </si>
  <si>
    <t>ATLANTA SOCIEDADE DE CRÉDITO AO MICROEMPREENDEDOR LTDA</t>
  </si>
  <si>
    <t>PASSOS</t>
  </si>
  <si>
    <t>COOPERATIVA DE ECONOMIA E CRÉDITO MÚTUO DOS EMPREGADOS DA MOSAIC FERTILIZANTES DE UBERABA - COPERURA LTDA.</t>
  </si>
  <si>
    <t>COOPERATIVA DE ECONOMIA E CRÉDITO MÚTUO DOS EMPREGADOS DA EATON</t>
  </si>
  <si>
    <t>VALINHOS</t>
  </si>
  <si>
    <t>BANSUR JM SOCIEDADE DE CRÉDITO DIRETO S/A</t>
  </si>
  <si>
    <t>TROCKA CORRETORA DE CAMBIO LTDA.</t>
  </si>
  <si>
    <t>COOPERATIVA DE ECONOMIA E CREDITO MUTUO DOS EMPREGADOS DAS EMPRESAS DE TRANSPORTES COLETIVOS RODOVIÁRIOS DE PASSAGEIROS DO GRANDE RIO LTDA</t>
  </si>
  <si>
    <t>SAO GONCALO</t>
  </si>
  <si>
    <t>GLOBAL INVESTMENT SERVICES DISTRIBUIDORA DE TÍTULOS E VALORES MOBILIÁRIOS LTDA.</t>
  </si>
  <si>
    <t>COOPERATIVA DE ECONOMIA E CREDITO MÚTUO DOS PROFESSORES ESTADUAIS DA REGIÃO METROPOLITANA DE PORTO ALEGRE - EDUCREDI</t>
  </si>
  <si>
    <t>FOURTRADE CORRETORA DE CÂMBIO LTDA.</t>
  </si>
  <si>
    <t>COOPERATIVA DE CRÉDITO DOS EMPREGADOS DA COMPANHIA INDUSTRIAL CATAGUASES E DA BAUMINAS - COOPECIC</t>
  </si>
  <si>
    <t>COOPERATIVA DE ECONOMIA E CRÉDITO MÚTUO DOS EMPREGADOS DAS INDÚSTRIAS UNILEVER DO BRASIL</t>
  </si>
  <si>
    <t>COOPERATIVA DE ECONOMIA E CRÉDITO MÚTUO DOS EMPREGADOS DA MAGNESITA REFRATÁRIOS S.A. LTDA. - CECREM</t>
  </si>
  <si>
    <t>PALMA SOCIEDADE DE CRÉDITO DIRETO S.A.</t>
  </si>
  <si>
    <t>COOPERATIVA DE CRÉDITO MÚTUO DOS FUNCIONÁRIOS DA RICLAN</t>
  </si>
  <si>
    <t>TURCÂMBIO - SOCIEDADE CORRETORA DE CÂMBIO LTDA.</t>
  </si>
  <si>
    <t>IMBITUBA</t>
  </si>
  <si>
    <t>MONOPÓLIO CORRETORA DE CÂMBIO LTDA.</t>
  </si>
  <si>
    <t>COOPERATIVA DE ECONOMIA E CRÉDITO MÚTUO DOS FUNCIONÁRIOS DAS EMPRESAS ITAÚ</t>
  </si>
  <si>
    <t>ITAU DE MINAS</t>
  </si>
  <si>
    <t>TINO SOCIEDADE DE CRÉDITO DIRETO S.A.</t>
  </si>
  <si>
    <t>NIKOS DISTRIBUIDORA DE TÍTULOS E VALORES MOBILIÁRIOS LTDA.</t>
  </si>
  <si>
    <t>RAPIDIUM SOCIEDADE DE CRÉDITO AO MICROEMPREENDEDOR E À EMPRESA DE PEQUENO PORTE S.A.</t>
  </si>
  <si>
    <t>COOPERATIVA DE ECONOMIA E CRÉDITO MÚTUO DOS FUNCIONÁRIOS DO GRUPO MAUÁ E EMPRESAS COLIGADAS LTDA. - COOPMAUÁ</t>
  </si>
  <si>
    <t>BOA VIAGEM SOCIEDADE CORRETORA DE CÂMBIO LTDA.</t>
  </si>
  <si>
    <t>COOPERATIVA DE CRÉDITO MÚTUO DOS EMPREGADOS DA FIAÇÃO ALPINA - COOPERALPINA</t>
  </si>
  <si>
    <t>MORUNGABA</t>
  </si>
  <si>
    <t>LEND INSTITUICAO DE PAGAMENTO LTDA</t>
  </si>
  <si>
    <t>WX INSTITUICAO DE PAGAMENTO LTDA</t>
  </si>
  <si>
    <t>MONERY INSTITUICAO DE PAGAMENTO S.A.</t>
  </si>
  <si>
    <t>ATUAL SOCIEDADE CORRETORA DE CÂMBIO LTDA</t>
  </si>
  <si>
    <t>VUE INSTITUIÇÃO DE PAGAMENTO S.A.</t>
  </si>
  <si>
    <t>MONETARIE SOCIEDADE DE CRÉDITO DIRETO S.A.</t>
  </si>
  <si>
    <t>A COOPERATIVA DE ECONOMIA E CRÉDITO MÚTUO DOS FUNCIONÁRIOS DA BRAZIL GR LTDA.</t>
  </si>
  <si>
    <t>ARC CORRETORA DE CAMBIO, ASSOCIADOS GOUVEIA, CAMPEDELLI S.A.</t>
  </si>
  <si>
    <t>LASTRO RDV DISTRIBUIDORA DE TÍTULOS E VALORES MOBILIÁRIOS LTDA.</t>
  </si>
  <si>
    <t>ARARAS</t>
  </si>
  <si>
    <t>PERCAPITAL SOCIEDADE DE CRÉDITO DIRETO S.A.</t>
  </si>
  <si>
    <t>CATÁLISE DISTRIBUIDORA DE TÍTULOS E VALORES MOBILIÁRIOS LTDA</t>
  </si>
  <si>
    <t>COOPERATIVA DE CRÉDITO MÚTUO DOS FUNCIONÁRIOS DAS EMPRESAS FERROVIÁRIAS NO ESTADO DE SÃO PAULO</t>
  </si>
  <si>
    <t>COOPERATIVA DE ECONOMIA E CREDITO MUTUO DOS SERVIDORES MUNICIPAIS DO SUL FLUMINENSE LTDA.</t>
  </si>
  <si>
    <t>VOLTA REDONDA</t>
  </si>
  <si>
    <t>COOPERATIVA DE ECONOMIA E CRÉDITO MÚTUO DOS EMPREGADOS DA CNC, SESC E SENAC ADMINISTRAÇÕES NACIONAIS LTDA.</t>
  </si>
  <si>
    <t>COOPERATIVA DE ECONOMIA E CRÉDITO MÚTUO DOS FUNCIONÁRIOS DAS EMPRESAS MELHORAMENTOS DE SÃO PAULO - COOPERMEL</t>
  </si>
  <si>
    <t>SRM DISTRIBUIDORA DE TÍTULOS E VALORES MOBILIÁRIOS LTDA.</t>
  </si>
  <si>
    <t>COOPERATIVA DE ECONOMIA E CREDITO MUTUO DOS EMPREGADOS DOS LABORATORIOS B.BRAUN LTDA</t>
  </si>
  <si>
    <t>GUARDIAN SOCIEDADE DE CRÉDITO DIRETO S.A.</t>
  </si>
  <si>
    <t>CUMBUCA INSTITUIÇÃO DE PAGAMENTO LTDA.</t>
  </si>
  <si>
    <t>EFX CORRETORA DE CÂMBIO LTDA.</t>
  </si>
  <si>
    <t>DASCAM SOCIEDADE CORRETORA DE CÂMBIO LTDA.</t>
  </si>
  <si>
    <t>COOPERATIVA DE ECONOMIA E CRÉDITO MÚTUO DOS EMPREGADOS DA RECKITT BENCKISER</t>
  </si>
  <si>
    <t>APUSDIGITAL INSTITUICAO DE PAGAMENTO LTDA</t>
  </si>
  <si>
    <t>BRCONDOS SOCIEDADE DE CRÉDITO DIRETO S.A.</t>
  </si>
  <si>
    <t>COOPERATIVA DE CRÉDITO DOS BANCÁRIOS DE SÃO PAULO E MUNICÍPIOS LIMÍTROFES</t>
  </si>
  <si>
    <t>GURU CORRETORA DE TÍTULOS E VALORES MOBILIÁRIOS LTDA.</t>
  </si>
  <si>
    <t>COOPERATIVA DE CRÉDITO DOS METALÚRGICOS DO ABC - CREDABC</t>
  </si>
  <si>
    <t>COOPERATIVA DE ECONOMIA E CRÉDITO MÚTUO DOS FUNCIONÁRIOS DO GRUPO GERDAU - AÇOS FINOS PIRATINI</t>
  </si>
  <si>
    <t>CHARQUEADAS</t>
  </si>
  <si>
    <t>SAYGO CORRETORA DE CÂMBIO S.A.</t>
  </si>
  <si>
    <t>IUPI INSTITUICAO DE PAGAMENTO S.A.</t>
  </si>
  <si>
    <t>QORE DISTRIBUIDORA DE TITULOS E VALORES MOBILIÁRIOS LTDA</t>
  </si>
  <si>
    <t>FINLEV SOCIEDADE DE CRÉDITO DIRETO S.A.</t>
  </si>
  <si>
    <t>COOPERATIVA DE ECONOMIA E CREDITO MUTUO DOS SERVIDORES PUBLICOS MUNICIPAIS DE PORTO ALEGRE</t>
  </si>
  <si>
    <t>COOPERATIVA DE ECONOMIA E CRÉDITO MÚTUO DOS SERVIDORES DA UNESP - COOPUNESP</t>
  </si>
  <si>
    <t>COOPERATIVA DE ECONOMIA E CRÉDITO MÚTUO DOS FUNCIONÁRIOS DA SELENE</t>
  </si>
  <si>
    <t>CERQUILHO</t>
  </si>
  <si>
    <t>CV INVESTIMENTOS DISTRIBUIDORA DE TÍTULOS E VALORES MOBILIÁRIOS LTDA.</t>
  </si>
  <si>
    <t>COOPERATIVA DE CRÉDITO DOS EMPREGADOS DO GRUPO AKZO NOBEL BRASIL - COOP AKZONOBEL</t>
  </si>
  <si>
    <t>COOPERATIVA DE CRÉDITO DOS SERVIDORES DO MUNICIPIO DE SANTO ANDRÉ - SP - CECRESA</t>
  </si>
  <si>
    <t>VUON SOCIEDADE DE CRÉDITO DIRETO S.A.</t>
  </si>
  <si>
    <t>PÓLOCRED   SOCIEDADE DE CRÉDITO AO MICROEMPREENDEDOR E À EMPRESA DE PEQUENO PORTE LTDA.</t>
  </si>
  <si>
    <t>NVIO BRASIL SOCIEDADE DE CRÉDITO DIRETO S.A.</t>
  </si>
  <si>
    <t>FIRST SOCIEDADE DE CRÉDITO DIRETO S.A.</t>
  </si>
  <si>
    <t>RV2 SOCIEDADE DE EMPRÉSTIMO ENTRE PESSOAS S.A.</t>
  </si>
  <si>
    <t>COOPERATIVA DE ECONOMIA E CRÉDITO MÚTUO DOS COLABORADORES DA COOPEDER LTDA - COOPCREDER</t>
  </si>
  <si>
    <t>FINAZO SOCIEDADE DE CRÉDITO DIRETO S.A.</t>
  </si>
  <si>
    <t>COOPERATIVA DE ECONOMIA E CRÉDITO MÚTUO DOS EMPREGADOS DE ESTABELECIMENTOS HOSPITALARES DO SUL DO ESTADO DO ESPÍRITO SANTO</t>
  </si>
  <si>
    <t>CREDPAR - SOCIEDADE DE CRÉDITO DIRETO S/A</t>
  </si>
  <si>
    <t>COOPERATIVA DE ECONOMIA E CRÉDITO MÚTUO DOS EMPREGADOS DA PRODAM/SP - CREDIPRODAM</t>
  </si>
  <si>
    <t>PAGBRASIL TECNOLOGIA INSTITUIÇÃO DE PAGAMENTO LTDA.</t>
  </si>
  <si>
    <t>BEZZ SOCIEDADE DE CRÉDITO DIRETO S.A.</t>
  </si>
  <si>
    <t>MH SOCIEDADE DE CRÉDITO DIRETO S.A.</t>
  </si>
  <si>
    <t>CIANORTE</t>
  </si>
  <si>
    <t>QUEROCRED SOCIEDADE DE CRÉDITO DIRETO S.A.</t>
  </si>
  <si>
    <t>P R DO BRASIL INSTITUICAO DE PAGAMENTOS LTDA</t>
  </si>
  <si>
    <t>CAROL DISTRIBUIDORA DE TITULOS E VALORES MOBILIARIOS LTDA.</t>
  </si>
  <si>
    <t>TBANKS INSTITUICAO DE PAGAMENTO SA</t>
  </si>
  <si>
    <t>GIRO - SOCIEDADE DE CRÉDITO DIRETO S/A</t>
  </si>
  <si>
    <t>CASA DO CRÉDITO S.A. SOCIEDADE DE CRÉDITO AO MICROEMPREENDEDOR</t>
  </si>
  <si>
    <t>BRCARD SOCIEDADE DE CRÉDITO DIRETO S/A</t>
  </si>
  <si>
    <t>CALDAS NOVAS</t>
  </si>
  <si>
    <t>BAMAQ CAPITAL - SOCIEDADE DE CRÉDITO DIRETO S/A</t>
  </si>
  <si>
    <t>PERSONAL SOCIEDADE DE CRÉDITO DIRETO S.A.</t>
  </si>
  <si>
    <t>PROFITTO - SOCIEDADE DE CRÉDITO AO MICROEMPREENDEDOR E À EMPRESA DE PEQUENO PORTE LTDA.</t>
  </si>
  <si>
    <t>COOPERATIVA DE ECONOMIA E CRÉDITO MÚTUO DOS FUNCIONÁRIOS DA ACUMENT BRASIL</t>
  </si>
  <si>
    <t>ATIBAIA</t>
  </si>
  <si>
    <t>COOPERATIVA DE ECONOMIA E CREDITO MUTUO DOS FUNCIONARIOS DO EXPRESSO PRINCESA DOS CAMPOS</t>
  </si>
  <si>
    <t>COOPERATIVA DE CRÉDITO MÚTUO DOS SERVIDORES DE ÓRGAOS GESTORES DE RECURSOS HÍDRICOS DO ESTADO DE SÃO PAULO - COOPERHIDRO</t>
  </si>
  <si>
    <t>COOPERATIVA DE ECONOMIA E CREDITO MUTUO DOS SERVIDORES DA ASCAR/EMATER-RS LTDA-CRESAL</t>
  </si>
  <si>
    <t>COOPERATIVA DE CRÉDITO MÚTUO DOS FUNCIONÁRIOS DA FIEPB, SESI, SENAI, IEL E DO CONDOMÍNIO EDIFÍCIO AGOSTINHO VELLOSO DA SILVEIRA (CEAVS  - CREDFISP LTDA.</t>
  </si>
  <si>
    <t>COOPERATIVA DE ECONOMIA E CREDITO MUTUO DOS SERVIDORES DA UERJ LTDA. - COOPUERJ</t>
  </si>
  <si>
    <t>DOURADA CORRETORA DE CÂMBIO LTDA.</t>
  </si>
  <si>
    <t>MUEVY INSTITUICAO DE PAGAMENTO SA</t>
  </si>
  <si>
    <t>VIPS CORRETORA DE CÂMBIO S.A.</t>
  </si>
  <si>
    <t>COOPERATIVA DE ECONOMIA E CRÉDITO MÚTUO DOS FUNCIONÁRIOS DA USINA SANTA MARIA - PILONCRED</t>
  </si>
  <si>
    <t>HR SOCIEDADE DE CRÉDITO AO MICROEMPREENDEDOR E À EMPRESA DE PEQUENO PORTE LTDA.</t>
  </si>
  <si>
    <t>BIT SOCIEDADE DE CRÉDITO DIRETO S.A.</t>
  </si>
  <si>
    <t>COOPSERJ - COOPERATIVA DE CRÉDITO MÚTUO DOS SERVIDORES PÚBLICOS DO PODER EXECUTIVO DO ESTADO DO RIO DE JANEIRO LTDA.</t>
  </si>
  <si>
    <t>COOPERATIVA DE ECONOMIA E CRÉDITO MÚTUO DOS EMPREGADOS DA BECTON DICKINSON INDÚSTRIAS CIRÚRGICAS LTDA., LTDA.</t>
  </si>
  <si>
    <t>JUIZ DE FORA</t>
  </si>
  <si>
    <t>GREEN ALTERNATIVE INVESTMENTS DISTRIBUIDORA DE TÍTULOS E VALORES MOBILIÁRIOS S.A.</t>
  </si>
  <si>
    <t>LIQUIDO INSTITUICAO DE PAGAMENTO LTDA</t>
  </si>
  <si>
    <t>COOPERATIVA DE ECONOMIA E CRÉDITO MUTUO DOS FUNCIONÁRIOS DE INSTITUIÇÕES FINANCEIRAS PUBLICAS E PRIVADAS NO TERRITÓRIO NACIONAL - CREDBRASIL</t>
  </si>
  <si>
    <t>DATANOMIK BRASIL INSTITUICAO DE PAGAMENTO LTDA</t>
  </si>
  <si>
    <t>NAGRO SOCIEDADE DE CRÉDITO DIRETO S.A.</t>
  </si>
  <si>
    <t>COOPESTADO - COOPERATIVA DE ECONOMIA E CRÉDITO MÚTUO DOS SERVIDORES PÚBLICOS NA REGIÃO METROPOLITANA DO ESTADO DO RIO DE JANEIRO LIMITADA</t>
  </si>
  <si>
    <t>MOMENTO DISTRIBUIDORA DE TITULOS E VALORES MOBILIARIOS LTDA</t>
  </si>
  <si>
    <t>COOPERATIVA DE ECONOMIA E CRÉDITO MÚTUO DOS EMPREGADOS DO SEBRAE BAHIA LTDA.</t>
  </si>
  <si>
    <t>COOPERATIVA DE ECONOMIA E CRÉDITO MÚTUO DOS EMPREGADOS DAS EMPRESAS SIDERÚRGICAS, METALÚRGICAS E ELETRO-MECÂNICAS DE JOÃO MONLEVADE LTDA. - CREDIBELGO</t>
  </si>
  <si>
    <t>AVS CORRETORA DE CÂMBIO LTDA.</t>
  </si>
  <si>
    <t>COOPERATIVA DE ECONOMIA E CRÉDITO MÚTUO DOS EMPREGADOS DA JOLIMODE ROUPAS E EMPRESAS COLIGADAS LTDA</t>
  </si>
  <si>
    <t>INFINIA BRASIL INSTITUICAO DE PAGAMENTO LTDA</t>
  </si>
  <si>
    <t>LAMARA SOCIEDADE DE CRÉDITO DIRETO S.A.</t>
  </si>
  <si>
    <t>E.SIGA SOCIEDADE DE CRÉDITO DIRETO S.A.</t>
  </si>
  <si>
    <t>SAO JOSE DOS PINHAIS</t>
  </si>
  <si>
    <t>COOPERATIVA DE ECONOMIA E CREDITO MUTUO DOS FUNCIONARIOS DA VIACAO NOSSA SENHORA DO AMPARO LTDA. - COPERFAMP</t>
  </si>
  <si>
    <t>MARICA</t>
  </si>
  <si>
    <t>CREDILON SOCIEDADE DE CRÉDITO AO MICROEMPREENDEDOR DA REGIÃO DE LONDRINA LTDA.</t>
  </si>
  <si>
    <t>FREEX SOCIEDADE CORRETORA DE CÂMBIO S.A.</t>
  </si>
  <si>
    <t>CONLIFE SOCIEDADE DE CRÉDITO DIRETO S/A</t>
  </si>
  <si>
    <t>COOPERATIVA DE ECONOMIA E CREDITO MUTUO DOS FUNCIONARIOS DA GKN DO BRASIL LTDA</t>
  </si>
  <si>
    <t>COOPERATIVA DE ECONOMIA E CREDITO MUTUO DOS SERVIDORES DO COLEGIO PEDRO II</t>
  </si>
  <si>
    <t>NUMATUR CORRETORA DE CÂMBIO LTDA.</t>
  </si>
  <si>
    <t>GOOD SOCIEDADE CORRETORA DE CÂMBIO LTDA.</t>
  </si>
  <si>
    <t>COOPERATIVA DE ECONOMIA E CRÉDITO MÚTUO DOS EMPREGADOS DE KYN COMÉRCIO VAREJISTA E ATACADISTA - COOPER KYN</t>
  </si>
  <si>
    <t>EUROINVEST S.A. CORRETORA DE CÂMBIO, TÍTULOS E VALORES MOBILIÁRIOS</t>
  </si>
  <si>
    <t>TUBARAO</t>
  </si>
  <si>
    <t>PACIFIC INVEST DISTRIBUIDORA DE TITULOS E VALORES MOBILIARIOS LTDA</t>
  </si>
  <si>
    <t>COOPERATIVA DE ECONOMIA E CRÉDITO MÚTUO DOS EMPREGADOS DA PONTIFÍCIA UNIVERSIDADE CATÓLICA DO RIO DE JANEIRO E EMPREGADOS EM ESTABELECIMENTOS PRIVADOS DE ENSINO DO MUNICÍPIO DO RIO DE JANEIRO LTDA.</t>
  </si>
  <si>
    <t>PB SOCIEDADE DE CREDITO DIRETO S.A.</t>
  </si>
  <si>
    <t>RED SOCIEDADE DE CRÉDITO DIRETO S.A.</t>
  </si>
  <si>
    <t>SADOC SOCIEDADE CORRETORA DE CÂMBIO LTDA.</t>
  </si>
  <si>
    <t>LA FINTECA INSTITUICAO DE PAGAMENTO LTDA</t>
  </si>
  <si>
    <t>EASY MONEY SOCIEDADE DE CRÉDITO DIRETO S.A.</t>
  </si>
  <si>
    <t>SAO LEOPOLDO</t>
  </si>
  <si>
    <t>COOPERATIVA DE ECONOMIA E CRÉDITO MÚTUO DOS FUNCIONÁRIOS DO PODER JUDICIÁRIO E SERVIDORES PÚBLICOS DO ESTADO DE SÃO PAULO - SPCRED</t>
  </si>
  <si>
    <t>PLUGGY BRASIL INSTITUICAO DE PAGAMENTO LTDA</t>
  </si>
  <si>
    <t>VNK SOCIEDADE DE CRÉDITO AO MICROEMPREENDEDOR E À EMPRESA DE PEQUENO PORTE LTDA.</t>
  </si>
  <si>
    <t>COOPERATIVA DE ECONOMIA E CREDITO MUTUO DOS TRABALHADORES EM CONSELHOS DE FISCALIZACAO PROFISSIONAL NO MUNICIPIO DO RIO DE JANEIRO LTDA.</t>
  </si>
  <si>
    <t>COOPERATIVA DE CRÉDITO MÚTUO DOS EMPREGADOS EM INSTITUIÇÕES DO SISTEMA FINANCEIRO NAS REGIÕES DE SÃO PAULO E CAMPINAS (SP) - CREDISCOOP</t>
  </si>
  <si>
    <t>COOPERATIVA DE ECONOMIA E CRÉDITO MÚTUO DOS EMPREGADOS DAS EMPRESAS DE DIVERSÕES DO ESTADO DE SÃO PAULO</t>
  </si>
  <si>
    <t>DEBONI DISTRIBUIDORA DE TITULOS E VALORES MOBILIARIOS LTDA</t>
  </si>
  <si>
    <t>COOPERATIVA DE ECONOMIA E CRÉDITO MÚTUO DOS EMPREGADOS DA FUNDAÇÃO ARTHUR BERNARDES LTDA. - COOFAB</t>
  </si>
  <si>
    <t>DIVI SOCIEDADE DE CREDITO DIRETO S.A.</t>
  </si>
  <si>
    <t>GDC PARTNERS SERVIÇOS FIDUCIÁRIOS DISTRIBUIDORA DE TÍTULOS E VALORES MOBILIÁRIOS LTDA.</t>
  </si>
  <si>
    <t>COOPERATIVA DE ECONOMIA E CRÉDITO MÚTUO DOS EMPREGADOS DA PROLEC GE BRASIL TRANSMISSÃO DE ENERGIA S.A.</t>
  </si>
  <si>
    <t>CORPORE SOCIEDADE DE CRÉDITO DIRETO S.A.</t>
  </si>
  <si>
    <t>COOPERATIVA DE CRÉDITO MÚTUO DOS TRABALHADORES DO SISTEMA FINANCEIRO DE CURITIBA E REGIÃO - COOPCREFI</t>
  </si>
  <si>
    <t>COOPERATIVA DE ECONOMIA E CRÉDITO MÚTUO DOS EMPREGADOS DA INDÚSTRIA DE PAPÉIS SUDESTE LTDA . - CREDESTE</t>
  </si>
  <si>
    <t>COOPERATIVA DE ECONOMIA E CRÉDITO MÚTUO DOS SERVIDORES DA PREFEITURA MUNICIPAL DE VOTORANTIM</t>
  </si>
  <si>
    <t>EFEX INSTITUIÇÃO DE PAGAMENTO S.A.</t>
  </si>
  <si>
    <t>EMCASH SERVIÇOS FINANCEIROS SOCIEDADE DE EMPRÉSTIMO ENTRE PESSOAS S.A.</t>
  </si>
  <si>
    <t>COOPERATIVA DE ECONOMIA E CRÉDITO MÚTUO DOS SERVIDORES DA POLÍCIA MILITAR DO ESTADO DE SÃO PAULO DA REGIÃO CENTRO-OESTE PAULISTA - CREDMIL</t>
  </si>
  <si>
    <t>BAURU</t>
  </si>
  <si>
    <t>COOPERATIVA DE CRÉDITO DE SERVIDORES DA UESC - UESCOOP</t>
  </si>
  <si>
    <t>ILHEUS</t>
  </si>
  <si>
    <t>FIDO SOCIEDADE DE EMPRÉSTIMO ENTRE PESSOAS S.A.</t>
  </si>
  <si>
    <t>DELEND INSTITUICAO DE PAGAMENTO LTDA</t>
  </si>
  <si>
    <t>SINGRATUR CORRETORA DE CÂMBIO LTDA</t>
  </si>
  <si>
    <t>KINEL FOREIGN EXCHANGE CORRETORA DE CÂMBIO LTDA.</t>
  </si>
  <si>
    <t>FINANCRED - SOCIEDADE DE CRÉDITO AO MICROEMPREENDEDOR E A EMPRESA DE PEQUENO PORTE LTDA.</t>
  </si>
  <si>
    <t>COOPERATIVA DE ECONOMIA E CREDITO MUTUO DOS TRABALHADORES DO GRUPO EMPRESARIAL ITATIAIA LTDA. - COOPERITA</t>
  </si>
  <si>
    <t>COOPERATIVA DE CRÉDITO DOS EMPREGADOS DA CBA ITAPISSUMA E EMPREGADOS DE EMPRESAS PRESTADORA DE SERVIÇOS INDUSTRIAIS, NO ESTADO DE PERNAMBUCO - CREDCOOPE</t>
  </si>
  <si>
    <t>ITAPISSUMA</t>
  </si>
  <si>
    <t>COOPERATIVA DE CRÉDITO DOS EMPREGADOS DO GRUPO NEFFA E DEMAIS ESTABELECIMENTOS DO SETOR DE ALIMENTOS DA GRANDE VITÓRIA.</t>
  </si>
  <si>
    <t>COOPERATIVA DE CRÉDITO MÚTUO DOS EMPREGADOS DAS INDÚSTRIAS DO PAPEL, PAPELÃO E CORTIÇA DE OTACÍLIO COSTA, LAGES E CORREA PINTO - PAPELCREDI</t>
  </si>
  <si>
    <t>OTACILIO COSTA</t>
  </si>
  <si>
    <t>LARCA CAPITAL - SOCIEDADE DE CRÉDITO DIRETO S.A.</t>
  </si>
  <si>
    <t>COOPERATIVA DE ECONOMIA E CREDITO MUTUO DOS FUNCIONARIOS DA FMC LTDA</t>
  </si>
  <si>
    <t>COOPERATIVA DE CRÉDITO DOS FUNCIONÁRIOS DO GRUPO PPG</t>
  </si>
  <si>
    <t>CREDFC SOCIEDADE DE CRÉDITO DIRETO S.A.</t>
  </si>
  <si>
    <t>NG CASH SOCIEDADE DE CRÉDITO DIRETO S.A.</t>
  </si>
  <si>
    <t>EASYCREDITO SOCIEDADE DE CREDITO DIRETO S.A.</t>
  </si>
  <si>
    <t>LÚMINA CORRETORA DE CÂMBIO LTDA.</t>
  </si>
  <si>
    <t>COOPERATIVA DE ECONOMIA E CRÉDITO MÚTUO DOS FUNCIONÁRIOS DA EDUCAÇÃO E COMUNICAÇÃO</t>
  </si>
  <si>
    <t>COOPERATIVA DE CRÉDITO DE CAPITAL E EMPRÉSTIMO DOS EMPREGADOS CELETISTAS DE COOPERATIVAS DOS ESTADOS DE SÃO PAULO E MINAS GERAIS - COCREUNI</t>
  </si>
  <si>
    <t>COOPERATIVA DE ECONOMIA E CREDITO MUTUO DOS EMPREGADOS DA CIA DE ELETRICIDADE DO ESTADO DO RJ CREDICERJ LTDA</t>
  </si>
  <si>
    <t>NITEROI</t>
  </si>
  <si>
    <t>JM CORRETORA DE CÂMBIO LTDA.</t>
  </si>
  <si>
    <t>COOPERATIVA DE ECONOMIA E CRÉDITO MÚTUO SERVIDORES PÚBLICOS ATIVOS, INATIVOS E PENSIONISTAS DA ADMINISTRAÇÃO DIRETA, INDIRETA E ASSEMBLÉIA LEGISLATIVA DO ESTADO DO RIO GRANDE SUL - COOPSERGS</t>
  </si>
  <si>
    <t>COOPERATIVA DE CRÉDITO DE CAPITAL E EMPRÉSTIMO DOS TRABALHADORES NAS EMPRESAS DE TECNOLOGIA E INFORMÁTICA DE BELO HORIZONTE E CIDADES LIMÍTROFES LTDA - COOPERINFOR</t>
  </si>
  <si>
    <t>EURO17 SOCIEDADE DE CRÉDITO DIRETO S.A.</t>
  </si>
  <si>
    <t>CREDIMÓVEL SOCIEDADE DE CRÉDITO DIRETO S.A.</t>
  </si>
  <si>
    <t>PRONANCE SOCIEDADE CORRETORA DE CÂMBIO LTDA</t>
  </si>
  <si>
    <t>COOPERATIVA DE ECONOMIA E CRÉDITO MÚTUO DOS EMPREGADOS DA MOSAIC FERTILIZANTES DO BRASIL - COCRESGO LTDA.</t>
  </si>
  <si>
    <t>CATALAO</t>
  </si>
  <si>
    <t>CF GROUP SOCIEDADE DE EMPRÉSTIMO ENTRE PESSOAS S.A.</t>
  </si>
  <si>
    <t>FIDUCIAL DISTRIBUIDORA DE TÍTULOS E VALORES MOBILIÁRIOS LTDA.</t>
  </si>
  <si>
    <t>CORREPARTI SOCIEDADE CORRETORA DE CÂMBIO LTDA.</t>
  </si>
  <si>
    <t>COOPERATIVA DE ECONOMIA E CRÉDITO MÚTUO DOS FUNCIONÁRIOS DA ASSEMBLÉIA LEGISLATIVA DO ESTADO DA PARAÍBA LTDA. -  COOPERLEGIS</t>
  </si>
  <si>
    <t>ÓPERA SOCIEDADE DE CRÉDITO DIRETO S.A.</t>
  </si>
  <si>
    <t>FATORI SOCIEDADE DE CRÉDITO AO MICROEMPREENDEDOR E À EMPRESA DE PEQUENO PORTE LTDA.</t>
  </si>
  <si>
    <t>COOPERATIVA DE ECONOMIA E CRÉDITO MÚTUO DOS TRABALHADORES DAS INDÚSTRIAS METALÚRGICAS DE PORTO ALEGRE E GRANDE PORTO ALEGRE</t>
  </si>
  <si>
    <t>COOPERATIVA DE ECONOMIA E CRÉDITO MÚTUO DOS EMPREGADOS NAS INDÚSTRIAS, FÁBRICAS, DISTRIBUIDORAS, TRANSPORTADORAS, ENVASADORAS, QUÍMICAS, FARMACÊUTICAS, EMBALAGENS E SIMILARES DO ESTADO DO RIO DE JANEI</t>
  </si>
  <si>
    <t>COOPERATIVA DE ECONOMIA E CRÉDITO MÚTUO DOS BANCÁRIOS DE BELO HORIZONTE E REGIÃO METROPOLITANA LTDA. - COOPEB</t>
  </si>
  <si>
    <t>CRYSTAL BMC - INSTITUICAO DE PAGAMENTO LTDA.</t>
  </si>
  <si>
    <t>COOPERATIVA DE ECONOMIA E CRÉDITO MÚTUO DOS EMPREGADOS DAS EMPRESAS SOMART LTDA.</t>
  </si>
  <si>
    <t>URUCANIA</t>
  </si>
  <si>
    <t>COOPERATIVA DE ECONOMIA E CREDITO MUTUO DOS EMPREGADOS DO COLEGIO SANTO INACIO - COESI</t>
  </si>
  <si>
    <t>COOPERATIVA DE ECONOMIA E CRÉDITO MÚTUO DOS FUNCIONÁRIOS DO BANESPA DE BOTUCATU E CIDADES LIMÍTROFES</t>
  </si>
  <si>
    <t>BOTUCATU</t>
  </si>
  <si>
    <t>EBADIVAL - E. BAGGIO DISTRIBUIDORA DE TÍTULOS E VALORES MOBILIÁRIOS LTDA.</t>
  </si>
  <si>
    <t>AVIPAM CORRETORA DE CAMBIO LTDA</t>
  </si>
  <si>
    <t>COOPERATIVA DE ECONOMIA E CREDITO MUTUO DOS FUNCIONARIOS DA SANEPAR - CREDISANEPAR</t>
  </si>
  <si>
    <t>COOPERATIVA DE ECONOMIA E CRÉDITO MÚTUO DOS BANCÁRIOS DE JUIZ DE FORA LTDA. - COCBAN</t>
  </si>
  <si>
    <t>COOPERATIVA DE ECONOMIA E CRÉDITO MÚTUO DOS BANCÁRIOS DE SOROCABA E REGIÃO</t>
  </si>
  <si>
    <t>ÍCARO CORRETORA DE CÂMBIO LTDA</t>
  </si>
  <si>
    <t>CONSEGTUR CORRETORA DE CÂMBIO LTDA.</t>
  </si>
  <si>
    <t>CÁLCULO PARA GRÁFICOS</t>
  </si>
  <si>
    <t>Segmento</t>
  </si>
  <si>
    <t>Qtd Instituições</t>
  </si>
  <si>
    <t>Grand Total</t>
  </si>
  <si>
    <t/>
  </si>
  <si>
    <t xml:space="preserve">Ativo Total  </t>
  </si>
  <si>
    <t xml:space="preserve"> Ativo Total </t>
  </si>
  <si>
    <t>Nº de Instituições</t>
  </si>
  <si>
    <t xml:space="preserve">Ativo Total   </t>
  </si>
  <si>
    <t xml:space="preserve">% Ativo Total </t>
  </si>
  <si>
    <t>% Ativo Total Acum.</t>
  </si>
  <si>
    <t>Total</t>
  </si>
  <si>
    <t>ONDE ESTÃO CONCENTRADAS AS INSTITUIÇÕES</t>
  </si>
  <si>
    <t>ANÁLISE GRÁFICA - QUEM CONCENTRA O DINHEIRO</t>
  </si>
  <si>
    <t>ANÁLISE GRÁFICA - CONCENTRAÇÃO DO SISTEMA</t>
  </si>
  <si>
    <t>DISTRIBUIÇÃO DE ROE (%)</t>
  </si>
  <si>
    <t>ANÁLISE  | VERSÃO COMPLETA DISPONÍVEL NO GITHUB</t>
  </si>
  <si>
    <t xml:space="preserve">  1. CONTEXTO DA ANÁLISE</t>
  </si>
  <si>
    <t>Objetivo</t>
  </si>
  <si>
    <t>Responder às seguintes perguntas de negócio:
(1) Como os ativos estão distribuídos entre as instituições financeiras brasileiras?
(2) Existe concentração relevante de mercado?
(3) Qual a participação das instituições públicas no sistema financeiro?
(4) Como está distribuída a rentabilidade (ROE) das instituições?
(5) Há evidências de transformação digital no setor?</t>
  </si>
  <si>
    <t>Por que essa análise importa?</t>
  </si>
  <si>
    <t>Esta análise é importante porque a estrutura do sistema financeiro influencia concorrência, acesso ao crédito, estabilidade econômica e oportunidades de mercado para novos participantes.</t>
  </si>
  <si>
    <t>Base de dados utilizada</t>
  </si>
  <si>
    <t>IFData – Banco Central do Brasil</t>
  </si>
  <si>
    <t>Período analisado</t>
  </si>
  <si>
    <t>Junho/2026</t>
  </si>
  <si>
    <t>Tipo de instituições</t>
  </si>
  <si>
    <t>Conglomerados Financeiros e Instituições Independentes</t>
  </si>
  <si>
    <t xml:space="preserve">  2. PRINCIPAIS INDICADORES</t>
  </si>
  <si>
    <t>✅ Quantidade de Instituições</t>
  </si>
  <si>
    <t>✅ Ativo Total Agregado</t>
  </si>
  <si>
    <t>✅ Participação Pública no Ativo Total</t>
  </si>
  <si>
    <t>✅ Ativo Total Médio</t>
  </si>
  <si>
    <t>✅ Ativo Total Mediano</t>
  </si>
  <si>
    <t>✅ Carteira de Crédito Mediano</t>
  </si>
  <si>
    <t>✅ Número de Instituições sem Agências</t>
  </si>
  <si>
    <t>✅ ROE Médio</t>
  </si>
  <si>
    <t>✅ ROE Mediano</t>
  </si>
  <si>
    <t xml:space="preserve">  3. INSIGHT PRINCIPAL</t>
  </si>
  <si>
    <t>Insight principal</t>
  </si>
  <si>
    <t>Embora o sistema financeiro brasileiro seja composto por mais de mil instituições, a maior parte dos ativos permanece concentrada em um grupo reduzido de organizações de grande porte.</t>
  </si>
  <si>
    <t>Evidência 1</t>
  </si>
  <si>
    <t>Apenas 10 instituições pertencem ao segmento S1.</t>
  </si>
  <si>
    <t>Evidência 2</t>
  </si>
  <si>
    <t xml:space="preserve">  O segmento S1 concentra aproximadamente R$ 12,3 trilhões em ativos, cerca de 63% do total analisado.</t>
  </si>
  <si>
    <t>Evidência 3</t>
  </si>
  <si>
    <t>O ativo médio é aproximadamente 48 vezes superior ao ativo mediano.</t>
  </si>
  <si>
    <t>Evidência 4</t>
  </si>
  <si>
    <t>Mais de 70% das instituições da base não possuem agências físicas.</t>
  </si>
  <si>
    <t xml:space="preserve">  4. IMPLICAÇÕES</t>
  </si>
  <si>
    <t>Para o setor financeiro</t>
  </si>
  <si>
    <t>Os resultados indicam uma estrutura de mercado altamente concentrada, na qual poucas instituições exercem influência significativa sobre a oferta de crédito e a intermediação financeira.
Ao mesmo tempo, a elevada quantidade de instituições sem agências físicas sugere avanço dos modelos digitais e redução da dependência de estruturas presenciais.</t>
  </si>
  <si>
    <t>O que isso significa para um analista de dados?</t>
  </si>
  <si>
    <t>A análise demonstra a importância de combinar medidas de tendência central, dispersão e concentração para evitar conclusões baseadas exclusivamente em médias agregadas.
O estudo também evidencia a relevância da análise exploratória na identificação de assimetrias, outliers e padrões estruturais dos dados.</t>
  </si>
  <si>
    <t xml:space="preserve">  5. PRÓXIMOS PASSOS / O QUE INVESTIGAR</t>
  </si>
  <si>
    <t>Possíveis extensões desta análise incluem:
Avaliação da evolução histórica dos ativos e da carteira de crédito.
Estudo da evolução da concentração bancária ao longo do tempo.
Análise da relação entre porte e rentabilidade.
Comparação dos indicadores entre tipos de controle.
Construção de dashboards interativos em Power BI.</t>
  </si>
  <si>
    <t xml:space="preserve">SISTEMA FINANCEIRO BRASILEIRO | IFDATA 6-2026 </t>
  </si>
  <si>
    <t>Análise Exploratória de 1.406 Instituições | Conglomerados Financeiros e Instituições Independentes</t>
  </si>
  <si>
    <t>Instituições</t>
  </si>
  <si>
    <t>Ativo Total Público</t>
  </si>
  <si>
    <t>Ativo Total Médio</t>
  </si>
  <si>
    <t>Ativo Total Mediano</t>
  </si>
  <si>
    <t>Carteira Crédito Mediano</t>
  </si>
  <si>
    <t>Instituições sem Agências</t>
  </si>
  <si>
    <t>ROE Mediano</t>
  </si>
  <si>
    <t>Quantidade de Instituições por Segmento</t>
  </si>
  <si>
    <t>Quantidade de Instituições por Tipo de Controle</t>
  </si>
  <si>
    <t>Ativo Total por Segmento</t>
  </si>
  <si>
    <t>Ativo Total por Tipo de Controle</t>
  </si>
  <si>
    <t>Insight Principal</t>
  </si>
  <si>
    <t>O mercado financeiro brasileiro apresenta uma elevada concentração estrutural e financeira, com o segmento S1 retendo 63% dos ativos (R$ 12,3 trilhões) em apenas 10 instituições, enquanto a esmagadora maioria das entidades de menor porte detém parcelas reduzidas dos recursos. Sob a ótica de controle, o sistema exibe uma predominância numérica massiva de instituições privadas nacionais (1.204) em comparação às privadas estrangeiras (173) e públicas (29). Contudo, em termos de volume de capital, o cenário se reequilibra: as instituições privadas nacionais concentram a maior fatia de ativos, mas o Estado retém cerca de um terço do total, consolidando o papel estratégico do controle público na intermediação financeira do país.</t>
  </si>
  <si>
    <t>Top 10 Instituições por Ativo Total</t>
  </si>
  <si>
    <t>Curva de Pareto dos Maiores Bancos por Ativo Total</t>
  </si>
  <si>
    <t>Distribuição do Ativo Total por Segmento</t>
  </si>
  <si>
    <t>Distribuição do ROE por Segmento</t>
  </si>
  <si>
    <t>Os resultados da amostra apresentam uma forte assimetria e concentração de mercado, onde o topo do ranking de ativos é liderado por Itaú, Banco do Brasil, Caixa, Bradesco e Santander. A Curva de Pareto e a distribuição por boxplot confirmam essa estrutura, mostrando que um grupo reduzido de grandes bancos detém a maior fatia dos recursos, gerando uma ampla dispersão de valores e uma grande diferença entre o ativo médio e o mediano. No campo da rentabilidade, a distribuição do ROE por segmento revela alta variabilidade e a presença de fortes outliers negativos, o que distorce a visibilidade dos quartis e puxa o ROE médio para 2,25%, bem abaixo da mediana de 4,42%, evidenciando que o desempenho severamente baixo de algumas instituições impacta o resultado agregado do setor.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</si>
</sst>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-[$R$-416]\ * #,##0.00_-;\-[$R$-416]\ * #,##0.00_-;_-[$R$-416]\ * &quot;-&quot;??_-;_-@_-"/>
    <numFmt numFmtId="166" formatCode="_-[$R$-416]\ * #,##0_-;\-[$R$-416]\ * #,##0_-;_-[$R$-416]\ * &quot;-&quot;??_-;_-@_-"/>
    <numFmt numFmtId="167" formatCode="\R&quot;$&quot;\ 0.00,\ &quot;Milhões&quot;"/>
    <numFmt numFmtId="168" formatCode="\R&quot;$&quot;\ 0.00,,,\ &quot;tri&quot;"/>
    <numFmt numFmtId="169" formatCode="\R&quot;$&quot;\ 0.00,,\ &quot;bi&quot;"/>
    <numFmt numFmtId="170" formatCode="\R&quot;$&quot;\ 0,\ &quot;mi&quot;"/>
  </numFmts>
  <fonts count="18">
    <font>
      <sz val="11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b/>
      <sz val="10"/>
      <color rgb="FF1B3F7A"/>
      <name val="Arial"/>
      <family val="2"/>
    </font>
    <font>
      <i/>
      <sz val="10"/>
      <color rgb="FF1A1A1A"/>
      <name val="Arial"/>
      <family val="2"/>
    </font>
    <font>
      <sz val="10"/>
      <color rgb="FF1A1A1A"/>
      <name val="Arial"/>
      <family val="2"/>
    </font>
    <font>
      <sz val="11"/>
      <color theme="1"/>
      <name val="Segoe UI"/>
      <family val="2"/>
    </font>
    <font>
      <b/>
      <sz val="10"/>
      <color rgb="FFFFFFFF"/>
      <name val="Arial"/>
      <family val="2"/>
    </font>
    <font>
      <sz val="10"/>
      <color rgb="FF64748B"/>
      <name val="Arial"/>
      <family val="2"/>
    </font>
    <font>
      <sz val="10"/>
      <color rgb="FF1A6B3C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b/>
      <sz val="11"/>
      <color rgb="FF404040"/>
      <name val="Aptos Narrow"/>
      <family val="2"/>
      <scheme val="minor"/>
    </font>
    <font>
      <b/>
      <i/>
      <sz val="20"/>
      <color rgb="FF1F4E78"/>
      <name val="Arial"/>
      <family val="2"/>
    </font>
    <font>
      <b/>
      <sz val="18"/>
      <color rgb="FF404040"/>
      <name val="Aptos Narrow"/>
      <family val="2"/>
      <scheme val="minor"/>
    </font>
    <font>
      <b/>
      <sz val="16"/>
      <color rgb="FF404040"/>
      <name val="Aptos Narrow"/>
      <family val="2"/>
      <scheme val="minor"/>
    </font>
    <font>
      <b/>
      <sz val="13"/>
      <color rgb="FF404040"/>
      <name val="Calibri"/>
      <family val="2"/>
    </font>
    <font>
      <b/>
      <sz val="10"/>
      <color rgb="FF40404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3F7A"/>
        <bgColor rgb="FF344D7E"/>
      </patternFill>
    </fill>
    <fill>
      <patternFill patternType="solid">
        <fgColor rgb="FFD6E4F7"/>
        <bgColor rgb="FFD4EDDA"/>
      </patternFill>
    </fill>
    <fill>
      <patternFill patternType="solid">
        <fgColor rgb="FFF4F6FB"/>
        <bgColor rgb="FFEEF4FF"/>
      </patternFill>
    </fill>
    <fill>
      <patternFill patternType="solid">
        <fgColor rgb="FFFFFFFF"/>
        <bgColor rgb="FFF4F6FB"/>
      </patternFill>
    </fill>
    <fill>
      <patternFill patternType="solid">
        <fgColor rgb="FFD9EAF7"/>
        <bgColor rgb="FFF4F6FB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rgb="FF344D7E"/>
      </patternFill>
    </fill>
  </fills>
  <borders count="2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9D9D9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CCCCCC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/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D9D9D9"/>
      </left>
      <right/>
      <top style="thin">
        <color rgb="FFCCCCCC"/>
      </top>
      <bottom style="thin">
        <color rgb="FFCCCCCC"/>
      </bottom>
      <diagonal/>
    </border>
    <border>
      <left style="thin">
        <color rgb="FFD9D9D9"/>
      </left>
      <right/>
      <top style="thin">
        <color rgb="FFCCCCCC"/>
      </top>
      <bottom style="thin">
        <color rgb="FFD9D9D9"/>
      </bottom>
      <diagonal/>
    </border>
    <border>
      <left style="thin">
        <color rgb="FFD9D9D9"/>
      </left>
      <right style="thin">
        <color rgb="FFCCCCCC"/>
      </right>
      <top style="thin">
        <color rgb="FFCCCCCC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CCCCCC"/>
      </top>
      <bottom style="thin">
        <color rgb="FFD9D9D9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55">
    <xf numFmtId="0" fontId="0" fillId="0" borderId="0" xfId="0"/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1" applyNumberFormat="1" applyFont="1"/>
    <xf numFmtId="166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9" fontId="0" fillId="0" borderId="0" xfId="2" applyFont="1"/>
    <xf numFmtId="0" fontId="0" fillId="0" borderId="0" xfId="2" applyNumberFormat="1" applyFont="1"/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2" fillId="4" borderId="13" xfId="0" applyFont="1" applyFill="1" applyBorder="1" applyAlignment="1">
      <alignment horizontal="left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2" fillId="4" borderId="19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right" vertical="center" wrapText="1"/>
    </xf>
    <xf numFmtId="0" fontId="3" fillId="5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4" borderId="2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3" fillId="5" borderId="0" xfId="0" applyFont="1" applyFill="1" applyAlignment="1">
      <alignment horizontal="left" vertical="center" wrapText="1" indent="1"/>
    </xf>
    <xf numFmtId="0" fontId="3" fillId="5" borderId="22" xfId="0" applyFont="1" applyFill="1" applyBorder="1" applyAlignment="1">
      <alignment vertical="center" wrapText="1"/>
    </xf>
    <xf numFmtId="168" fontId="3" fillId="5" borderId="23" xfId="0" applyNumberFormat="1" applyFont="1" applyFill="1" applyBorder="1" applyAlignment="1">
      <alignment vertical="top" wrapText="1"/>
    </xf>
    <xf numFmtId="10" fontId="3" fillId="5" borderId="23" xfId="2" applyNumberFormat="1" applyFont="1" applyFill="1" applyBorder="1" applyAlignment="1">
      <alignment vertical="center" wrapText="1"/>
    </xf>
    <xf numFmtId="167" fontId="3" fillId="5" borderId="23" xfId="0" applyNumberFormat="1" applyFont="1" applyFill="1" applyBorder="1" applyAlignment="1">
      <alignment vertical="center" wrapText="1"/>
    </xf>
    <xf numFmtId="0" fontId="3" fillId="5" borderId="23" xfId="0" applyFont="1" applyFill="1" applyBorder="1" applyAlignment="1">
      <alignment horizontal="right" vertical="center" wrapText="1" indent="1"/>
    </xf>
    <xf numFmtId="10" fontId="3" fillId="5" borderId="23" xfId="2" applyNumberFormat="1" applyFont="1" applyFill="1" applyBorder="1" applyAlignment="1">
      <alignment horizontal="right" vertical="center" wrapText="1"/>
    </xf>
    <xf numFmtId="10" fontId="3" fillId="5" borderId="24" xfId="2" applyNumberFormat="1" applyFont="1" applyFill="1" applyBorder="1" applyAlignment="1">
      <alignment horizontal="right" vertical="center" wrapText="1"/>
    </xf>
    <xf numFmtId="0" fontId="3" fillId="5" borderId="9" xfId="0" applyFont="1" applyFill="1" applyBorder="1" applyAlignment="1">
      <alignment vertical="top" wrapText="1"/>
    </xf>
    <xf numFmtId="0" fontId="3" fillId="5" borderId="9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horizontal="left" vertical="center" wrapText="1" indent="1"/>
    </xf>
    <xf numFmtId="0" fontId="3" fillId="5" borderId="5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NumberFormat="1"/>
    <xf numFmtId="0" fontId="0" fillId="0" borderId="0" xfId="0" quotePrefix="1"/>
    <xf numFmtId="0" fontId="11" fillId="0" borderId="0" xfId="0" applyFont="1" applyFill="1" applyBorder="1" applyAlignment="1">
      <alignment vertical="center"/>
    </xf>
    <xf numFmtId="0" fontId="12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70" fontId="13" fillId="6" borderId="12" xfId="0" applyNumberFormat="1" applyFont="1" applyFill="1" applyBorder="1" applyAlignment="1">
      <alignment horizontal="center" vertical="center" wrapText="1"/>
    </xf>
    <xf numFmtId="170" fontId="13" fillId="6" borderId="7" xfId="0" applyNumberFormat="1" applyFont="1" applyFill="1" applyBorder="1" applyAlignment="1">
      <alignment horizontal="center" vertical="center" wrapText="1"/>
    </xf>
    <xf numFmtId="170" fontId="13" fillId="6" borderId="8" xfId="0" applyNumberFormat="1" applyFont="1" applyFill="1" applyBorder="1" applyAlignment="1">
      <alignment horizontal="center" vertical="center" wrapText="1"/>
    </xf>
    <xf numFmtId="170" fontId="13" fillId="6" borderId="4" xfId="0" applyNumberFormat="1" applyFont="1" applyFill="1" applyBorder="1" applyAlignment="1">
      <alignment horizontal="center" vertical="center" wrapText="1"/>
    </xf>
    <xf numFmtId="170" fontId="13" fillId="6" borderId="0" xfId="0" applyNumberFormat="1" applyFont="1" applyFill="1" applyAlignment="1">
      <alignment horizontal="center" vertical="center" wrapText="1"/>
    </xf>
    <xf numFmtId="170" fontId="13" fillId="6" borderId="9" xfId="0" applyNumberFormat="1" applyFont="1" applyFill="1" applyBorder="1" applyAlignment="1">
      <alignment horizontal="center" vertical="center" wrapText="1"/>
    </xf>
    <xf numFmtId="170" fontId="13" fillId="6" borderId="11" xfId="0" applyNumberFormat="1" applyFont="1" applyFill="1" applyBorder="1" applyAlignment="1">
      <alignment horizontal="center" vertical="center" wrapText="1"/>
    </xf>
    <xf numFmtId="170" fontId="13" fillId="6" borderId="5" xfId="0" applyNumberFormat="1" applyFont="1" applyFill="1" applyBorder="1" applyAlignment="1">
      <alignment horizontal="center" vertical="center" wrapText="1"/>
    </xf>
    <xf numFmtId="170" fontId="13" fillId="6" borderId="10" xfId="0" applyNumberFormat="1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10" fontId="13" fillId="6" borderId="12" xfId="2" applyNumberFormat="1" applyFont="1" applyFill="1" applyBorder="1" applyAlignment="1">
      <alignment horizontal="center" vertical="center" wrapText="1"/>
    </xf>
    <xf numFmtId="10" fontId="13" fillId="6" borderId="7" xfId="2" applyNumberFormat="1" applyFont="1" applyFill="1" applyBorder="1" applyAlignment="1">
      <alignment horizontal="center" vertical="center" wrapText="1"/>
    </xf>
    <xf numFmtId="10" fontId="13" fillId="6" borderId="8" xfId="2" applyNumberFormat="1" applyFont="1" applyFill="1" applyBorder="1" applyAlignment="1">
      <alignment horizontal="center" vertical="center" wrapText="1"/>
    </xf>
    <xf numFmtId="10" fontId="13" fillId="6" borderId="4" xfId="2" applyNumberFormat="1" applyFont="1" applyFill="1" applyBorder="1" applyAlignment="1">
      <alignment horizontal="center" vertical="center" wrapText="1"/>
    </xf>
    <xf numFmtId="10" fontId="13" fillId="6" borderId="0" xfId="2" applyNumberFormat="1" applyFont="1" applyFill="1" applyBorder="1" applyAlignment="1">
      <alignment horizontal="center" vertical="center" wrapText="1"/>
    </xf>
    <xf numFmtId="10" fontId="13" fillId="6" borderId="9" xfId="2" applyNumberFormat="1" applyFont="1" applyFill="1" applyBorder="1" applyAlignment="1">
      <alignment horizontal="center" vertical="center" wrapText="1"/>
    </xf>
    <xf numFmtId="10" fontId="13" fillId="6" borderId="11" xfId="2" applyNumberFormat="1" applyFont="1" applyFill="1" applyBorder="1" applyAlignment="1">
      <alignment horizontal="center" vertical="center" wrapText="1"/>
    </xf>
    <xf numFmtId="10" fontId="13" fillId="6" borderId="5" xfId="2" applyNumberFormat="1" applyFont="1" applyFill="1" applyBorder="1" applyAlignment="1">
      <alignment horizontal="center" vertical="center" wrapText="1"/>
    </xf>
    <xf numFmtId="10" fontId="13" fillId="6" borderId="10" xfId="2" applyNumberFormat="1" applyFont="1" applyFill="1" applyBorder="1" applyAlignment="1">
      <alignment horizontal="center" vertical="center" wrapText="1"/>
    </xf>
    <xf numFmtId="168" fontId="13" fillId="6" borderId="12" xfId="0" applyNumberFormat="1" applyFont="1" applyFill="1" applyBorder="1" applyAlignment="1">
      <alignment horizontal="center" vertical="center" wrapText="1"/>
    </xf>
    <xf numFmtId="168" fontId="13" fillId="6" borderId="7" xfId="0" applyNumberFormat="1" applyFont="1" applyFill="1" applyBorder="1" applyAlignment="1">
      <alignment horizontal="center" vertical="center" wrapText="1"/>
    </xf>
    <xf numFmtId="168" fontId="13" fillId="6" borderId="8" xfId="0" applyNumberFormat="1" applyFont="1" applyFill="1" applyBorder="1" applyAlignment="1">
      <alignment horizontal="center" vertical="center" wrapText="1"/>
    </xf>
    <xf numFmtId="168" fontId="13" fillId="6" borderId="4" xfId="0" applyNumberFormat="1" applyFont="1" applyFill="1" applyBorder="1" applyAlignment="1">
      <alignment horizontal="center" vertical="center" wrapText="1"/>
    </xf>
    <xf numFmtId="168" fontId="13" fillId="6" borderId="0" xfId="0" applyNumberFormat="1" applyFont="1" applyFill="1" applyAlignment="1">
      <alignment horizontal="center" vertical="center" wrapText="1"/>
    </xf>
    <xf numFmtId="168" fontId="13" fillId="6" borderId="9" xfId="0" applyNumberFormat="1" applyFont="1" applyFill="1" applyBorder="1" applyAlignment="1">
      <alignment horizontal="center" vertical="center" wrapText="1"/>
    </xf>
    <xf numFmtId="168" fontId="13" fillId="6" borderId="11" xfId="0" applyNumberFormat="1" applyFont="1" applyFill="1" applyBorder="1" applyAlignment="1">
      <alignment horizontal="center" vertical="center" wrapText="1"/>
    </xf>
    <xf numFmtId="168" fontId="13" fillId="6" borderId="5" xfId="0" applyNumberFormat="1" applyFont="1" applyFill="1" applyBorder="1" applyAlignment="1">
      <alignment horizontal="center" vertical="center" wrapText="1"/>
    </xf>
    <xf numFmtId="168" fontId="13" fillId="6" borderId="10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7" borderId="6" xfId="0" applyFont="1" applyFill="1" applyBorder="1" applyAlignment="1">
      <alignment horizontal="center" vertical="center"/>
    </xf>
    <xf numFmtId="169" fontId="13" fillId="6" borderId="12" xfId="0" applyNumberFormat="1" applyFont="1" applyFill="1" applyBorder="1" applyAlignment="1">
      <alignment horizontal="center" vertical="center" wrapText="1"/>
    </xf>
    <xf numFmtId="169" fontId="13" fillId="6" borderId="7" xfId="0" applyNumberFormat="1" applyFont="1" applyFill="1" applyBorder="1" applyAlignment="1">
      <alignment horizontal="center" vertical="center" wrapText="1"/>
    </xf>
    <xf numFmtId="169" fontId="13" fillId="6" borderId="8" xfId="0" applyNumberFormat="1" applyFont="1" applyFill="1" applyBorder="1" applyAlignment="1">
      <alignment horizontal="center" vertical="center" wrapText="1"/>
    </xf>
    <xf numFmtId="169" fontId="13" fillId="6" borderId="4" xfId="0" applyNumberFormat="1" applyFont="1" applyFill="1" applyBorder="1" applyAlignment="1">
      <alignment horizontal="center" vertical="center" wrapText="1"/>
    </xf>
    <xf numFmtId="169" fontId="13" fillId="6" borderId="0" xfId="0" applyNumberFormat="1" applyFont="1" applyFill="1" applyAlignment="1">
      <alignment horizontal="center" vertical="center" wrapText="1"/>
    </xf>
    <xf numFmtId="169" fontId="13" fillId="6" borderId="9" xfId="0" applyNumberFormat="1" applyFont="1" applyFill="1" applyBorder="1" applyAlignment="1">
      <alignment horizontal="center" vertical="center" wrapText="1"/>
    </xf>
    <xf numFmtId="169" fontId="13" fillId="6" borderId="11" xfId="0" applyNumberFormat="1" applyFont="1" applyFill="1" applyBorder="1" applyAlignment="1">
      <alignment horizontal="center" vertical="center" wrapText="1"/>
    </xf>
    <xf numFmtId="169" fontId="13" fillId="6" borderId="5" xfId="0" applyNumberFormat="1" applyFont="1" applyFill="1" applyBorder="1" applyAlignment="1">
      <alignment horizontal="center" vertical="center" wrapText="1"/>
    </xf>
    <xf numFmtId="169" fontId="13" fillId="6" borderId="10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center" vertical="center"/>
    </xf>
    <xf numFmtId="0" fontId="3" fillId="5" borderId="6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left" vertical="center" wrapText="1" indent="1"/>
    </xf>
    <xf numFmtId="0" fontId="3" fillId="5" borderId="18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wrapText="1" indent="1"/>
    </xf>
    <xf numFmtId="0" fontId="3" fillId="5" borderId="15" xfId="0" applyFont="1" applyFill="1" applyBorder="1" applyAlignment="1">
      <alignment horizontal="left" vertical="center" wrapText="1" indent="1"/>
    </xf>
    <xf numFmtId="0" fontId="2" fillId="3" borderId="12" xfId="0" applyFont="1" applyFill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2" fillId="3" borderId="8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indent="1"/>
    </xf>
    <xf numFmtId="0" fontId="2" fillId="3" borderId="9" xfId="0" applyFont="1" applyFill="1" applyBorder="1" applyAlignment="1">
      <alignment horizontal="left" vertical="center" indent="1"/>
    </xf>
    <xf numFmtId="0" fontId="3" fillId="5" borderId="0" xfId="0" applyFont="1" applyFill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3">
    <cellStyle name="Currency" xfId="1" builtinId="4"/>
    <cellStyle name="Normal" xfId="0" builtinId="0"/>
    <cellStyle name="Per cent" xfId="2" builtinId="5"/>
  </cellStyles>
  <dxfs count="2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0" formatCode="General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</dxfs>
  <tableStyles count="0" defaultTableStyle="TableStyleMedium2" defaultPivotStyle="PivotStyleLight16"/>
  <colors>
    <mruColors>
      <color rgb="FFD9D9D9"/>
      <color rgb="FFD9EAF7"/>
      <color rgb="FF404040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Ativo Total por</a:t>
            </a:r>
            <a:r>
              <a:rPr lang="en-US" baseline="0"/>
              <a:t> Segmento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272845020820455E-2"/>
          <c:y val="0.24223499434833415"/>
          <c:w val="0.84860256107109133"/>
          <c:h val="0.67145778652668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Tabelas!$E$18</c:f>
              <c:strCache>
                <c:ptCount val="1"/>
                <c:pt idx="0">
                  <c:v>Ativo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R&quot;$&quot;\ 0.00,,,&quot; tri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Tabelas!$D$19:$D$24</c:f>
              <c:strCache>
                <c:ptCount val="6"/>
                <c:pt idx="0">
                  <c:v>NA</c:v>
                </c:pt>
                <c:pt idx="1">
                  <c:v>S5</c:v>
                </c:pt>
                <c:pt idx="2">
                  <c:v>S4</c:v>
                </c:pt>
                <c:pt idx="3">
                  <c:v>S3</c:v>
                </c:pt>
                <c:pt idx="4">
                  <c:v>S2</c:v>
                </c:pt>
                <c:pt idx="5">
                  <c:v>S1</c:v>
                </c:pt>
              </c:strCache>
            </c:strRef>
          </c:cat>
          <c:val>
            <c:numRef>
              <c:f>Tabelas!$E$19:$E$24</c:f>
              <c:numCache>
                <c:formatCode>_-[$R$-416]\ * #,##0_-;\-[$R$-416]\ * #,##0_-;_-[$R$-416]\ * "-"??_-;_-@_-</c:formatCode>
                <c:ptCount val="6"/>
                <c:pt idx="0">
                  <c:v>158921710</c:v>
                </c:pt>
                <c:pt idx="1">
                  <c:v>512557103</c:v>
                </c:pt>
                <c:pt idx="2">
                  <c:v>942098679</c:v>
                </c:pt>
                <c:pt idx="3">
                  <c:v>2412543434</c:v>
                </c:pt>
                <c:pt idx="4">
                  <c:v>3132959342</c:v>
                </c:pt>
                <c:pt idx="5">
                  <c:v>12299822252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9-4B1D-9BAD-79CA32DCC8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12897296"/>
        <c:axId val="1566666031"/>
      </c:barChart>
      <c:catAx>
        <c:axId val="181289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66031"/>
        <c:crosses val="autoZero"/>
        <c:auto val="1"/>
        <c:lblAlgn val="ctr"/>
        <c:lblOffset val="100"/>
        <c:noMultiLvlLbl val="0"/>
      </c:catAx>
      <c:valAx>
        <c:axId val="1566666031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181289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Ativo Total por</a:t>
            </a:r>
            <a:r>
              <a:rPr lang="en-US" baseline="0"/>
              <a:t> Tipo de Controle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22350200856083"/>
          <c:y val="0.17171296296296296"/>
          <c:w val="0.79945170084567097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Tabelas!$E$27</c:f>
              <c:strCache>
                <c:ptCount val="1"/>
                <c:pt idx="0">
                  <c:v>Ativo 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R&quot;$&quot;\ 0.00,,,&quot; tri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Tabelas!$D$28:$D$30</c:f>
              <c:strCache>
                <c:ptCount val="3"/>
                <c:pt idx="0">
                  <c:v>Privado Estrangeiro</c:v>
                </c:pt>
                <c:pt idx="1">
                  <c:v>Público</c:v>
                </c:pt>
                <c:pt idx="2">
                  <c:v>Privado Nacional</c:v>
                </c:pt>
              </c:strCache>
            </c:strRef>
          </c:cat>
          <c:val>
            <c:numRef>
              <c:f>Tabelas!$E$28:$E$30</c:f>
              <c:numCache>
                <c:formatCode>_-[$R$-416]\ * #,##0_-;\-[$R$-416]\ * #,##0_-;_-[$R$-416]\ * "-"??_-;_-@_-</c:formatCode>
                <c:ptCount val="3"/>
                <c:pt idx="0">
                  <c:v>3257438553</c:v>
                </c:pt>
                <c:pt idx="1">
                  <c:v>6497590725</c:v>
                </c:pt>
                <c:pt idx="2">
                  <c:v>9703873242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3-4C1B-B156-0D2882E4F7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12881984"/>
        <c:axId val="1566762991"/>
      </c:barChart>
      <c:catAx>
        <c:axId val="181288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762991"/>
        <c:crosses val="autoZero"/>
        <c:auto val="1"/>
        <c:lblAlgn val="ctr"/>
        <c:lblOffset val="100"/>
        <c:noMultiLvlLbl val="0"/>
      </c:catAx>
      <c:valAx>
        <c:axId val="1566762991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181288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Instituições por Ativo Total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710841759803401"/>
          <c:y val="0.15782407407407409"/>
          <c:w val="0.64581910081660499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Tabelas!$E$39</c:f>
              <c:strCache>
                <c:ptCount val="1"/>
                <c:pt idx="0">
                  <c:v> Ativo 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R&quot;$&quot;\ 0.00,,,&quot; tri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Tabelas!$D$40:$D$50</c:f>
              <c:strCache>
                <c:ptCount val="10"/>
                <c:pt idx="0">
                  <c:v>NUBANK</c:v>
                </c:pt>
                <c:pt idx="1">
                  <c:v>SAFRA</c:v>
                </c:pt>
                <c:pt idx="2">
                  <c:v>XP</c:v>
                </c:pt>
                <c:pt idx="3">
                  <c:v>BTG PACTUAL</c:v>
                </c:pt>
                <c:pt idx="4">
                  <c:v>BNDES</c:v>
                </c:pt>
                <c:pt idx="5">
                  <c:v>SANTANDER</c:v>
                </c:pt>
                <c:pt idx="6">
                  <c:v>BRADESCO</c:v>
                </c:pt>
                <c:pt idx="7">
                  <c:v>CAIXA</c:v>
                </c:pt>
                <c:pt idx="8">
                  <c:v>BB</c:v>
                </c:pt>
                <c:pt idx="9">
                  <c:v>ITAU</c:v>
                </c:pt>
              </c:strCache>
            </c:strRef>
          </c:cat>
          <c:val>
            <c:numRef>
              <c:f>Tabelas!$E$40:$E$50</c:f>
              <c:numCache>
                <c:formatCode>_-[$R$-416]\ * #,##0_-;\-[$R$-416]\ * #,##0_-;_-[$R$-416]\ * "-"??_-;_-@_-</c:formatCode>
                <c:ptCount val="10"/>
                <c:pt idx="0">
                  <c:v>267997089</c:v>
                </c:pt>
                <c:pt idx="1">
                  <c:v>276259563</c:v>
                </c:pt>
                <c:pt idx="2">
                  <c:v>347231502</c:v>
                </c:pt>
                <c:pt idx="3">
                  <c:v>886560321</c:v>
                </c:pt>
                <c:pt idx="4">
                  <c:v>1073403746</c:v>
                </c:pt>
                <c:pt idx="5">
                  <c:v>1318054939</c:v>
                </c:pt>
                <c:pt idx="6">
                  <c:v>2043928673</c:v>
                </c:pt>
                <c:pt idx="7">
                  <c:v>2368233902</c:v>
                </c:pt>
                <c:pt idx="8">
                  <c:v>2583811190</c:v>
                </c:pt>
                <c:pt idx="9">
                  <c:v>2845762304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7-4136-A21C-3C8734D4AF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62200384"/>
        <c:axId val="2053028624"/>
      </c:barChart>
      <c:catAx>
        <c:axId val="146220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28624"/>
        <c:crosses val="autoZero"/>
        <c:auto val="1"/>
        <c:lblAlgn val="ctr"/>
        <c:lblOffset val="100"/>
        <c:noMultiLvlLbl val="0"/>
      </c:catAx>
      <c:valAx>
        <c:axId val="2053028624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146220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de</a:t>
            </a:r>
            <a:r>
              <a:rPr lang="en-US"/>
              <a:t> Instituições por Segmento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Tabelas!$E$3</c:f>
              <c:strCache>
                <c:ptCount val="1"/>
                <c:pt idx="0">
                  <c:v>Qtd Instituições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Tabelas!$D$4:$D$9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NA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Tabelas!$E$4:$E$9</c:f>
              <c:numCache>
                <c:formatCode>General</c:formatCode>
                <c:ptCount val="6"/>
                <c:pt idx="0">
                  <c:v>10</c:v>
                </c:pt>
                <c:pt idx="1">
                  <c:v>14</c:v>
                </c:pt>
                <c:pt idx="2">
                  <c:v>71</c:v>
                </c:pt>
                <c:pt idx="3">
                  <c:v>130</c:v>
                </c:pt>
                <c:pt idx="4">
                  <c:v>391</c:v>
                </c:pt>
                <c:pt idx="5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F67-A029-A88172F51F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802591"/>
        <c:axId val="1566604111"/>
      </c:barChart>
      <c:catAx>
        <c:axId val="9580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04111"/>
        <c:crosses val="autoZero"/>
        <c:auto val="1"/>
        <c:lblAlgn val="ctr"/>
        <c:lblOffset val="100"/>
        <c:noMultiLvlLbl val="0"/>
      </c:catAx>
      <c:valAx>
        <c:axId val="1566604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80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Instituições por Controle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Tabelas!$E$12</c:f>
              <c:strCache>
                <c:ptCount val="1"/>
                <c:pt idx="0">
                  <c:v>Qtd Instituições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Tabelas!$D$13:$D$15</c:f>
              <c:strCache>
                <c:ptCount val="3"/>
                <c:pt idx="0">
                  <c:v>Público</c:v>
                </c:pt>
                <c:pt idx="1">
                  <c:v>Privado Estrangeiro</c:v>
                </c:pt>
                <c:pt idx="2">
                  <c:v>Privado Nacional</c:v>
                </c:pt>
              </c:strCache>
            </c:strRef>
          </c:cat>
          <c:val>
            <c:numRef>
              <c:f>Tabelas!$E$13:$E$15</c:f>
              <c:numCache>
                <c:formatCode>General</c:formatCode>
                <c:ptCount val="3"/>
                <c:pt idx="0">
                  <c:v>29</c:v>
                </c:pt>
                <c:pt idx="1">
                  <c:v>173</c:v>
                </c:pt>
                <c:pt idx="2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F-47C5-922B-FA60845D0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802591"/>
        <c:axId val="1566604111"/>
      </c:barChart>
      <c:catAx>
        <c:axId val="9580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04111"/>
        <c:crosses val="autoZero"/>
        <c:auto val="1"/>
        <c:lblAlgn val="ctr"/>
        <c:lblOffset val="100"/>
        <c:noMultiLvlLbl val="0"/>
      </c:catAx>
      <c:valAx>
        <c:axId val="1566604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80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27051661695252E-2"/>
          <c:y val="2.5958595720020069E-2"/>
          <c:w val="0.76108164564859782"/>
          <c:h val="0.951711158532921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Tabelas!$E$3</c:f>
              <c:strCache>
                <c:ptCount val="1"/>
                <c:pt idx="0">
                  <c:v>Qtd Instituições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Tabelas!$D$4:$D$9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NA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Tabelas!$E$4:$E$9</c:f>
              <c:numCache>
                <c:formatCode>General</c:formatCode>
                <c:ptCount val="6"/>
                <c:pt idx="0">
                  <c:v>10</c:v>
                </c:pt>
                <c:pt idx="1">
                  <c:v>14</c:v>
                </c:pt>
                <c:pt idx="2">
                  <c:v>71</c:v>
                </c:pt>
                <c:pt idx="3">
                  <c:v>130</c:v>
                </c:pt>
                <c:pt idx="4">
                  <c:v>391</c:v>
                </c:pt>
                <c:pt idx="5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2-48F5-AF01-2407108F68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802591"/>
        <c:axId val="1566604111"/>
      </c:barChart>
      <c:catAx>
        <c:axId val="9580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F4E78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04111"/>
        <c:crosses val="autoZero"/>
        <c:auto val="1"/>
        <c:lblAlgn val="ctr"/>
        <c:lblOffset val="100"/>
        <c:noMultiLvlLbl val="0"/>
      </c:catAx>
      <c:valAx>
        <c:axId val="1566604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80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2845020820455E-2"/>
          <c:y val="4.3123581626899492E-2"/>
          <c:w val="0.84860256107109133"/>
          <c:h val="0.79945765164168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Tabelas!$E$18</c:f>
              <c:strCache>
                <c:ptCount val="1"/>
                <c:pt idx="0">
                  <c:v>Ativo Total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numFmt formatCode="\R&quot;$&quot;\ 0.00,,,&quot; tri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Tabelas!$D$19:$D$24</c:f>
              <c:strCache>
                <c:ptCount val="6"/>
                <c:pt idx="0">
                  <c:v>NA</c:v>
                </c:pt>
                <c:pt idx="1">
                  <c:v>S5</c:v>
                </c:pt>
                <c:pt idx="2">
                  <c:v>S4</c:v>
                </c:pt>
                <c:pt idx="3">
                  <c:v>S3</c:v>
                </c:pt>
                <c:pt idx="4">
                  <c:v>S2</c:v>
                </c:pt>
                <c:pt idx="5">
                  <c:v>S1</c:v>
                </c:pt>
              </c:strCache>
            </c:strRef>
          </c:cat>
          <c:val>
            <c:numRef>
              <c:f>Tabelas!$E$19:$E$24</c:f>
              <c:numCache>
                <c:formatCode>_-[$R$-416]\ * #,##0_-;\-[$R$-416]\ * #,##0_-;_-[$R$-416]\ * "-"??_-;_-@_-</c:formatCode>
                <c:ptCount val="6"/>
                <c:pt idx="0">
                  <c:v>158921710</c:v>
                </c:pt>
                <c:pt idx="1">
                  <c:v>512557103</c:v>
                </c:pt>
                <c:pt idx="2">
                  <c:v>942098679</c:v>
                </c:pt>
                <c:pt idx="3">
                  <c:v>2412543434</c:v>
                </c:pt>
                <c:pt idx="4">
                  <c:v>3132959342</c:v>
                </c:pt>
                <c:pt idx="5">
                  <c:v>12299822252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5-492C-B8BB-2A2B840286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12897296"/>
        <c:axId val="1566666031"/>
      </c:barChart>
      <c:catAx>
        <c:axId val="181289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66031"/>
        <c:crosses val="autoZero"/>
        <c:auto val="1"/>
        <c:lblAlgn val="ctr"/>
        <c:lblOffset val="100"/>
        <c:noMultiLvlLbl val="0"/>
      </c:catAx>
      <c:valAx>
        <c:axId val="1566666031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181289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06408968384015"/>
          <c:y val="5.793541429512912E-2"/>
          <c:w val="0.75864003620166487"/>
          <c:h val="0.699138883398462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Tabelas!$E$27</c:f>
              <c:strCache>
                <c:ptCount val="1"/>
                <c:pt idx="0">
                  <c:v>Ativo Total 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numFmt formatCode="\R&quot;$&quot;\ 0.00,,,&quot; tri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Tabelas!$D$28:$D$30</c:f>
              <c:strCache>
                <c:ptCount val="3"/>
                <c:pt idx="0">
                  <c:v>Privado Estrangeiro</c:v>
                </c:pt>
                <c:pt idx="1">
                  <c:v>Público</c:v>
                </c:pt>
                <c:pt idx="2">
                  <c:v>Privado Nacional</c:v>
                </c:pt>
              </c:strCache>
            </c:strRef>
          </c:cat>
          <c:val>
            <c:numRef>
              <c:f>Tabelas!$E$28:$E$30</c:f>
              <c:numCache>
                <c:formatCode>_-[$R$-416]\ * #,##0_-;\-[$R$-416]\ * #,##0_-;_-[$R$-416]\ * "-"??_-;_-@_-</c:formatCode>
                <c:ptCount val="3"/>
                <c:pt idx="0">
                  <c:v>3257438553</c:v>
                </c:pt>
                <c:pt idx="1">
                  <c:v>6497590725</c:v>
                </c:pt>
                <c:pt idx="2">
                  <c:v>9703873242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1-4E16-951C-501AE42D81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12881984"/>
        <c:axId val="1566762991"/>
      </c:barChart>
      <c:catAx>
        <c:axId val="181288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762991"/>
        <c:crosses val="autoZero"/>
        <c:auto val="1"/>
        <c:lblAlgn val="ctr"/>
        <c:lblOffset val="100"/>
        <c:noMultiLvlLbl val="0"/>
      </c:catAx>
      <c:valAx>
        <c:axId val="1566762991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181288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Tabelas!$E$12</c:f>
              <c:strCache>
                <c:ptCount val="1"/>
                <c:pt idx="0">
                  <c:v>Qtd Instituições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Tabelas!$D$13:$D$15</c:f>
              <c:strCache>
                <c:ptCount val="3"/>
                <c:pt idx="0">
                  <c:v>Público</c:v>
                </c:pt>
                <c:pt idx="1">
                  <c:v>Privado Estrangeiro</c:v>
                </c:pt>
                <c:pt idx="2">
                  <c:v>Privado Nacional</c:v>
                </c:pt>
              </c:strCache>
            </c:strRef>
          </c:cat>
          <c:val>
            <c:numRef>
              <c:f>Tabelas!$E$13:$E$15</c:f>
              <c:numCache>
                <c:formatCode>General</c:formatCode>
                <c:ptCount val="3"/>
                <c:pt idx="0">
                  <c:v>29</c:v>
                </c:pt>
                <c:pt idx="1">
                  <c:v>173</c:v>
                </c:pt>
                <c:pt idx="2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9-4108-80B0-192DB238D4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2658695"/>
        <c:axId val="372660743"/>
      </c:barChart>
      <c:catAx>
        <c:axId val="372658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60743"/>
        <c:crosses val="autoZero"/>
        <c:auto val="1"/>
        <c:lblAlgn val="ctr"/>
        <c:lblOffset val="100"/>
        <c:noMultiLvlLbl val="0"/>
      </c:catAx>
      <c:valAx>
        <c:axId val="3726607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2658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33070866141731"/>
          <c:y val="3.7735754603847711E-2"/>
          <c:w val="0.64581904345290175"/>
          <c:h val="0.911577422735231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Tabelas!$E$39</c:f>
              <c:strCache>
                <c:ptCount val="1"/>
                <c:pt idx="0">
                  <c:v> Ativo Total 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numFmt formatCode="\R&quot;$&quot;\ 0.00,,,&quot; tri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Tabelas!$D$40:$D$50</c:f>
              <c:strCache>
                <c:ptCount val="10"/>
                <c:pt idx="0">
                  <c:v>NUBANK</c:v>
                </c:pt>
                <c:pt idx="1">
                  <c:v>SAFRA</c:v>
                </c:pt>
                <c:pt idx="2">
                  <c:v>XP</c:v>
                </c:pt>
                <c:pt idx="3">
                  <c:v>BTG PACTUAL</c:v>
                </c:pt>
                <c:pt idx="4">
                  <c:v>BNDES</c:v>
                </c:pt>
                <c:pt idx="5">
                  <c:v>SANTANDER</c:v>
                </c:pt>
                <c:pt idx="6">
                  <c:v>BRADESCO</c:v>
                </c:pt>
                <c:pt idx="7">
                  <c:v>CAIXA</c:v>
                </c:pt>
                <c:pt idx="8">
                  <c:v>BB</c:v>
                </c:pt>
                <c:pt idx="9">
                  <c:v>ITAU</c:v>
                </c:pt>
              </c:strCache>
            </c:strRef>
          </c:cat>
          <c:val>
            <c:numRef>
              <c:f>Tabelas!$E$40:$E$50</c:f>
              <c:numCache>
                <c:formatCode>_-[$R$-416]\ * #,##0_-;\-[$R$-416]\ * #,##0_-;_-[$R$-416]\ * "-"??_-;_-@_-</c:formatCode>
                <c:ptCount val="10"/>
                <c:pt idx="0">
                  <c:v>267997089</c:v>
                </c:pt>
                <c:pt idx="1">
                  <c:v>276259563</c:v>
                </c:pt>
                <c:pt idx="2">
                  <c:v>347231502</c:v>
                </c:pt>
                <c:pt idx="3">
                  <c:v>886560321</c:v>
                </c:pt>
                <c:pt idx="4">
                  <c:v>1073403746</c:v>
                </c:pt>
                <c:pt idx="5">
                  <c:v>1318054939</c:v>
                </c:pt>
                <c:pt idx="6">
                  <c:v>2043928673</c:v>
                </c:pt>
                <c:pt idx="7">
                  <c:v>2368233902</c:v>
                </c:pt>
                <c:pt idx="8">
                  <c:v>2583811190</c:v>
                </c:pt>
                <c:pt idx="9">
                  <c:v>2845762304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C-469B-9C04-CF7DD8BC6F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62200384"/>
        <c:axId val="2053028624"/>
      </c:barChart>
      <c:catAx>
        <c:axId val="146220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28624"/>
        <c:crosses val="autoZero"/>
        <c:auto val="1"/>
        <c:lblAlgn val="ctr"/>
        <c:lblOffset val="100"/>
        <c:noMultiLvlLbl val="0"/>
      </c:catAx>
      <c:valAx>
        <c:axId val="2053028624"/>
        <c:scaling>
          <c:orientation val="minMax"/>
        </c:scaling>
        <c:delete val="1"/>
        <c:axPos val="b"/>
        <c:numFmt formatCode="_-[$R$-416]\ * #,##0_-;\-[$R$-416]\ * #,##0_-;_-[$R$-416]\ * &quot;-&quot;??_-;_-@_-" sourceLinked="1"/>
        <c:majorTickMark val="none"/>
        <c:minorTickMark val="none"/>
        <c:tickLblPos val="nextTo"/>
        <c:crossAx val="14622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Top 10 Instituições por Ativo Total   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Top 10 Instituições por Ativo Total   </a:t>
          </a:r>
        </a:p>
      </cx:txPr>
    </cx:title>
    <cx:plotArea>
      <cx:plotAreaRegion>
        <cx:series layoutId="clusteredColumn" uniqueId="{00000006-FE4C-43D9-8413-5DBB5055EE2B}" formatIdx="0">
          <cx:tx>
            <cx:txData>
              <cx:f>_xlchart.v1.1</cx:f>
              <cx:v> % Ativo Total  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A026624-02AA-4DBB-92FE-1BA0CA537098}" formatIdx="1">
          <cx:axisId val="2"/>
        </cx:series>
        <cx:series layoutId="clusteredColumn" hidden="1" uniqueId="{00000007-FE4C-43D9-8413-5DBB5055EE2B}" formatIdx="2">
          <cx:tx>
            <cx:txData>
              <cx:f>_xlchart.v1.3</cx:f>
              <cx:v> % Ativo Total Acum. </cx:v>
            </cx:txData>
          </cx:tx>
          <cx:dataLabels pos="inBase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2" uniqueId="{A76D4AD7-6FCF-42BA-8315-63BCDDE62E82}" formatIdx="3">
          <cx:axisId val="2"/>
        </cx:series>
      </cx:plotAreaRegion>
      <cx:axis id="0">
        <cx:catScaling gapWidth="0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title pos="t" align="ctr" overlay="0">
      <cx:tx>
        <cx:txData>
          <cx:v>ROE (%) por Segmento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ROE (%) por Segmento</a:t>
          </a:r>
        </a:p>
      </cx:txPr>
    </cx:title>
    <cx:plotArea>
      <cx:plotAreaRegion>
        <cx:series layoutId="boxWhisker" uniqueId="{00000000-6D98-467A-A0F3-22339DF40E2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>
      <cx:tx>
        <cx:txData>
          <cx:v>Ativo Total por Segmento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Ativo Total por Segmento</a:t>
          </a:r>
        </a:p>
      </cx:txPr>
    </cx:title>
    <cx:plotArea>
      <cx:plotAreaRegion>
        <cx:series layoutId="boxWhisker" uniqueId="{00000000-0C01-41D4-ADB4-86D348B45C92}">
          <cx:tx>
            <cx:txData>
              <cx:f>_xlchart.v1.8</cx:f>
              <cx:v> Ativo Total 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numFmt formatCode="R$ 0.00,,,&quot; Tri&quot;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plotArea>
      <cx:plotAreaRegion>
        <cx:series layoutId="clusteredColumn" uniqueId="{00000006-FE4C-43D9-8413-5DBB5055EE2B}" formatIdx="0">
          <cx:tx>
            <cx:txData>
              <cx:f>_xlchart.v1.11</cx:f>
              <cx:v> % Ativo Total  </cx:v>
            </cx:txData>
          </cx:tx>
          <cx:spPr>
            <a:solidFill>
              <a:srgbClr val="1F4E78"/>
            </a:solidFill>
            <a:ln w="12700">
              <a:solidFill>
                <a:srgbClr val="FFFFFF"/>
              </a:solidFill>
              <a:prstDash val="solid"/>
            </a:ln>
          </cx:spPr>
          <cx:dataId val="0"/>
          <cx:layoutPr>
            <cx:aggregation/>
          </cx:layoutPr>
          <cx:axisId val="1"/>
        </cx:series>
        <cx:series layoutId="paretoLine" ownerIdx="0" uniqueId="{FA026624-02AA-4DBB-92FE-1BA0CA537098}" formatIdx="1">
          <cx:axisId val="2"/>
        </cx:series>
        <cx:series layoutId="clusteredColumn" hidden="1" uniqueId="{00000007-FE4C-43D9-8413-5DBB5055EE2B}" formatIdx="2">
          <cx:tx>
            <cx:txData>
              <cx:f>_xlchart.v1.13</cx:f>
              <cx:v> % Ativo Total Acum. </cx:v>
            </cx:txData>
          </cx:tx>
          <cx:dataLabels pos="inBase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2" uniqueId="{A76D4AD7-6FCF-42BA-8315-63BCDDE62E82}" formatIdx="3">
          <cx:axisId val="2"/>
        </cx:series>
      </cx:plotAreaRegion>
      <cx:axis id="0">
        <cx:catScaling gapWidth="0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noFill/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plotArea>
      <cx:plotAreaRegion>
        <cx:series layoutId="boxWhisker" uniqueId="{00000000-0C01-41D4-ADB4-86D348B45C92}">
          <cx:tx>
            <cx:txData>
              <cx:f>_xlchart.v1.16</cx:f>
              <cx:v> Ativo Total 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numFmt formatCode="R$ 0.00,,,&quot; Tri&quot;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noFill/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_xlchart.v1.19</cx:f>
      </cx:numDim>
    </cx:data>
  </cx:chartData>
  <cx:chart>
    <cx:plotArea>
      <cx:plotAreaRegion>
        <cx:series layoutId="boxWhisker" uniqueId="{00000000-6D98-467A-A0F3-22339DF40E2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microsoft.com/office/2014/relationships/chartEx" Target="../charts/chartEx4.xml"/><Relationship Id="rId1" Type="http://schemas.openxmlformats.org/officeDocument/2006/relationships/chart" Target="../charts/chart10.xml"/><Relationship Id="rId4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78585</xdr:colOff>
      <xdr:row>15</xdr:row>
      <xdr:rowOff>176213</xdr:rowOff>
    </xdr:from>
    <xdr:to>
      <xdr:col>0</xdr:col>
      <xdr:colOff>3524251</xdr:colOff>
      <xdr:row>30</xdr:row>
      <xdr:rowOff>119063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C5881B52-457E-A757-B076-8D465A921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3608612</xdr:colOff>
      <xdr:row>15</xdr:row>
      <xdr:rowOff>181655</xdr:rowOff>
    </xdr:from>
    <xdr:to>
      <xdr:col>1</xdr:col>
      <xdr:colOff>530680</xdr:colOff>
      <xdr:row>30</xdr:row>
      <xdr:rowOff>129267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7C6DD444-895A-45C9-AD36-0D2474492A3A}"/>
            </a:ext>
            <a:ext uri="{147F2762-F138-4A5C-976F-8EAC2B608ADB}">
              <a16:predDERef xmlns:a16="http://schemas.microsoft.com/office/drawing/2014/main" pred="{C5881B52-457E-A757-B076-8D465A921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95252</xdr:colOff>
      <xdr:row>32</xdr:row>
      <xdr:rowOff>136071</xdr:rowOff>
    </xdr:from>
    <xdr:to>
      <xdr:col>0</xdr:col>
      <xdr:colOff>5369719</xdr:colOff>
      <xdr:row>47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59DCA-6AA9-4FC4-815D-7E8EDBE90807}"/>
            </a:ext>
            <a:ext uri="{147F2762-F138-4A5C-976F-8EAC2B608ADB}">
              <a16:predDERef xmlns:a16="http://schemas.microsoft.com/office/drawing/2014/main" pred="{7C6DD444-895A-45C9-AD36-0D2474492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5572125</xdr:colOff>
      <xdr:row>32</xdr:row>
      <xdr:rowOff>133350</xdr:rowOff>
    </xdr:from>
    <xdr:to>
      <xdr:col>8</xdr:col>
      <xdr:colOff>409575</xdr:colOff>
      <xdr:row>47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25CAFB0-81D0-6A48-C98D-DDA755E96669}"/>
                </a:ext>
                <a:ext uri="{147F2762-F138-4A5C-976F-8EAC2B608ADB}">
                  <a16:predDERef xmlns:a16="http://schemas.microsoft.com/office/drawing/2014/main" pred="{66459DCA-6AA9-4FC4-815D-7E8EDBE9080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1581150</xdr:colOff>
      <xdr:row>51</xdr:row>
      <xdr:rowOff>9525</xdr:rowOff>
    </xdr:from>
    <xdr:to>
      <xdr:col>5</xdr:col>
      <xdr:colOff>123825</xdr:colOff>
      <xdr:row>65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B6EDAE8F-B1F2-4049-9108-35C803E96F45}"/>
                </a:ext>
                <a:ext uri="{147F2762-F138-4A5C-976F-8EAC2B608ADB}">
                  <a16:predDERef xmlns:a16="http://schemas.microsoft.com/office/drawing/2014/main" pred="{325CAFB0-81D0-6A48-C98D-DDA755E966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</xdr:colOff>
      <xdr:row>15</xdr:row>
      <xdr:rowOff>176893</xdr:rowOff>
    </xdr:from>
    <xdr:to>
      <xdr:col>8</xdr:col>
      <xdr:colOff>421825</xdr:colOff>
      <xdr:row>30</xdr:row>
      <xdr:rowOff>130629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949FC03-868F-4257-848F-5E6499CD0453}"/>
                </a:ext>
                <a:ext uri="{147F2762-F138-4A5C-976F-8EAC2B608ADB}">
                  <a16:predDERef xmlns:a16="http://schemas.microsoft.com/office/drawing/2014/main" pred="{B6EDAE8F-B1F2-4049-9108-35C803E96F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85725</xdr:colOff>
      <xdr:row>1</xdr:row>
      <xdr:rowOff>95250</xdr:rowOff>
    </xdr:from>
    <xdr:to>
      <xdr:col>0</xdr:col>
      <xdr:colOff>5105400</xdr:colOff>
      <xdr:row>13</xdr:row>
      <xdr:rowOff>123825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3D572663-A57A-42D4-83FB-ED44A3A07C71}"/>
            </a:ext>
            <a:ext uri="{147F2762-F138-4A5C-976F-8EAC2B608ADB}">
              <a16:predDERef xmlns:a16="http://schemas.microsoft.com/office/drawing/2014/main" pred="{A949FC03-868F-4257-848F-5E6499CD0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5286375</xdr:colOff>
      <xdr:row>1</xdr:row>
      <xdr:rowOff>95250</xdr:rowOff>
    </xdr:from>
    <xdr:to>
      <xdr:col>8</xdr:col>
      <xdr:colOff>428625</xdr:colOff>
      <xdr:row>13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156EEA-E98C-403C-9C29-987F2D5EBC18}"/>
            </a:ext>
            <a:ext uri="{147F2762-F138-4A5C-976F-8EAC2B608ADB}">
              <a16:predDERef xmlns:a16="http://schemas.microsoft.com/office/drawing/2014/main" pred="{3D572663-A57A-42D4-83FB-ED44A3A07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</xdr:colOff>
      <xdr:row>18</xdr:row>
      <xdr:rowOff>0</xdr:rowOff>
    </xdr:from>
    <xdr:to>
      <xdr:col>118</xdr:col>
      <xdr:colOff>83</xdr:colOff>
      <xdr:row>39</xdr:row>
      <xdr:rowOff>47624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9A9FE27-6E86-454A-804A-D5C290A06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44</xdr:row>
      <xdr:rowOff>47625</xdr:rowOff>
    </xdr:from>
    <xdr:to>
      <xdr:col>117</xdr:col>
      <xdr:colOff>28575</xdr:colOff>
      <xdr:row>66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968E6519-F5F1-4D76-9DAF-D3FEF6B4C617}"/>
            </a:ext>
            <a:ext uri="{147F2762-F138-4A5C-976F-8EAC2B608ADB}">
              <a16:predDERef xmlns:a16="http://schemas.microsoft.com/office/drawing/2014/main" pred="{B9A9FE27-6E86-454A-804A-D5C290A06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120</xdr:col>
      <xdr:colOff>38100</xdr:colOff>
      <xdr:row>45</xdr:row>
      <xdr:rowOff>19050</xdr:rowOff>
    </xdr:from>
    <xdr:to>
      <xdr:col>232</xdr:col>
      <xdr:colOff>38100</xdr:colOff>
      <xdr:row>65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4537F7-54F5-4111-8D20-E95D8DA3AAB2}"/>
            </a:ext>
            <a:ext uri="{147F2762-F138-4A5C-976F-8EAC2B608ADB}">
              <a16:predDERef xmlns:a16="http://schemas.microsoft.com/office/drawing/2014/main" pred="{968E6519-F5F1-4D76-9DAF-D3FEF6B4C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119</xdr:col>
      <xdr:colOff>0</xdr:colOff>
      <xdr:row>17</xdr:row>
      <xdr:rowOff>57150</xdr:rowOff>
    </xdr:from>
    <xdr:to>
      <xdr:col>233</xdr:col>
      <xdr:colOff>47625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EA0E4-717D-445D-9EA7-10EFFE58448C}"/>
            </a:ext>
            <a:ext uri="{147F2762-F138-4A5C-976F-8EAC2B608ADB}">
              <a16:predDERef xmlns:a16="http://schemas.microsoft.com/office/drawing/2014/main" pred="{6D4537F7-54F5-4111-8D20-E95D8DA3A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116</xdr:col>
      <xdr:colOff>45245</xdr:colOff>
      <xdr:row>40</xdr:row>
      <xdr:rowOff>52388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957886-3425-4FEF-BFFA-FEC6BE7D4188}"/>
            </a:ext>
            <a:ext uri="{147F2762-F138-4A5C-976F-8EAC2B608ADB}">
              <a16:predDERef xmlns:a16="http://schemas.microsoft.com/office/drawing/2014/main" pred="{968E6519-F5F1-4D76-9DAF-D3FEF6B4C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119</xdr:col>
      <xdr:colOff>0</xdr:colOff>
      <xdr:row>18</xdr:row>
      <xdr:rowOff>0</xdr:rowOff>
    </xdr:from>
    <xdr:to>
      <xdr:col>234</xdr:col>
      <xdr:colOff>0</xdr:colOff>
      <xdr:row>42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BE58106-D5C1-4600-89F2-A5ABE248F620}"/>
                </a:ext>
                <a:ext uri="{147F2762-F138-4A5C-976F-8EAC2B608ADB}">
                  <a16:predDERef xmlns:a16="http://schemas.microsoft.com/office/drawing/2014/main" pred="{61957886-3425-4FEF-BFFA-FEC6BE7D418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19050</xdr:colOff>
      <xdr:row>44</xdr:row>
      <xdr:rowOff>0</xdr:rowOff>
    </xdr:from>
    <xdr:to>
      <xdr:col>116</xdr:col>
      <xdr:colOff>0</xdr:colOff>
      <xdr:row>69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57AA31E8-19DD-43E7-BC31-B5634EBCFA00}"/>
                </a:ext>
                <a:ext uri="{147F2762-F138-4A5C-976F-8EAC2B608ADB}">
                  <a16:predDERef xmlns:a16="http://schemas.microsoft.com/office/drawing/2014/main" pred="{3BE58106-D5C1-4600-89F2-A5ABE248F6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119</xdr:col>
      <xdr:colOff>19050</xdr:colOff>
      <xdr:row>44</xdr:row>
      <xdr:rowOff>0</xdr:rowOff>
    </xdr:from>
    <xdr:to>
      <xdr:col>233</xdr:col>
      <xdr:colOff>38100</xdr:colOff>
      <xdr:row>69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F02F77A8-D955-433B-9108-48B699AF8A70}"/>
                </a:ext>
                <a:ext uri="{147F2762-F138-4A5C-976F-8EAC2B608ADB}">
                  <a16:predDERef xmlns:a16="http://schemas.microsoft.com/office/drawing/2014/main" pred="{57AA31E8-19DD-43E7-BC31-B5634EBCFA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619795023151" createdVersion="8" refreshedVersion="8" minRefreshableVersion="3" recordCount="1406" xr:uid="{9E07A914-551D-48BC-8E12-0ADE4B9C6201}">
  <cacheSource type="worksheet">
    <worksheetSource name="IFdata_6_2026"/>
  </cacheSource>
  <cacheFields count="18">
    <cacheField name="Instituição" numFmtId="0">
      <sharedItems count="1408">
        <s v="ITAU"/>
        <s v="BB"/>
        <s v="CAIXA"/>
        <s v="BRADESCO"/>
        <s v="SANTANDER"/>
        <s v="BNDES"/>
        <s v="BTG PACTUAL"/>
        <s v="XP"/>
        <s v="SAFRA"/>
        <s v="NUBANK"/>
        <s v="BANCO COOPERATIVO SICREDI S.A."/>
        <s v="BANCO SICOOB"/>
        <s v="REDECARD INSTITUIÇÃO DE PAGAMENTO S.A."/>
        <s v="CITIBANK"/>
        <s v="BANRISUL"/>
        <s v="C6 BANK"/>
        <s v="VOTORANTIM"/>
        <s v="NU PAGAMENTOS S.A. - INSTITUIÇÃO DE PAGAMENTO"/>
        <s v="CIELO S.A. - INSTITUIÇÃO DE PAGAMENTO"/>
        <s v="JP MORGAN CHASE"/>
        <s v="DAYCOVAL"/>
        <s v="MERCADO PAGO INSTITUIÇÃO DE PAGAMENTO LTDA."/>
        <s v="INTER"/>
        <s v="STONE INSTITUIÇÃO DE PAGAMENTO S.A."/>
        <s v="BANCO DO NORDESTE DO BRASIL S.A."/>
        <s v="GETNET ADQUIRÊNCIA E SERVIÇOS PARA MEIOS DE PAGAMENTO S.A. INSTITUIÇÃO DE PAGAMENTO"/>
        <s v="PAGSEGURO INTERNET INSTITUIÇÃO DE PAGAMENTO S.A."/>
        <s v="ABC-BRASIL"/>
        <s v="BANCO DA AMAZONIA S.A."/>
        <s v="BANCO VOLKSWAGEN S.A."/>
        <s v="BANCO BNP PARIBAS BRASIL S.A."/>
        <s v="BANCO RABOBANK INTERNATIONAL BRASIL S.A."/>
        <s v="PAGBANK-PAGSEGURO"/>
        <s v="AGIBANK"/>
        <s v="BMG"/>
        <s v="PICPAY - FINANCEIRO"/>
        <s v="MERCANTIL DO BRASIL"/>
        <s v="BANESTES"/>
        <s v="BOFA MERRILL LYNCH"/>
        <s v="BANCO CLASSICO S.A."/>
        <s v="PINE"/>
        <s v="BANCO ORIGINAL S.A."/>
        <s v="BOCOM"/>
        <s v="STONE IP - FINANCEIRO"/>
        <s v="COOPERATIVA CENTRAL DE CRÉDITO DE MINAS GERAIS LTDA. - SICOOB CENTRAL CREDIMINAS"/>
        <s v="GOLDMAN SACHS"/>
        <s v="BANCO REGIONAL DE DESENVOLVIMENTO DO EXTREMO SUL"/>
        <s v="STELLANTIS"/>
        <s v="COOPERATIVA CENTRAL DE CRÉDITO DE SANTA CATARINA E RIO GRANDE DO SUL - SICOOB CENTRAL SC/RS"/>
        <s v="CENTRAL DAS COOPERATIVAS DE ECONOMIA E CREDITO DO ESTADO DE MINAS GERAIS LTDA. - SICOOB CENTRAL CECREMGE"/>
        <s v="PORTO SEGURO"/>
        <s v="BANCO CNH INDUSTRIAL CAPITAL S.A."/>
        <s v="BANCO CSF S.A."/>
        <s v="MERCADO PAGO IP - FINANCEIRO"/>
        <s v="BANCO FIBRA S.A."/>
        <s v="CLOUDWALK INSTITUIÇÃO DE PAGAMENTO E SERVICOS LTDA"/>
        <s v="CCB"/>
        <s v="DEUTSCHE BANK S.A. - BANCO ALEMAO"/>
        <s v="BANCO DO ESTADO DO PARÁ S.A."/>
        <s v="MERCEDES-BENZ"/>
        <s v="BANCO CRÉDIT AGRICOLE BRASIL S.A."/>
        <s v="COOPERATIVA CENTRAL DE CRÉDITO DO ESTADO DE SÃO PAULO - SICOOB SÃO PAULO"/>
        <s v="COOPERATIVA DE CREDITO CREDICITRUS"/>
        <s v="MORGAN STANLEY"/>
        <s v="BR PARTNERS BANCO DE INVESTIMENTO S.A."/>
        <s v="SOFISA"/>
        <s v="BANCO GM S.A."/>
        <s v="COOPERATIVA CENTRAL DE CRÉDITO COM INTERAÇÃO SOLIDÁRIA - CENTRAL CRESOL BASER"/>
        <s v="COOPERATIVA CENTRAL DE CRÉDITO UNICRED DO BRASIL - UNICRED DO BRASIL"/>
        <s v="COOPERATIVA DE CREDITO VALE DO ITAJAI - VIACREDI"/>
        <s v="SCOTIABANK"/>
        <s v="BANCO HSBC S.A."/>
        <s v="BANCO VOLVO BRASIL S.A."/>
        <s v="UBS (BRASIL)"/>
        <s v="COOPERATIVA DE CRÉDITO, POUPANÇA E INVESTIMENTO DEXIS - SICREDI DEXIS"/>
        <s v="BANCO DE DESENVOLVIMENTO DE MINAS GERAIS S.A.-BDMG"/>
        <s v="COOPERATIVA CENTRAL DE CREDITO DO ESPIRITO SANTO - SICOOB CENTRAL ES"/>
        <s v="BANCO MIZUHO DO BRASIL S.A."/>
        <s v="COOPERATIVA CENTRAL DE CRÉDITO - AILOS"/>
        <s v="BANCO INBURSA S.A."/>
        <s v="SCANIA BANCO S.A."/>
        <s v="PARANÁ BANCO"/>
        <s v="COOPERATIVA DE CRÉDITO, POUPANÇA E INVESTIMENTO OURO VERDE - SICREDI OURO VERDE MT/PA"/>
        <s v="COOPERATIVA DE CRÉDITO CONEXÃO - SICOOB CONEXÃO"/>
        <s v="COOPERATIVA DE CRÉDITO, POUPANÇA E INVESTIMENTO VALE DO PIQUIRI ABCD - SICREDI VALE DO PIQUIRI ABCD PR/SP"/>
        <s v="COOPERATIVA DE CRÉDITO, POUPANÇA E INVESTIMENTO CAMPOS GERAIS, GRANDE CURITIBA, VALE DO RIBEIRA E FORÇA DOS VENTOS - SICREDI CAMPOS GERAIS E GRANDE CURITIBA PR/SP"/>
        <s v="COOPERATIVA DE CRÉDITO SICREDI SERRANA RS/ES"/>
        <s v="COOPERATIVA DE CRÉDITO, POUPANÇA E INVESTIMENTO VANGUARDA - SICREDI VANGUARDA PR/SP/RJ"/>
        <s v="SICOOB COCRED COOPERATIVA DE CRÉDITO"/>
        <s v="BANCO DO ESTADO DE SERGIPE S.A."/>
        <s v="BANCO TOYOTA DO BRASIL S.A."/>
        <s v="BANCO DE LAGE LANDEN BRASIL S.A."/>
        <s v="PICPAY INSTITUIÇÃO DE PAGAMENTO S.A."/>
        <s v="COOPERATIVA DE CRÉDITO, POUPANÇA E INVESTIMENTO SICREDI PIONEIRA RS - SICREDI PIONEIRA RS"/>
        <s v="BANCO MUFG BRASIL S.A."/>
        <s v="HONDA"/>
        <s v="COOPERATIVA DE CRÉDITO DE LIVRE ADMISSÃO DE ASSOCIADOS - SICOOB MAXICRÉDITO"/>
        <s v="SISPRIME DO BRASIL - COOPERATIVA DE CRÉDITO"/>
        <s v="ASSOCIACAO DE POUPANCA E EMPRESTIMO - POUPEX"/>
        <s v="SEM PARAR INSTITUICAO DE PAGAMENTO LTDA"/>
        <s v="COOPERATIVA DE CRÉDITO, POUPANÇA E INVESTIMENTO UNIÃO - SICREDI UNIAO RS/ES"/>
        <s v="SICOOB CREDICOM - COOPERATIVA DE ECONOMIA E CREDITO MUTUO DOS MEDICOS E PROFISSIONAIS DA AREA DE SAUDE DO BRASIL LTDA."/>
        <s v="COOPERATIVA DE CRÉDITO, POUPANÇA E INVESTIMENTO DO SUDOESTE MT/PA - SICREDI SUDOESTE MT/PA"/>
        <s v="COOPERATIVA DE CRÉDITO DE LIVRE ADMISSÃO CENTRO BRASILEIRA LTDA."/>
        <s v="BANCO DIGIMAIS S.A."/>
        <s v="FACTA S.A. CFI - FINANCEIRO"/>
        <s v="CENTRAL DAS COOPERATIVAS DE CREDITO UNICOOB - SICOOB CENTRAL UNICOOB"/>
        <s v="COOPERATIVA DE CRÉDITO, POUPANÇA E INVESTIMENTO DO CENTRO SUL DO MATO GROSSO DO SUL E BAHIA - SICREDI CENTRO-SUL MS/BA"/>
        <s v="COOPERATIVA CENTRAL DE CRÉDITO DE GOIÁS, DISTRITO FEDERAL E TOCANTINS LTDA. - SICOOB NOVA CENTRAL"/>
        <s v="COOPERATIVA DE CRÉDITO, POUPANÇA E INVESTIMENTO UNIÃO DOS ESTADOS DE MATO GROSSO DO SUL, TOCANTINS E OESTE DA BAHIA - SICREDI UNIÃO MS/TO E OESTE DA BA"/>
        <s v="BANCO BS2 S.A."/>
        <s v="CREFISA"/>
        <s v="BANCO SUMITOMO MITSUI BRASILEIRO S.A."/>
        <s v="CENTRAL SICOOB UNI DE COOPERATIVAS DE CRÉDITO"/>
        <s v="COOPERATIVA DE CRÉDITO, POUPANÇA E INVESTIMENTO UNIÃO DE ESTADOS RIO GRANDE DO SUL, SANTA CATARINA E MINAS GERAIS - SICREDI UNIESTADOS"/>
        <s v="INDUSTRIAL DO BRASIL"/>
        <s v="COOPERATIVA DE CRÉDITO, POUPANÇA E INVESTIMENTO SORRISO - SICREDI CELEIRO MT/RR"/>
        <s v="BANCO PACCAR S.A."/>
        <s v="BANCO SOCIETE GENERALE BRASIL S.A."/>
        <s v="COOPERATIVA DE CRÉDITO DE LIVRE ADMISSÃO DE ASSOCIADOS SÃO MIGUEL DO OESTE - SICOOB SÃO MIGUEL SC/PR/RS"/>
        <s v="COOPERATIVA DE CRÉDITO E INVESTIMENTO DO SUDOESTE  DA AMAZÔNIA LTDA - SICOOB CREDISUL"/>
        <s v="COOPERATIVA DE CRÉDITO SUL-SERRANA DO ESPÍRITO SANTO"/>
        <s v="CONFEDERAÇÃO NACIONAL DAS COOPERATIVAS CENTRAIS DE CRÉDITO E ECONOMIA FAMILIAR E SOLIDÁRIA - CRESOL CONFEDERAÇÃO"/>
        <s v="NEON"/>
        <s v="COOPERATIVA DE CRÉDITO, POUPANÇA E INVESTIMENTO PLANALTO - SICREDI PLANALTO RS/MG"/>
        <s v="COOPERATIVA DE CRÉDITO SICOOB METROPOLITANO"/>
        <s v="COOPERATIVA CENTRAL DE CRÉDITO E INVESTIMENTO COM INTERAÇÃO SOLIDÁRIA - CENTRAL CRESOL SICOPER"/>
        <s v="COOPERATIVA CENTRAL DE CRÉDITO DO NORTE DO BRASIL - SICOOB NORTE"/>
        <s v="FISERV DO BRASIL  INSTITUIÇÃO DE PAGAMENTO LTDA"/>
        <s v="COOPERATIVA DE CRÉDITO, POUPANÇA E INVESTIMENTO DA REGIÃO DOS VALES - SICREDI REGIÃO DOS VALES RS"/>
        <s v="HAITONG"/>
        <s v="OMNI"/>
        <s v="COOPERATIVA DE CRÉDITO ALIANÇA - SICREDI ALIANÇA"/>
        <s v="BANCO TRATON BRASIL S.A."/>
        <s v="COOPERATIVA DE CRÉDITO, POUPANÇA E INVESTIMENTO NORTE MATO-GROSSENSE E OESTE PARAENSE - SICREDI GRANDES RIOS MT/PA/AM"/>
        <s v="COOPERATIVA DE CRÉDITO ARACOOP LTDA. - SICOOB ARACOOP"/>
        <s v="COOPERATIVA DE CREDITO, POUPANÇA E INVESTIMENTO ALIANÇA - SICREDI ALIANÇA PR/SP"/>
        <s v="COOPERATIVA DE CRÉDITO SUL DO ESPÍRITO SANTO - SICOOB SUL"/>
        <s v="REALIZE SOCIEDADE DE CRÉDITO, FINANCIAMENTO E INVESTIMENTO S.A."/>
        <s v="COOPERATIVA DE CRÉDITO, POUPANÇA E INVESTIMENTO CONEXÃO - SICREDI CONEXÃO"/>
        <s v="COOPERATIVA DE CRÉDITO DE LIVRE ADMISSÃO DO CENTRO SUL RONDONIENSE - SICOOB CREDIP."/>
        <s v="MIDWAY S.A. - SOCIEDADE DE CRÉDITO, FINANCIAMENTO E INVESTIMENTO"/>
        <s v="BANCO CATERPILLAR S.A."/>
        <s v="COOPERATIVA DE CRÉDITO DE LIVRE ADMISSÃO DE ASSOCIADOS DO VALE DO CANOINHAS - SICOOB CREDICANOINHAS/SC"/>
        <s v="BANRISUL SOLUÇÕES EM PAGAMENTOS S.A. - INSTITUIÇÃO DE PAGAMENTO"/>
        <s v="COOPERATIVA CENTRAL DE CRÉDITO E ECONOMIA COM INTERAÇÃO SOLIDÁRIA - CRESOL CENTRAL BRASIL"/>
        <s v="COOPERATIVA DE CRÉDITO DO VALE DO ITAJAÍ E LITORAL CATARINENSE - SICREDI VALE LITORAL SC"/>
        <s v="NEON PAGAMENTOS S.A. - INSTITUIÇÃO DE PAGAMENTO"/>
        <s v="WARREN"/>
        <s v="MAREE INSTITUIÇÃO DE PAGAMENTO LTDA."/>
        <s v="IFOOD PAGO INSTITUIÇÃO DE PAGAMENTO S.A."/>
        <s v="COOPERATIVA DE CRÉDITO, POUPANÇA E INVESTIMENTO OURO BRANCO - SICREDI OURO BRANCO RS/MG"/>
        <s v="GENIAL"/>
        <s v="COOPERATIVA DE CRÉDITO, POUPANÇA E INVESTIMENTO INTERESTADOS - SICREDI INTERESTADOS"/>
        <s v="PEFISA S.A. - CRÉDITO, FINANCIAMENTO E INVESTIMENTO"/>
        <s v="QI"/>
        <s v="COOPERATIVA DE CRÉDITO DE LIVRE ADMISSÃO DO SUDOESTE GOIANO"/>
        <s v="COOPERATIVA DE CRÉDITO, POUPANÇA E INVESTIMENTO DA REGIÃO ALTOS DA SERRA - SICREDI ALTOS DA SERRA RS/SC"/>
        <s v="COOPERATIVA DE CRÉDITO, POUPANÇA E INVESTIMENTO DO NORTE E NORDESTE DE SANTA CATARINA - SICREDI NORTE SC"/>
        <s v="COOPERATIVA DE CRÉDITO, POUPANÇA E INVESTIMENTO FRONTEIRAS DO PARANÁ, SANTA CATARINA E SÃO PAULO - SICREDI FRONTEIRAS PR/SC/SP"/>
        <s v="COOPERATIVA DE CRÉDITO, POUPANÇA E INVESTIMENTO DAS REGIÕES CENTRO DO RS E MG - SICREDI REGIÃO CENTRO RS/MG"/>
        <s v="COOPERATIVA DE CRÉDITO, POUPANÇA E INVESTIMENTO DE LAJEADO - SICREDI INTEGRAÇÃO RS/MG"/>
        <s v="COOPERATIVA DE CRÉDITO COOPERMAIS - SICOOB COOPERMAIS"/>
        <s v="COOPERATIVA DE CRÉDITO E INVESTIMENTO DE LIVRE ADMISSÃO AGROEMPRESARIAL - SICREDI AGROEMPRESARIAL PR/SP"/>
        <s v="COOPERATIVA DE CRÉDITO, POUPANÇA E INVESTIMENTO CELEIRO CENTRO OESTE - SICREDI CELEIRO CENTRO OESTE"/>
        <s v="COOPERATIVA DE CRÉDITO DE LIVRE ADMISSÃO DO CENTRO NORTE BRASILEIRO"/>
        <s v="NOVO BANCO CONTINENTAL S.A. - BANCO MÚLTIPLO"/>
        <s v="COOPERATIVA DE CRÉDITO, POUPANÇA E INVESTIMENTO SUL RIOGRANDENSE - SICREDI ORIGENS RS"/>
        <s v="COOPERATIVA DE CRÉDITO, POUPANÇA E INVESTIMENTO DO ARAGUAIA E XINGU - SICREDI ARAXINGU"/>
        <s v="RENDIMENTO"/>
        <s v="CREDICOAMO CREDITO RURAL COOPERATIVA"/>
        <s v="COOPERATIVA DE CRÉDITO, POUPANÇA E INVESTIMENTO DA REGIÃO DA PRODUÇÃO - SICREDI REGIÃO DA PRODUÇÃO RS/SC/MG"/>
        <s v="COOPERATIVA DE CRÉDITO, POUPANÇA E INVESTIMENTO SOMA PR/SC/SP - SICREDI SOMA"/>
        <s v="COOPERATIVA DE CRÉDITO, POUPANÇA E INVESTIMENTO DE IBIRAIARAS - SICREDI IBIRAIARAS RS/MG"/>
        <s v="BANCO TRIANGULO S.A."/>
        <s v="AGÊNCIA DE FOMENTO DO PARANÁ S.A."/>
        <s v="COOPERATIVA DE CRÉDITO, POUPANÇA E INVESTIMENTO IGUAÇU - SICREDI IGUAÇU PR/SC E REGIÃO METROPOLITANA DE CAMPINAS/SP"/>
        <s v="COOPERATIVA DE CRÉDITO UNICRED UNIÃO LTDA - UNICRED UNIÃO"/>
        <s v="COOPERATIVA DE CRÉDITO, POUPANÇA E INVESTIMENTO SICREDI EVOLUÇÃO - SICREDI EVOLUÇÃO"/>
        <s v="COOPERATIVA DE CRÉDITO, POUPANÇA E INVESTIMENTO NOVOS HORIZONTES - SICREDI NOVOS HORIZONTES PR/SP/RJ"/>
        <s v="COOPERATIVA DE CRÉDITO UNICRED VALOR CAPITAL LTDA - UNICRED VALOR CAPITAL"/>
        <s v="COOPERATIVA DE CRÉDITO SICOOB ENGECRED LTDA."/>
        <s v="DMCARD"/>
        <s v="COOPERATIVA DE CRÉDITO, POUPANÇA E INVESTIMENTO ESSÊNCIA RS/ES - SICREDI ESSÊNCIA"/>
        <s v="COOPERATIVA DE CRÉDITO, POUPANÇA E INVESTIMENTO UNIVALES - SICREDI UNIVALES MT/RO"/>
        <s v="COOPERATIVA DE CRÉDITO, POUPANÇA E INVESTIMENTO DO SUL DO ESTADO DE SANTA CATARINA - SICREDI SUL SC"/>
        <s v="COOPERATIVA DE CRÉDITO, POUPANÇA E INVESTIMENTO VALE DO CERRADO - SICREDI VALE DO CERRADO"/>
        <s v="DLOCAL BRASIL INSTITUIÇÃO DE PAGAMENTO S.A."/>
        <s v="COOPERATIVA DE CRÉDITO SICOOB PRIMAVERA - SICOOB PRIMAVERA"/>
        <s v="DESENVOLVE SP - AGÊNCIA DE FOMENTO DO ESTADO DE SÃO PAULO S.A."/>
        <s v="BANCO LUSO BRASILEIRO S.A."/>
        <s v="COOPERATIVA DE CRÉDITO DE LIVRE ADMISSÃO DE ASSOCIADOS DO ALTO URUGUAI CATARINENSE - SICOOB CREDIAUC"/>
        <s v="COOPERATIVA DE CRÉDITO, POUPANÇA E INVESTIMENTO DO PLANALTO CENTRAL - SICREDI PLANALTO CENTRAL"/>
        <s v="BANCO CARGILL S.A."/>
        <s v="COOPERATIVA DE CRÉDITO DE LIVRE ADMISSÃO DO MÉDIO PIRACICABA, CIRCUITO DO OURO, GRANDE BH E RIO GRANDE DO NORTE LTDA. -  SICOOB CREDIMEPI"/>
        <s v="COOPERATIVA DE CRÉDITO DE LIVRE ADMISSÃO DO OESTE MINEIRO LTDA. - SICOOB CREDICOPA"/>
        <s v="ANDBANK"/>
        <s v="BANCO YAMAHA MOTOR DO BRASIL S.A."/>
        <s v="INTESA SANPAOLO BRASIL S.A. - BANCO MÚLTIPLO"/>
        <s v="OURIBANK S.A. BANCO MÚLTIPLO"/>
        <s v="COOPERATIVA DE CREDITO E INVESTIMENTO COM INTERACAO SOLIDARIA PIONEIRA - CRESOL PIONEIRA"/>
        <s v="COOPERATIVA DE CRÉDITO UNICRED CENTRO-SUL LTDA - UNICRED CENTRO-SUL"/>
        <s v="COOPERATIVA DE CRÉDITO, POUPANÇA E INVESTIMENTO INTEGRAÇÃO DE ESTADOS DO RIO GRANDE DO SUL, SANTA CATARINA E MINAS GERAIS - SICREDI INTEGRAÇÃO DE ESTADOS RS/SC/MG"/>
        <s v="BMW"/>
        <s v="BANCO RODOBENS S.A."/>
        <s v="COOPERATIVA DE CRÉDITO, POUPANÇA E INVESTIMENTO REGIÕES DAS CULTURAS - SICREDI DAS CULTURAS RS/MG"/>
        <s v="BADESUL DESENVOLVIMENTO S.A - AGÊNCIA DE FOMENTO/RS"/>
        <s v="COOPERFORTE COOPERATIVA DE CRÉDITO E INVESTIMENTOS LTDA"/>
        <s v="COOPERATIVA DE CRÉDITO, POUPANÇA E INVESTIMENTO RAÍZES - SICREDI RAÍZES RS/SC/MG"/>
        <s v="COOPERATIVA DE ECONOMIA E CREDITO MUTUO DOS MEDICOS DE PORTO ALEGRE LTDA-UNICRED PORTO ALEGRE"/>
        <s v="COOPERATIVA DE CREDITO CREDIROCHAS - SICOOB CREDIROCHAS"/>
        <s v="VÓRTX"/>
        <s v="COOPERATIVA DE CRÉDITO, POUPANÇA E INVESTIMENTO CENTRO SUL - SICREDI CENTRO SUL PR/SC/RJ"/>
        <s v="COOPERATIVA DE CRÉDITO AGROCREDI LTDA. - SICOOB AGROCREDI"/>
        <s v="COOPERATIVA DE CRÉDITO CREDIVAR LTDA. - SICOOB CREDIVAR"/>
        <s v="COOPERATIVA DE CRÉDITO, POUPANÇA E INVESTIMENTO BOTUCARAÍ - SICREDI BOTUCARAÍ RS/MG"/>
        <s v="COOPERATIVA DE CRÉDITO SICOOB VALE SUL"/>
        <s v="COOPERATIVA DE CRÉDITO, POUPANÇA E INVESTIMENTO PROGRESSO - SICREDI PROGRESSO PR/SP"/>
        <s v="CREDSYSTEM INSTITUIÇÃO DE PAGAMENTO LTDA"/>
        <s v="COOPERATIVA DE CRÉDITO, POUPANÇA E INVESTIMENTO DE CAMPO GRANDE E REGIÃO - SICREDI CAMPO GRANDE MS/GO"/>
        <s v="99PAY INSTITUICAO DE PAGAMENTO S.A."/>
        <s v="BBVA BRASIL BANCO DE INVESTIMENTO S.A."/>
        <s v="COOPERATIVA DE CRÉDITO, POUPANÇA E INVESTIMENTO INTEGRAÇÃO DO SUL DE MATO GROSSO, AMAPÁ E PARÁ - SICREDI INTEGRAÇÃO MT/AP/PA"/>
        <s v="COOPERATIVA DE CRÉDITO, POUPANÇA E INVESTIMENTO CAMINHO DAS ÁGUAS RS - SICREDI CAMINHO DAS ÁGUAS RS"/>
        <s v="COOPERATIVA DE CRÉDITO, POUPANÇA E INVESTIMENTO DO CERRADO DE GOIÁS - SICREDI CERRADO GO"/>
        <s v="ADYEN DO BRASIL INSTITUICAO DE PAGAMENTO LTDA."/>
        <s v="COOPERATIVA DE CRÉDITO, POUPANÇA E INVESTIMENTO PARANAPANEMA SERRANA PR/SP/RJ - SICREDI PARANAPANEMA SERRANA PR/SP/RJ"/>
        <s v="COOPERATIVA DE CRÉDITO DE LIVRE ADMISSÃO DE ASSOCIADOS SUL CATARINENSE - SICOOB CREDISULCA SC"/>
        <s v="COOPERATIVA DE CRÉDITO, POUPANÇA E INVESTIMENTO RIO PARANÁ - SICREDI RIO PARANÁ"/>
        <s v="CREDISIS - CENTRAL DE COOPERATIVAS DE CRÉDITO"/>
        <s v="COOPERATIVA DE CREDITO DE LIVRE ADMISSÃO DO SUL DE MINAS LTDA - SICOOB CREDIVASS"/>
        <s v="CORA SOCIEDADE DE CRÉDITO, FINANCIAMENTO E INVESTIMENTO S.A."/>
        <s v="COOPERATIVA DE CRÉDITO SICOOB OURO VERDE"/>
        <s v="COOPERATIVA DE CRÉDITO DE LIVRE ADMISSÃO DO PONTAL DO TRIANGULO LTDA - SICOOB CREDIPONTAL"/>
        <s v="BANCO KDB DO BRASIL S.A."/>
        <s v="COOPERATIVA DE CRÉDITO ROTA DAS TERRAS - SICREDI   ROTA DAS TERRAS"/>
        <s v="ASA SOCIEDADE DE CRÉDITO FINANCIAMENTO E INVESTIMENTO S.A."/>
        <s v="COOPERATIVA DE CRÉDITO DE LIVRE ADMISSÃO DE ASSOCIADOS DO VALE DO VINHO - SICOOB VALE DO VINHO"/>
        <s v="COOPERATIVA DE CRÉDITO, POUPANÇA E INVESTIMENTO TERRA DOS PINHEIRAIS DO PARANÁ E NOROESTE PAULISTA - SICREDI PLANALTO DAS ÁGUAS PR/SP"/>
        <s v="ASAAS GESTÃO FINANCEIRA INSTITUIÇÃO DE PAGAMENTO S.A."/>
        <s v="BANCO BRASILEIRO DE CRÉDITO SOCIEDADE ANÔNIMA"/>
        <s v="COOPERATIVA DE CRÉDITO, POUPANÇA E INVESTIMENTO NORTE SUL - SICREDI NORTE SUL"/>
        <s v="COOPERATIVA DE CRÉDITO E INVESTIMENTO COM INTERAÇÃO SOLIDÁRIA FRONTEIRAS PR/SC/SP/ES - CRESOL FRONTEIRAS PR/SC/SP/ES"/>
        <s v="COOPERATIVA DE CRÉDITO, POUPANÇA E INVESTIMENTO SUL MINAS DO RIO GRANDE DO SUL E MINAS GERAIS - SICREDI SUL MINAS RS/MG."/>
        <s v="COOPERATIVA DE CRÉDITO, POUPANÇA E INVESTIMENTO NOSSA TERRA - SICREDI NOSSA TERRA PR/SP"/>
        <s v="COOPERATIVA CENTRAL DE ECONOMIA E CRÉDITO SICOOB UNIMAIS RIO LTDA."/>
        <s v="COOPERATIVA DE CRÉDITO, POUPANÇA E INVESTIMENTO DO NOROESTE DE MATO GROSSO, ACRE E AMAZONAS - SICREDI BIOMAS"/>
        <s v="COOPERATIVA DE CRÉDITO, POUPANÇA E INVESTIMENTO CONFIANÇA - SICREDI CONFIANÇA"/>
        <s v="COOPERATIVA DE CRÉDITO E INVESTIMENTO COM INTERAÇÃO SOLIDÁRIA RAIZ - CRESOL RAIZ"/>
        <s v="INTER PAG INSTITUIÇÃO DE PAGAMENTO S.A."/>
        <s v="COOPERATIVA DE CRÉDITO, POUPANÇA E INVESTIMENTO DO VALE DO RIO PARDO - SICREDI VALE DO RIO PARDO RS"/>
        <s v="COOPERATIVA DE CRÉDITO DE LIVRE ADMISSÃO DE ASSOCIADOS AURIVERDE -  SICOOB - CREDIAL SC/RS"/>
        <s v="ABN AMRO"/>
        <s v="COOPERATIVA DE CREDITO DE LIVRE ADMISSÃO DE ASSOCIADOS ITAIPU SICOOB CREDITAIPU"/>
        <s v="COOPERATIVA DE CRÉDITO GERAÇÕES - SICREDI GERAÇÕES RS/MG"/>
        <s v="SUMUP INSTITUICAO DE PAGAMENTO BRASIL LTDA"/>
        <s v="COOPERATIVA DE CRÉDITO LITORÂNEA"/>
        <s v="COOPERATIVA CENTRAL DE CRÉDITO, POUPANÇA E INVESTIMENTO DO SUL E SUDESTE - CENTRAL SICREDI SUL/SUDESTE"/>
        <s v="COOPERATIVA DE CRÉDITO SUL - SICOOB SUL"/>
        <s v="PAYPAL DO BRASIL INSTITUIÇÃO DE PAGAMENTO LTDA."/>
        <s v="BANCO AFINZ S.A. - BANCO MÚLTIPLO"/>
        <s v="COOPERATIVA DE CRÉDITO, POUPANÇA E INVESTIMENTO SEMENTES DO SUL - SICREDI SEMENTES DO SUL"/>
        <s v="COOPERATIVA DE CRÉDITO DOS TRANSPORTES, CORREIOS E LOGÍSTICA DO BRASIL - TRANSPOCRED"/>
        <s v="COOPERATIVA DE CRÉDITO PRO"/>
        <s v="COOPERATIVA DE CRÉDITO, POUPANÇA E INVESTIMENTO CENTRO SERRA - SICREDI CENTRO SERRA RS"/>
        <s v="COOPERATIVA DE CRÉDITO DE EMPRESÁRIOS - SICOOB/TRANSCREDI"/>
        <s v="BANCO RANDON S.A."/>
        <s v="COOPERATIVA DE CRÉDITO E INVESTIMENTO COM INTERAÇÃO SOLIDÁRIA DO VALE EUROPEU - CRESOL VALE EUROPEU"/>
        <s v="DOCK INSTITUIÇÃO DE PAGAMENTO S.A."/>
        <s v="BARIGUI"/>
        <s v="COOPERATIVA DE CRÉDITO DE LIVRE ADMISSÃO DO VALE - SICOOB CREDIVALE/SC"/>
        <s v="COOPERATIVA DE CRÉDITO DE LIVRE ADMISSÃO DA REGIÃO CENTRAL E OESTE MINEIRO LTDA. - SICOOB DIVICRED"/>
        <s v="COOPERATIVA DE CRÉDITO SUL-LITORÂNEA DO ESPÍRITO SANTO"/>
        <s v="S3 CACEIS BRASIL DISTRIBUIDORA DE TÍTULOS E VALORES MOBILIÁRIOS S.A."/>
        <s v="BRASIL CARD INSTITUIÇÃO DE PAGAMENTOS LTDA"/>
        <s v="CENTRAL DAS COOPERATIVAS DE CRÉDITO DOS ESTADOS DE MATO GROSSO, MATO GROSSO DO SUL E DO MUNICÍPIO DE CACOAL/RO - SICOOB CENTRAL RONDON"/>
        <s v="COOPERATIVA DE CRÉDITO DE LIVRE ADMISSÃO DA UNIÃO DOS VALES DO PIRANGA E MATIPÓ LTDA. - SICOOB UNIÃO DOS VALES"/>
        <s v="COOPERATIVA DE CRÉDITO, POUPANÇA E INVESTIMENTO DA REGIÃO CENTRO OESTE PAULISTA - SICREDI CENTRO OESTE PAULISTA"/>
        <s v="COOPERATIVA DE CRÉDITO, POUPANÇA E INVESTIMENTO GRANDES LAGOS DO PARANÁ E LITORAL PAULISTA - SICREDI GRANDES LAGOS PR/SP"/>
        <s v="FLASH TECNOLOGIA E  INSTITUICAO DE PAGAMENTO LTDA"/>
        <s v="COOPERATIVA DE CRÉDITO DOS MÉDICOS, PROFISSIONAIS DA SAÚDE E EMPRESÁRIOS - UNICRED RAÍZES"/>
        <s v="COOPERATIVA DE CRÉDITO CREDILIVRE LTDA. - SICOOB CREDILIVRE"/>
        <s v="COOPERATIVA DE CRÉDITO E INVESTIMENTO COM INTERAÇÃO SOLIDÁRIA TRADIÇÃO - CRESOL TRADIÇÃO"/>
        <s v="COOPERATIVA DE CRÉDITO - SICREDI EXPANSÃO"/>
        <s v="COOPERATIVA DE CRÉDITO, POUPANÇA E INVESTIMENTO DO RIO GRANDE DO NORTE - SICREDI RIO GRANDE DO NORTE"/>
        <s v="COOPERATIVA DE CRÉDITO UNICRED DESBRAVADORA LTDA - UNICRED DESBRAVADORA"/>
        <s v="COOPERATIVA DE CRÉDITO, POUPANÇA E INVESTIMENTO INTEGRAÇÃO - SICREDI INTEGRAÇÃO PR/SC"/>
        <s v="COOPERATIVA DE CRÉDITO DE LIVRE ADMISSÃO DE ASSOCIADOS OESTE CATARINENSE"/>
        <s v="COOPERATIVA DE CRÉDITO DA REGIÃO MERIDIONAL DO BRASIL - SICOOB UNICOOB MERIDIONAL"/>
        <s v="COOPERATIVA DE CRÉDITO DE LIVRE ADMISSÃO DA REGIÃO DO CIRCUITO CAMPOS DAS VERTENTES LTDA - SICOOB COPERMEC"/>
        <s v="COOPERATIVA DE CRÉDITO DO NORTE CATARINENSE E SUL PARANAENSE - SICOOB CREDINORTE"/>
        <s v="COOPERATIVA DE CRÉDITO, POUPANÇA E INVESTIMENTO VALOR SUSTENTÁVEL - SICREDI VALOR SUSTENTÁVEL PR/SP"/>
        <s v="COOPERATIVA DE CRÉDITO DE LIVRE ADMISSÃO DA ZONA DA MATA LTDA   SICOOB COOPEMATA"/>
        <s v="MAGALUPAY INSTITUIÇÃO DE PAGAMENTO S.A."/>
        <s v="COOPERATIVA DE CRÉDITO DE LIVRE ADMISSÃO DO ALTO VALE DO ITAJAÍ - VIACREDI ALTO VALE"/>
        <s v="COOPERATIVA DE CRÉDITO E INVESTIMENTO COM INTERAÇÃO SOLIDÁRIA CENTRO SUL - CRESOL CENTRO SUL"/>
        <s v="COOPERATIVA DE CRÉDITO E INVESTIMENTO COM INTERAÇÃO SOLIDÁRIA UNIÃO DOS VALES - CRESOL UNIÃO DOS VALES"/>
        <s v="CENTRAL DAS COOPERATIVAS DE CRÉDITO DO ESTADO DE SÃO PAULO - SICOOB CENTRAL CECRESP"/>
        <s v="COOPERATIVA DE CRÉDITO E ECONOMIA COM INTERAÇÃO SOLIDÁRIA - CRESOL NOROESTE"/>
        <s v="COOPERATIVA DE CRÉDITO COCRE"/>
        <s v="BANCO DE DESENVOLVIMENTO DO ESPIRITO SANTO S.A."/>
        <s v="AGÊNCIA DE FOMENTO DO ESTADO DE SANTA CATARINA S.A.-BADESC"/>
        <s v="COOPERATIVA DE CRÉDITO, POUPANÇA E INVESTIMENTO VALE DO JAGUARI E ZONA DA MATA - SICREDI VALE DO JAGUARI E ZONA DA MATA RS/MG"/>
        <s v="BANCO PAULISTA S.A."/>
        <s v="MONEY PLUS"/>
        <s v="EBANX INSTITUICAO DE PAGAMENTOS LTDA."/>
        <s v="COOPERATIVA DE CRÉDITO ALTO VALE DO ITAJAÍ - SICOOB ALTO VALE"/>
        <s v="COOPERATIVA DE CREDITO CREDICERIPA - SICOOB CREDICERIPA"/>
        <s v="COOPERATIVA DE ECONOMIA E CRÉDITO MÚTUO UNICRED PREMIUM CAPITAL - UNICRED PREMIUM CAPITAL"/>
        <s v="SICOOB MANTIQUEIRA - COOPERATIVA DE CRÉDITO DE LIVRE ADMISSÃO"/>
        <s v="PAGUEVELOZ INSTITUIÇÃO DE PAGAMENTO LTDA."/>
        <s v="COOPERATIVA CENTRAL DE CRÉDITO, POUPANÇA E INVESTIMENTO DOS ESTADOS DO PARANÁ, SÃO PAULO E RIO DE JANEIRO - CENTRAL SICREDI PR/SP/RJ"/>
        <s v="SICREDI VEREDAS COOPERATIVA DE CREDITO"/>
        <s v="COOPERATIVA CENTRAL DE CRÉDITO DA BAHIA LTDA - SICOOB CENTRAL BA"/>
        <s v="COOPERATIVA DE CRÉDITO CREDIGUAÇU - SICOOB CREDIGUAÇU"/>
        <s v="BANCO TOPÁZIO S.A."/>
        <s v="CREDISIS PRIMACREDI COOPERATIVA DE CRÉDITO"/>
        <s v="HPE FINANCIAL SERVICES ARRENDAMENTO MERCANTIL S.A."/>
        <s v="COOPERATIVA DE CRÉDITO DE LIVRE ADMISSÃO DA REGIÃO METROPOLITANA DE GOIÂNIA LTDA."/>
        <s v="COOPERATIVA DE CRÉDITO DE LIVRE ADMISSÃO DE ASSOCIADOS DO PLANALTO CATARINENSE SICOOB CREDIPLANALTO SC/RS"/>
        <s v="COOPERATIVA DE CRÉDITO UNICRED EVOLUÇÃO LTDA. - UNICRED EVOLUÇÃO"/>
        <s v="COOPERATIVA DE CRÉDITO DE LIVRE ADMISSÃO SICOOB ARENITO PARANÁ / SÃO PAULO"/>
        <s v="COOPERATIVA DE CRÉDITO E INVESTIMENTO LIBERDADE - SICREDI LIBERDADE"/>
        <s v="COOPERATIVA DE CRÉDITO DE LIVRE ADMISSÃO DA PARAÍBA - SICOOB PARAÍBA"/>
        <s v="COOPERATIVA DE CRÉDITO DA AMAZÔNIA - SICOOB AMAZÔNIA"/>
        <s v="LEASEPLAN ARRENDAMENTO MERCANTIL S.A."/>
        <s v="CLOUDWALK FINANCEIRA S.A. CRÉDITO, FINANCIAMENTO E INVESTIMENTO"/>
        <s v="AFINZ INSTITUIÇÃO DE PAGAMENTO S.A."/>
        <s v="COOPERATIVA DE CRÉDITO E INVESTIMENTO COM INTERAÇÃO SOLIDÁRIA UNIÃO - CRESOL UNIÃO"/>
        <s v="STATE STREET BRASIL S.A. - BANCO COMERCIAL"/>
        <s v="COOPERATIVA DE CRÉDITO UNICRED DO ESTADO DE SÃO PAULO LTDA."/>
        <s v="COOPERATIVA DE ECONOMIA E CRÉDITO MÚTUO UNICRED INTEGRAÇÃO LTDA."/>
        <s v="CAIXA GERAL"/>
        <s v="RECARGAPAY INSTITUICAO DE PAGAMENTO LTDA."/>
        <s v="COOPERATIVA DE CRÉDITO SAROM"/>
        <s v="COOPERATIVA DE CRÉDITO CREDICOCAPEC"/>
        <s v="BANCO RIBEIRAO PRETO S.A."/>
        <s v="COOPERATIVA DE CRÉDITO E INVESTIMENTO SICOOB CENTRO"/>
        <s v="COOPERATIVA DE CRÉDITO UNICRED VALE LTDA - UNICRED VALE"/>
        <s v="COOPERATIVA DE CRÉDITO COOPACREDI LTDA. - SICOOB COOPACREDI"/>
        <s v="COOPERATIVA DE CRÉDITO INTEGRADO - SICOOB INTEGRADO"/>
        <s v="QISTA S.A. - CRÉDITO, FINANCIAMENTO E INVESTIMENTO"/>
        <s v="ICBC DO BRASIL BANCO MÚLTIPLO S.A."/>
        <s v="CENTRAL DAS COOPERATIVAS DE CRÉDITO DO NORDESTE - SICOOB CENTRAL NE"/>
        <s v="BANCO MONEO S.A."/>
        <s v="COOPERATIVA DE CRÉDITO COOPERAÇÃO - SICREDI COOPERAÇÃO"/>
        <s v="COOPERATIVA DE ECONOMIA E CRÉDITO MÚTUO UNICRED ELEVA LTDA."/>
        <s v="COOPERATIVA DE CREDITO CREDISUDESTE LTDA. - SICOOB CREDISUDESTE"/>
        <s v="COOPERATIVA DE CRÉDITO DE LIVRE ADMISSÃO DE ITAÚNA E REGIÃO LTDA - SICOOB CENTRO-OESTE"/>
        <s v="COOPERATIVA DE CRÉDITO E INVESTIMENTO COM INTERAÇÃO SOLIDÁRIA DA AMAZÔNIA - CRESOL AMAZÔNIA"/>
        <s v="COOPERATIVA DE CRÉDITO CREDIVERTENTES LTDA. - SICOOB CREDIVERTENTES"/>
        <s v="COOPERATIVA DE CRÉDITO E INVESTIMENTO COM INTERAÇÃO SOLIDÁRIA INTEGRAÇÃO - CRESOL INTEGRAÇÃO"/>
        <s v="COOPERATIVA DE CRÉDITO, CAPTAÇÃO, POUPANÇA E SOLUÇÕES FINANCEIRAS SICOOB CREDICAPITAL"/>
        <s v="COOPERATIVA DE CRÉDITO CREDINOR LTDA - SICOOB CREDINOR"/>
        <s v="COOPERATIVA DE CRÉDITO CREDICAF LTDA - SICOOB CREDICAF"/>
        <s v="COOPERATIVA DE CRÉDITO DE LIVRE ADMISSÃO DE ASSOCIADOS - SICOOB CREDICARU SC/RS"/>
        <s v="CHG-MERIDIAN DO BRASIL ARRENDAMENTO MERCANTIL S.A."/>
        <s v="STARA FINANCEIRA S.A. - CRÉDITO FINANCIAMENTO E INVESTIMENTO"/>
        <s v="COOPERATIVA DE CRÉDITO CREDINTER LTDA. - SICOOB CREDINTER"/>
        <s v="COOPERATIVA DE CRÉDITO E INVESTIMENTO COM INTERAÇÃO SOLIDÁRIA VANGUARDA - CRESOL VANGUARDA"/>
        <s v="COOPERATIVA DE CRÉDITO DE LIVRE ADMISSÃO DO NORTE DE MATO GROSSO - SICOOB NORTE MT"/>
        <s v="COOPERATIVA DE POUPANÇA E CRÉDITO DO VALE DO RIO DOCE LTDA - SICOOB CREDIRIODOCE"/>
        <s v="COOPERATIVA DE CRÉDITO CREDCOOPER LTDA - SICOOB CREDCOOPER"/>
        <s v="WISE BRASIL INSTITUICAO DE PAGAMENTO LTDA"/>
        <s v="BANCO KOMATSU DO BRASIL S.A."/>
        <s v="COOPERATIVA DE CRÉDITO, POUPANÇA E INVESTIMENTO DO NOROESTE DO ESTADO DE SÃO PAULO - SICREDI NOROESTE SP"/>
        <s v="COOPERATIVA DE CRÉDITO DE LIVRE ADMISSÃO TRÊS FRONTEIRAS - SICOOB TRÊS FRONTEIRAS"/>
        <s v="BANCO KEB HANA DO BRASIL S.A."/>
        <s v="COOPERATIVA DE CRÉDITO DE LIVRE ADMISSÃO DE ASSOCIADOS ITAPIRANGA - SICOOB CREDITAPIRANGA SC/RS"/>
        <s v="BANCO ARBI S.A."/>
        <s v="COOPERATIVA DE CRÉDITO DE LIVRE ADMISSÃO DE ASSOCIADOS VALE DO CHAPECOZINHO - SICOOB VALCREDI SUL"/>
        <s v="COOPERATIVA DE CRÉDITO NOSSOCRÉDITO LTDA - SICOOB NOSSOCRÉDITO"/>
        <s v="AGROLEND SOCIEDADE DE CREDITO, FINANCIAMENTO E INVESTIMENTO S.A."/>
        <s v="COOPERATIVA DE CRÉDITO DE LIVRE ADMISSÃO DE ASSOCIADOS NOVA TRENTO   SICOOB TRENTOCREDI SC"/>
        <s v="COOPERATIVA DE CRÉDITO E ECONOMIA COM INTERAÇÃO SOLIDÁRIA DO PLANALTO SERRA SUL DO RIO GRANDE DO SUL - CRESOL PLANALTO SERRA SUL"/>
        <s v="BANCO B3 S.A."/>
        <s v="COOPERATIVA DE CRÉDITO E INVESTIMENTO COM INTERAÇÃO SOLIDÁRIA TRIUNFO - CRESOL TRIUNFO"/>
        <s v="COOPERATIVA DE CRÉDITO CREDIUNA LTDA - SICOOB CREDIUNA"/>
        <s v="COOPERATIVA DE CRÉDITO E INVESTIMENTO COM INTERAÇÃO SOLIDÁRIA DE MINAS GERAIS - CRESOL MINAS GERAIS"/>
        <s v="EMPRESA BRASILEIRA DE BENEFICIOS E PAGAMENTOS INSTITUICAO DE PAGAMENTO LTDA"/>
        <s v="COOPERATIVA DE CREDITO COOPLIVRE"/>
        <s v="COOPERATIVA DE CRÉDITO DOS PROFISSIONAIS DA ÁREA DA SAÚDE E DE LIVRE ADMISSÃO LTDA - UNICRED ALIANÇA"/>
        <s v="COOPERATIVA CENTRAL DE CRÉDITO, POUPANÇA E INVESTIMENTO DO CENTRO NORTE DO BRASIL - CENTRAL SICREDI CENTRO NORTE"/>
        <s v="COOPERATIVA DE CRÉDITO CREDISETE LTDA. - SICOOB CREDISETE"/>
        <s v="COOPERATIVA DE CRÉDITO E INVESTIMENTO COM INTERAÇÃO SOLIDÁRIA ESSÊNCIA - CRESOL ESSÊNCIA"/>
        <s v="OPEA SOCIEDADE DE CRÉDITO DIRETO S.A."/>
        <s v="COOPERATIVA DE CRÉDITO DE LIVRE ADMISSÃO DO ESTADO DE SÃO PAULO - SICOOB PAULISTA"/>
        <s v="COOPERATIVA DE CRÉDITO DA FOZ DO RIO ITAJAÍ AÇU - CREDIFOZ"/>
        <s v="BANCO SENFF S.A."/>
        <s v="SWAP INSTITUIÇÃO DE PAGAMENTO S.A."/>
        <s v="COOPERATIVA DE CRÉDITO, POUPANÇA E INVESTIMENTO DE ARARAQUARA E REGIÃO - SICREDI MORADA DO SOL SP"/>
        <s v="CREDISIS JICRED - COOPERATIVA DE CRÉDITO DE LIVRE ADMISSÃO JICRED"/>
        <s v="COOPERATIVA DE CRÉDITO CREDICARPA LTDA. - SICOOB CREDICARPA"/>
        <s v="COOPERATIVA DE CRÉDITO E INVESTIMENTO COM INTERAÇÃO SOLIDÁRIA TRANSFORMAÇÃO - CRESOL TRANSFORMAÇÃO"/>
        <s v="COOPERATIVA DE CRÉDITO CREDIBOM LTDA. - SICOOB CREDIBOM"/>
        <s v="COOPERATIVA DE CRÉDITO DE LIVRE ADMISSÃO DE ASSOCIADOS VALE DO RIO DO PEIXE - SICOOB CREDIRIO SC"/>
        <s v="CREDISIS CREDIARI - COOPERATIVA DE CRÉDITO LTDA."/>
        <s v="IUGU INSTITUIÇÃO DE PAGAMENTO S.A."/>
        <s v="COOPERATIVA DE CRÉDITO DE LIVRE ADMISSÃO DE PERNAMBUCO - SICOOB PERNAMBUCO"/>
        <s v="COOPERATIVA DE CRÉDITO CREDIFOR LTDA - SICOOB CREDIFOR"/>
        <s v="COOPERATIVA DE CRÉDITO E INVESTIMENTO COM INTERAÇÃO SOLIDÁRIA PROGRESSO - CRESOL PROGRESSO"/>
        <s v="COOPERATIVA DE CRÉDITO DE LIVRE ADMISSÃO UNIÃO E NEGÓCIOS - SICOOB INTEGRAÇÃO"/>
        <s v="COOPERATIVA DE CRÉDITO CREDISG LTDA. - SICOOB CREDISG"/>
        <s v="COOPERATIVA DE CRÉDITO CREDIVALE LTDA - SICOOB CREDIVALE"/>
        <s v="BPCE EQUIPMENT SOLUTIONS BRASIL S.A. - ARRENDAMENTO MERCANTIL"/>
        <s v="BS2 PAYMENTS INSTITUIÇÃO DE PAGAMENTO S.A."/>
        <s v="BANCO IBM S.A."/>
        <s v="COOPERATIVA DE CRÉDITO, POUPANÇA E INVESTIMENTO SICREDI SERIGY - SICREDI SERIGY SE/BA"/>
        <s v="DESENBAHIA - AGENCIA DE FOMENTO DO ESTADO DA BAHIA S.A."/>
        <s v="COOPERATIVA DE CRÉDITO POUPANÇA E INVESTIMENTO DA ALTA NOROESTE DE SÃO PAULO - SICREDI ALTA NOROESTE SP"/>
        <s v="COOPERATIVA DE CREDITO NOSSO - SICOOB NOSSO"/>
        <s v="STARK BANK S.A. - INSTITUICAO DE PAGAMENTO"/>
        <s v="COOPERATIVA DE CRÉDITO E INVESTIMENTO COM INTERAÇÃO SOLIDÁRIA NORTE PARANAENSE - CRESOL NORTE PARANAENSE"/>
        <s v="COOPERATIVA DE CRÉDITO DE LIVRE ADMISSÃO DO VALE DO PARANAPANEMA"/>
        <s v="COOPERATIVA DE CRÉDITO EVOLUA"/>
        <s v="WORLDPAY DO BRASIL INSTITUICAO DE PAGAMENTO LTDA"/>
        <s v="COOPERATIVA DE ECONOMIA E CRÉDITO MÚTUO DOS PROFISSIONAIS DA SAÚDE DA REGIÃO DA ALTA MOGIANA - SICOOB CREDIMOGIANA"/>
        <s v="CARUANA S.A. - SOCIEDADE DE CRÉDITO, FINANCIAMENTO E INVESTIMENTO"/>
        <s v="REPOM INSTITUIÇÃO DE PAGAMENTO HUSA S.A."/>
        <s v="COOPERATIVA DE CRÉDITO NOROESTE DE MINAS LTDA. - SICOOB NOROESTE DE MINAS"/>
        <s v="COOPERATIVA DE CRÉDITO E INVESTIMENTO COM INTERAÇÃO SOLIDÁRIA GRANDES LAGOS PR/SP - CRESOL GRANDES LAGOS PR/SP"/>
        <s v="COOPERATIVA DE CRÉDITO DE LIVRE ADMISSÃO E DOS TRANSPORTADORES RODOVIÁRIOS DE VEÍCULOS - SICOOB CREDCEG"/>
        <s v="COOPERATIVA DE CRÉDITO DE LIVRE ADMISSÃO DA REGIÃO DE FRUTAL LTDA.   SICOOB FRUTAL"/>
        <s v="COOPERATIVA DE CREDITO DE LIVRE ADMISSAO DO CENTRO NORDESTE MINEIRO LTDA - SICOOB CREDICENM"/>
        <s v="SEM PARAR SOCIEDADE DE CRÉDITO DIRETO S.A."/>
        <s v="MULVI INSTITUICAO DE PAGAMENTO S.A."/>
        <s v="COOPERATIVA DE CRÉDITO E INVESTIMENTO COM INTERAÇÃO SOLIDÁRIA HORIZONTE - CRESOL HORIZONTE"/>
        <s v="SICREDI RECIFE - COOPERATIVA DE CRÉDITO, POUPANÇA E INVESTIMENTO SICREDI RECIFE"/>
        <s v="COOPERATIVA DE CRÉDITO E INVESTIMENTO COM INTERAÇÃO SOLIDÁRIA LIDERANÇA - CRESOL LIDERANÇA"/>
        <s v="BANCO SEMEAR S.A."/>
        <s v="COOPERATIVA DE CRÉDITO UNIQUE BR"/>
        <s v="COOPERATIVA DE CRÉDITO DO NORTE CATARINENSE - ACREDICOOP"/>
        <s v="COOPERATIVA DE CRÉDITO DOS PROFISSIONAIS DOS CREAS E DEMAIS ÁREAS TECNOLÓGICAS - CREDCREA"/>
        <s v="COOPERATIVA DE CRÉDITO DE LIVRE ADMISSÃO DE  LAGOA DA PRATA E REGIÃO LTDA.   SICOOB LAGOACRED GERAIS"/>
        <s v="BNY MELLON"/>
        <s v="COOPERATIVA DE CRÉDITO CREDICOPE LTDA. - SICOOB CREDICOPE"/>
        <s v="NATURA &amp;CO PAY SOCIEDADE DE CRÉDITO DIRETO S.A."/>
        <s v="COOPERATIVA DE CRÉDITO ORIGINAL - SICOOB ORIGINAL"/>
        <s v="COOPERATIVA DE CRÉDITO DE LIVRE ADMISSÃO DA REGIÃO DE  PARÁ DE MINAS LTDA - SICOOB CREDIRURAL"/>
        <s v="COOPERATIVA DE CRÉDITO DE PRODUTORES RURAIS E DE LIVRE ADMISSÃO DO TRIÂNGULO LTDA    SICOOB CREDITRIL"/>
        <s v="RP FINANCEIRA S.A. - SOCIEDADE DE CRÉDITO, FINANCIAMENTO E INVESTIMENTO"/>
        <s v="COOPERATIVA DE CRÉDITO E INVESTIMENTO COM INTERAÇÃO SOLIDÁRIA DO RIO GRANDE DO SUL - CRESOL RIO GRANDE DO SUL"/>
        <s v="COOPERATIVA DE CRÉDITO E CAPTAÇÃO SICOOB UNICIDADES"/>
        <s v="OLIVEIRA TRUST DISTRIBUIDORA DE TÍTULOS E VALORES MOBILIARIOS S.A."/>
        <s v="COOPERATIVA DE CRÉDITO DE LIVRE ADMISSÃO DO VALE DO PARANAÍBA LTDA."/>
        <s v="COOPERATIVA DE CRÉDITO E INVESTIMENTO COM INTERAÇÃO SOLIDÁRIA ORIGENS - CRESOL ORIGENS"/>
        <s v="SICOOB UNIMAIS METROPOLITANA - COOPERATIVA DE CRÉDITO DE LIVRE ADMISSÃO"/>
        <s v="COOPERATIVA DE CRÉDITO SICOOB CREDSEGURO LTDA."/>
        <s v="COOPERATIVA DE CRÉDITO DE LIVRE ADMISSÃO CREDINOVA LTDA. - SICOOB CREDINOVA"/>
        <s v="COOPERATIVA DE CRÉDITO MÚTUO DOS ADVOGADOS DE SANTA CATARINA"/>
        <s v="COOPERATIVA DE CREDITO DE LIVRE ADMISSAO DO VALE DO AÇO LTDA - SICOOB VALE DO AÇO"/>
        <s v="COOPERATIVA DE CRÉDITO CREDIPEU LTDA.  - SICOOB CREDIPEU"/>
        <s v="COOPERATIVA DE CRÉDITO SICOOB EXTREMO SUL LTDA."/>
        <s v="COOPERATIVA DE CRÉDITO SICOOB UNIMAIS CENTRO LESTE PAULISTA - SICOOB UNIMAIS CLP"/>
        <s v="COOPERATIVA DE CRÉDITO DE LIVRE ADMISSÃO DA REGIÃO LESTE DA BACIA DO RIO DOCE LTDA   SICOOB CREDILESTE"/>
        <s v="COOPERATIVA DE CRÉDITO DE LIVRE ADMISSÃO DE BELO HORIZONTE E CIDADES POLO DO ESTADO DE MINAS GERAIS LTDA. - SICOOB NOSSACOOP"/>
        <s v="COOPERATIVA DE CRÉDITO MÚTUO DOS EMPREGADOS DA EMBRAER- SICOOB COOPEREMB"/>
        <s v="COOPERATIVA DE CRÉDITO CREDPLUS LTDA. - SICOOB CREDPLUS"/>
        <s v="BULLLA INSTITUICAO DE PAGAMENTO S.A."/>
        <s v="COOPERATIVA DE CRÉDITO DE LIVRE ADMISSÃO DO VALE DO ARAGUAIA LTDA."/>
        <s v="COOPERATIVA DE CRÉDITO UNIÃO CENTRO OESTE LTDA. - SICOOB UNIÃO CENTRO OESTE"/>
        <s v="COOPERATIVA DE CRÉDITO DO CENTRO SUL MINEIRO LTDA. - SICOOB CENTRO SUL MINEIRO"/>
        <s v="CSILATINA ARRENDAMENTO MERCANTIL S.A."/>
        <s v="STRIPE BRASIL SOLUCOES DE PAGAMENTO INSTITUICAO DE PAGAMENTO LTDA"/>
        <s v="COOPERATIVA DE CRÉDITO RURAL COOPAVEL"/>
        <s v="COOPERATIVA DE CRÉDITO DA REGIÃO DO CONTESTADO - CIVIA"/>
        <s v="COOPERATIVA DE CRÉDITO E INVESTIMENTO COM INTERAÇÃO SOLIDÁRIA CONEXÃO - CRESOL CONEXÃO"/>
        <s v="COOPERATIVA DE CRÉDITO CENTRO LESTE NORTE MARANHENSE - SICOOB CENTROLESTE"/>
        <s v="COOPERATIVA DE CRÉDITO SICOOB UNI SUDESTE"/>
        <s v="COOPERATIVA DE CRÉDITO DE LIVRE ADMISSÃO DO TOCANTINS LTDA"/>
        <s v="BANCO XCMG BRASIL S.A."/>
        <s v="COOPERATIVA DE CRÉDITO SICOOB 3 COLINAS"/>
        <s v="SICOOB AC CREDI - COOPERATIVA DE CRÉDITO DE LIVRE ADMISSÃO DO LESTE E NORDESTE MINEIRO LTDA."/>
        <s v="UNIPRIME PIONEIRA COOPERATIVA DE CRÉDITO"/>
        <s v="COOPERATIVA DE CRÉDITO COOCRELIVRE"/>
        <s v="COOPERATIVA DE CRÉDITO CREDIMATA LTDA. - SICOOB CREDIMATA"/>
        <s v="COOPERATIVA DE CRÉDITO CREDIJEQUITINHONHA LTDA. - SICOOB CREDIJEQUITINHONHA"/>
        <s v="MIRAE ASSET (BRASIL) CORRETORA DE CÂMBIO, TÍTULOS  E VALORES MOBILIÁRIOS LTDA."/>
        <s v="COOPERATIVA DE CRÉDITO CREDIFIEMG LTDA. - SICOOB CREDIFIEMG"/>
        <s v="COOPERATIVA DE CREDITO DE LIVRE ADMISSAO DE PARA DE MINAS LTDA - SICOOB ASCICRED"/>
        <s v="COOPERATIVA DE CRÉDITO E ECONOMIA COM INTERAÇÃO SOLIDÁRIA - CRESOL INTERAÇÃO"/>
        <s v="SENFFNET INSTITUIÇÃO DE PAGAMENTO LTDA."/>
        <s v="COOPERATIVA DE CRÉDITO DE LIVRE ADMISSÃO DE ASSOCIADOS NOVOS CAMPOS - SICOOB NOVOS CAMPOS"/>
        <s v="UNIPRIME CENTRAL NACIONAL - CENTRAL NACIONAL DE COOPERATIVA DE CREDITO"/>
        <s v="AGENCIA DE FOMENTO DO ESTADO DO RIO DE JANEIRO S.A."/>
        <s v="CONFEDERACAO NACIONAL DAS COOPERATIVAS DO SICOOB LTDA"/>
        <s v="DM INSTITUICAO DE PAGAMENTO S.A."/>
        <s v="SIMPALA S.A. CRÉDITO, FINANCIAMENTO E INVESTIMENTO"/>
        <s v="COOPERATIVA DE CRÉDITO CREDIARA LTDA - SICOOB CREDIARA"/>
        <s v="COOPERATIVA DE CRÉDITO SICOOB ALIANÇA"/>
        <s v="CONFIDENCE"/>
        <s v="BANCO TRICURY S.A."/>
        <s v="COOPERATIVA DE CRÉDITO E INVESTIMENTO COM INTERAÇÃO SOLIDÁRIA COOPERAR - CRESOL COOPERAR"/>
        <s v="COOPERATIVA DE CRÉDITO E INVESTIMENTO COM INTERAÇÃO SOLIDÁRIA ATIVA - CRESOL ATIVA"/>
        <s v="VR"/>
        <s v="COOPERATIVA DE CRÉDITO E INVESTIMENTO COM INTERAÇÃO SOLIDÁRIA ALTO VALE - CRESOL ALTO VALE"/>
        <s v="COOPERATIVA DE CRÉDITO DE LIVRE ADMISSÃO CENTRO OESTE LTDA."/>
        <s v="COOPERATIVA DE CREDITO DE LIVRE ADMISSAO DE RUBIATABA E REGIAO LTDA"/>
        <s v="COOPERATIVA DE CRÉDITO DE LIVRE ADMISSÃO DE SANTO ANTÔNIO DO MONTE LTDA.   SICOOB CREDIMONTE"/>
        <s v="NAIP INSTITUIÇÃO DE PAGAMENTO S.A."/>
        <s v="COOPERATIVA DE CRÉDITO COPERSUL LTDA - SICOOB COPERSUL"/>
        <s v="COOPERATIVA DE CRÉDITO SICOOB MÉDIO OESTE"/>
        <s v="FITS INSTITUIÇÃO DE PAGAMENTO S.A."/>
        <s v="EFÍ S.A. - INSTITUIÇÃO DE PAGAMENTO"/>
        <s v="BITZ INSTITUICAO DE PAGAMENTO S.A."/>
        <s v="COOPERATIVA DE CRÉDITO CREDINACIONAL LTDA. - SICOOB CREDINACIONAL"/>
        <s v="QUERO-QUERO VERDECARD INSTITUIÇÃO DE PAGAMENTO S.A."/>
        <s v="COOPERATIVA DE CRÉDITO DE LIVRE ADMISSÃO DA GRANDE GOIÂNIA LTDA."/>
        <s v="COOPERATIVA DE CRÉDITO  DE FRONTEIRAS  LTDA. - SICOOB FRONTEIRAS"/>
        <s v="BANCO WOORI BANK DO BRASIL S.A."/>
        <s v="BANCO FATOR S.A."/>
        <s v="COOPERATIVA CENTRAL DE CRÉDITO, POUPANÇA E INVESTIMENTO DE MATO GROSSO DO SUL, GOIÁS, DISTRITO FEDERAL E TOCANTINS - CENTRAL SICREDI BRASIL CENTRAL"/>
        <s v="COOPERATIVA DE CRÉDITO ARACREDI LTDA. - SICOOB ARACREDI"/>
        <s v="COOPERATIVA DE CRÉDITO - CREDICOMIN"/>
        <s v="CLARA INSTITUICAO DE PAGAMENTO LTDA."/>
        <s v="COOPERATIVA DE CRÉDITO DE LIVRE ADMISSÃO DE ASSOCIADOS DO MEIO OESTE CATARINENSE - SICOOB CREDIMOC SC"/>
        <s v="COOPERATIVA DE CRÉDITO E INVESTIMENTO COM INTERAÇÃO SOLIDÁRIA VALE DAS ÁGUAS PR/MG - CRESOL VALE DAS ÁGUAS PR/MG"/>
        <s v="COOPERATIVA DE CRÉDITO CREDIVERDE LTDA. - SICOOB CREDIVERDE"/>
        <s v="COOPERATIVA DE CRÉDITO CREDICAMPO LTDA.- SICOOB CREDICAMPO"/>
        <s v="COOPERATIVA DE CRÉDITO E ECONOMIA COM INTERAÇÃO SOLIDÁRIA CRESOL EVOLUÇÃO"/>
        <s v="COOPERATIVA DE CRÉDITO GUARANICREDI LTDA. - SICOOB GUARANICREDI"/>
        <s v="SOCIEDADE COOPERATIVA DE CRÉDITO COOPERE LTDA.  - SICOOB COOPERE"/>
        <s v="COOPERATIVA DE CRÉDITO SICOOB SERTÃO LTDA"/>
        <s v="DEUTSCHE SPARKASSEN LEASING DO BRASIL BANCO MÚLTIPLO S.A."/>
        <s v="COOPERATIVA DE CRÉDITO DE LIVRE ADMISSÃO DA REGIÃO CENTRAL DE RONDÔNIA   SICOOB OUROCREDI"/>
        <s v="SUPERLÓGICA SOCIEDADE DE CRÉDITO DIRETO S.A."/>
        <s v="COOPERATIVA DE CRÉDITO E INVESTIMENTO COM INTERAÇÃO SOLIDÁRIA DE GOIÁS - CRESOL GOIÁS"/>
        <s v="COOPERATIVA DE CRÉDITO E ECONOMIA COM INTERAÇÃO SOLIDÁRIA - CRESOL ALIANÇA"/>
        <s v="COOPERATIVA DE CRÉDITO E INVESTIMENTO SICOOB COOPERCRED LTDA."/>
        <s v="COOPERATIVA DE ECONOMIA E CRÉDITO MÚTUO UNICRED PROSPERAR LTDA. - UNICRED PROSPERAR"/>
        <s v="COOPERATIVA DE CRÉDITO DE LIVRE ADMISSÃO DO VALE DO RIO GRANDE LTDA. - SICOOB UBERABA"/>
        <s v="COOPERATIVA DE CRÉDITO DA REGIÃO CENTRAL DE MINAS LTDA. - SICOOB UNIÃO CENTRAL"/>
        <s v="COOPERATIVA DE CRÉDITO DO DISTRITO FEDERAL E ENTORNO LTDA"/>
        <s v="CREDI-SHOP S/A - INSTITUIÇÃO DE PAGAMENTO"/>
        <s v="COOPERATIVA DE CRÉDITO DE LIVRE ADMISSÃO DO ALTO SÃO FRANCISCO LTDA."/>
        <s v="COOPERATIVA DE CRÉDITO DE LIVRE ADMISSÃO LTDA. - SICOOB CREDIJUSTRA"/>
        <s v="COOPERATIVA DE CRÉDITO E INVESTIMENTO COM INTERAÇÃO SOLIDÁRIA EXCELÊNCIA - CRESOL EXCELÊNCIA"/>
        <s v="SICOOB CREDIGOIÁS COOPERATIVA DE CRÉDITO LTDA."/>
        <s v="CONFEDERACAO DAS COOPERATIVAS DO SICREDI - CONFEDERACAO SICREDI"/>
        <s v="COOPERATIVA DE CRÉDITO DE LIVRE ADMISSÃO DE RIO VERDE E REGIÃO LTDA."/>
        <s v="COOPERATIVA DE CREDITO DO MERCADO IMOBILIÁRIO - SICOOB IMOB.VC"/>
        <s v="COOPERATIVA DE CRÉDITO MONTECREDI LTDA. - SICOOB MONTECREDI"/>
        <s v="COOPERATIVA DE CRÉDITO CARLOS CHAGAS LTDA. - SICOOB CARLOS CHAGAS"/>
        <s v="ZEMA CRÉDITO, FINANCIAMENTO E INVESTIMENTO S/A"/>
        <s v="COOPERATIVA DE CRÉDITO DE LIVRE ADMISSÃO BURITIS - SICOOB BURITIS"/>
        <s v="COOPERATIVA DE CRÉDITO E INVESTIMENTO COM INTERAÇÃO SOLIDÁRIA CONFIANÇA - CRESOL CONFIANÇA"/>
        <s v="COOPERATIVA DE CRÉDITO, POUPANÇA E INVESTIMENTO NATIVA - SICREDI NATIVA PE/BA"/>
        <s v="COOPERATIVA DE CRÉDITO DE LIVRE ADMISSÃO DO ESTADO DO RIO DE JANEIRO - SICOOB FLUMINENSE"/>
        <s v="COOPERATIVA DE CRÉDITO CREDIALP LTDA - SICOOB CREDIALP"/>
        <s v="COOPERATIVA DE CRÉDITO UNIÃO DO CENTRO OESTE DE MINAS LTDA. - SICOOB CENTRO UNIÃO"/>
        <s v="COOPERATIVA DE CRÉDITO DE LIVRE ADMISSÃO DE ASSOCIADOS URUBICI - SICOOB CREDIARAUCÁRIA/SC"/>
        <s v="COOPERATIVA DE CRÉDITO DE LIVRE ADMISSÃO DE BOA ESPERANÇA LTDA. - SICOOB BELCREDI"/>
        <s v="COOPERATIVA DE CRÉDITO CREDSAOPAULO - SICOOB CREDSAOPAULO"/>
        <s v="COOPERATIVA DE CRÉDITO DE LIVRE ADMISSÃO DO CENTRO-SUL GOIANO LTDA"/>
        <s v="EDENRED SOLUCOES DE MOBILIDADE E INSTITUICAO DE PAGAMENTO HU S.A."/>
        <s v="BLU INSTITUIÇÃO DE PAGAMENTO LTDA."/>
        <s v="COOPERATIVA DE CRÉDITO DE LIVRE ADMISSÃO SICOOB CREDIACIL"/>
        <s v="ACESSO SOLUÇÕES DE PAGAMENTO S.A. - INSTITUIÇÃO DE PAGAMENTO"/>
        <s v="COOPERATIVA DE CRÉDITO CREDIRAMA LTDA - SICOOB CREDIRAMA"/>
        <s v="COOPERATIVA DE CRÉDITO DE LIVRE ADMISSÃO DO ESTADO DO ACRE LTDA."/>
        <s v="COOPERATIVA DE CRÉDITO DA REGIÃO E COLAR METROPOLITANO DO VALE DO AÇO LTDA. - SICOOB COSMIPA"/>
        <s v="COOPERATIVA DE CRÉDITO CREDIBELO LTDA. - SICOOB CREDIBELO"/>
        <s v="CONTA SIMPLES SOCIEDADE DE CRÉDITO DIRETO S.A."/>
        <s v="COOPERATIVA DE CRÉDITO E INVESTIMENTO COM INTERAÇÃO SOLIDÁRIA MISSÕES FRONTEIRA RS - CRESOL MISSÕES FRONTEIRA RS"/>
        <s v="TODESCREDI S/A - CRÉDITO, FINANCIAMENTO E INVESTIMENTO"/>
        <s v="COOPERATIVA DE ECONOMIA E CRÉDITO MÚTUO UNICRED COALIZÃO LTDA - UNICRED COALIZÃO"/>
        <s v="COOPERATIVA DE CRÉDITO CREDINORTE LTDA. - SICOOB CREDINORTE"/>
        <s v="VIA CERTA FINANCIADORA S.A. - CRÉDITO, FINANCIAMENTO E INVESTIMENTOS"/>
        <s v="COOPERATIVA DE CRÉDITO SICOOB COSTA DO DESCOBRIMENTO LTDA."/>
        <s v="COOPERATIVA DE ECONOMIA E CRÉDITO MÚTUO DOS EMPREGADOS DE FURNAS E DAS DEMAIS EMPRESAS DO SISTEMA ELETROBRÁS LTDA. - SICOOB CECREMEF"/>
        <s v="MAGALUPAY - SOCIEDADE DE CRÉDITO, FINANCIAMENTO E INVESTIMENTO S.A."/>
        <s v="COOPERATIVA DE CRÉDITO NOSSA SENHORA DO DESTERRO - SICOOB CREDISC"/>
        <s v="COOPERATIVA DE CRÉDITO UNIPRIME SUL"/>
        <s v="CREDISIS CREDIPLAN - COOPERATIVA DE CRÉDITO DE LIVRE ADMISSÃO DO PLANALTO MÉDIO DO RIO GRANDE DO SUL LTDA"/>
        <s v="COOPERATIVA DE CREDITO CREDIAGRO LTDA. - SICOOB CREDIAGRO"/>
        <s v="COOPERATIVA DE CRÉDITO DE LIVRE ADMISSÃO DE ANÁPOLIS E REGIÃO LTDA"/>
        <s v="AL5 S.A. SOCIEDADE DE CRÉDITO, FINANCIAMENTO E INVESTIMENTO"/>
        <s v="CASAS BAHIA PAY INSTITUIÇÃO DE PAGAMENTO LTDA."/>
        <s v="COOPERATIVA DE CRÉDITO DE LIVRE ADMISSÃO UNIÃO DO CENTRO OESTE DE MINAS LTDA - SICOOB CREDESP"/>
        <s v="COOPERATIVA DE CRÉDITO E INVESTIMENTO COM INTERAÇÃO SOLIDÁRIA NASCENTE - CRESOL NASCENTE"/>
        <s v="COOPERATIVA DE CRÉDITO DOS SERVIDORES MILITARES, DA POLÍCIA CIVIL, DA SECRETARIA DE EDUCAÇÃO DO ESTADO DE MINAS GERAIS E DE LIVRE ADMISSÃO LTDA - SICOOB COOPEMG"/>
        <s v="COOPERATIVA DE CREDITO DE LIVRE ADMISSAO DE PITANGUI E REGIAO LTDA. - SICOOB CREDPIT"/>
        <s v="COOPERATIVA DE CREDITO DO PLANALTO SUL - SICOOB CREDISSERRANA"/>
        <s v="COOPERATIVA DE CRÉDITO DE LIVRE ADMISSÃO E DOS ADVOGADOS LTDA. - SICOOB CREDIJUR"/>
        <s v="COOPERATIVA DE CRÉDITO DOS PROFISSIONAIS DA SAÚDE E LIVRE ADMISSÃO DO SUL DE MINAS LTDA"/>
        <s v="COOPERATIVA DE CRÉDITO CREDICOOP LTDA - SICOOB CREDICOOP"/>
        <s v="SOCINAL S.A. - CRÉDITO, FINANCIAMENTO E INVESTIMENTO"/>
        <s v="COOPERATIVA DE CRÉDITO DE LIVRE ADMISSÃO DE ASSOCIADOS DO PLANALTO SERRANO - SICOOB CREDISERRA SC"/>
        <s v="COOPERATIVA DE CRÉDITO DOS INTEGRANTES DO PODER JUDICIÁRIO E DO MINISTÉRIO PÚBLICO DO ESTADO DE MINAS GERAIS LTDA. - SICOOB JUS-MP"/>
        <s v="TENTOS S.A. CRÉDITO, FINANCIAMENTO E INVESTIMENTO"/>
        <s v="COOPERATIVA DE CRÉDITO UNICRED AMPLA LTDA - UNICRED AMPLA"/>
        <s v="COOPERATIVA DE CRÉDITO E ECONOMIA COM INTERAÇÃO SOLIDÁRIA - CRESOL ENCOSTAS DA SERRA GERAL"/>
        <s v="URBANO S.A. - SOCIEDADE DE CRÉDITO, FINANCIAMENTO E INVESTIMENTO"/>
        <s v="COOPERATIVA DE CRÉDITO DO VALE DO ITAJAÍ E VALE DO ITAPOCÚ - SICOOB MULTICREDI"/>
        <s v="COOPERATIVA DE CRÉDITO SACRAMENTO LTDA - SICOOB SACRAMENTO"/>
        <s v="COOPERATIVA DE CREDITO, POUPANCA E INVESTIMENTO DO RIO DE JANEIRO - SICREDI RIO RJ"/>
        <s v="COOPERATIVA DE ECONOMIA E CRÉDITO MÚTUO DOS INTEGRANTES DO MINISTÉRIO PÚBLICO E DA DEFENSORIA PÚBLICA NO ESTADO DO RIO DE JANEIRO LIMITADA. - SICOOB COMPERJ"/>
        <s v="COOPERATIVA DE ECONOMIA E CRÉDITO MÚTUO DOS SERVIDORES DO PODER JUDICIÁRIO, DO TRIBUNAL DE CONTAS ESTADUAL E DEMAIS ÓRGÃOS PÚBLICOS MUNICIPAIS, ESTADUAIS E FEDERAIS NO ESTADO DO RIO DE JANEIRO LTDA."/>
        <s v="CREDI&amp;GENTE - COOPERATIVA DE CRÉDITO E INVESTIMENTOS"/>
        <s v="LAR COOPERATIVA DE CRÉDITO - LAR CREDI"/>
        <s v="CREDIARE S.A. - CRÉDITO, FINANCIAMENTO E INVESTIMENTO"/>
        <s v="WISE BRASIL CORRETORA DE CÂMBIO LTDA"/>
        <s v="COOPERATIVA DE CRÉDITO UNICRED COOMARCA LTDA. - COOMARCA"/>
        <s v="COOPERATIVA DE CRÉDITO E ECONOMIA COM INTERAÇÃO SOLIDÁRIA DE JACUTINGA - CRESOL JACUTINGA"/>
        <s v="COOPERATIVA DE CREDITO CREDIMOTA   SICOOB CREDIMOTA"/>
        <s v="COOPERATIVA DE CRÉDITO DE LIVRE ADMISSÃO DE PIRACANJUBA LTDA. - SICOOB CERRADO"/>
        <s v="KREDILIG S.A. - CRÉDITO, FINANCIAMENTO E INVESTIMENTO"/>
        <s v="OXY CH - FINANCEIRO"/>
        <s v="COOPERATIVA DE CRÉDITO DO VALE EUROPEU - SICOOB EURO VALE"/>
        <s v="COOPERATIVA DE CRÉDITO E INVESTIMENTO COM INTERAÇÃO SOLIDÁRIA CENTRO SERRA - CRESOL CENTRO SERRA"/>
        <s v="COOPERATIVA DE CRÉDITO DE LIVRE ADMISSÃO DE PEDRO LEOPOLDO LTDA - SICOOB CREDIPEL"/>
        <s v="SUMUP SOCIEDADE DE CRÉDITO DIRETO S.A."/>
        <s v="COOPERATIVA DE ECONOMIA E CRÉDITO MÚTUO NOS ESTADOS DE ALAGOAS, SERGIPE E BAHIA - SICOOB LESTE"/>
        <s v="RENDIMENTOPAY INSTITUIÇÃO DE PAGAMENTO S.A."/>
        <s v="COOPERATIVA DE CRÉDITO CREDIPINHO LTDA - SICOOB CREDIPINHO"/>
        <s v="GREENPASS TECNOLOGIA E INSTITUICAO DE PAGAMENTO HUE S.A."/>
        <s v="SWILE INSTITUICAO DE PAGAMENTO LTDA"/>
        <s v="CREDISAN COOPERATIVA DE CRÉDITO"/>
        <s v="COOPERATIVA DE CRÉDITO DE LIVRE ADMISSÃO DE CAMPOS GERAIS E CAMPO DO MEIO LTDA - SICOOB CREDCAM"/>
        <s v="COOPERATIVA DE CRÉDITO E ECONOMIA COM INTERAÇÃO SOLIDÁRIA CAMINHOS - CRESOL CAMINHOS"/>
        <s v="COOPERATIVA DE CRÉDITO DE LIVRE ADMISSÃO DE ASSOCIADOS DO SUL DO BRASIL - CREVISC"/>
        <s v="COOPERATIVA DE CRÉDITO DE LIVRE ADMISSÃO DO CENTRO SUL DE MATO GROSSO DO SUL - SICOOB CENTRO SUL MS"/>
        <s v="AGORACRED S/A SOCIEDADE DE CRÉDITO, FINANCIAMENTO E INVESTIMENTO"/>
        <s v="COOPERATIVA DE CRÉDITO DOS SERVIDORES DOS PODERES LEGISLATIVOS DO ESTADO DE MINAS GERAIS E DO SEU ÓRGÃO AUXILIAR E DE LIVRE ADMISSÃO LTDA. - SICOOB COFAL"/>
        <s v="EBURY BANCO DE CÂMBIO S.A."/>
        <s v="COOPERATIVA DE ECONOMIA E CRÉDITO MÚTUO UNICRED HORIZONTES LTDA - UNICRED HORIZONTES"/>
        <s v="COOPERATIVA DE CRÉDITO DE LIVRE ADMISSÃO DO SUL CATARINENSE - ACENTRA"/>
        <s v="OKTO INSTITUIÇÃO DE PAGAMENTO S.A."/>
        <s v="COOPERATIVA DE CRÉDITO DOS SERVIDORES PÚBLICOS NO ESTADO DA BAHIA LTDA. - SICOOB INOVA"/>
        <s v="COOPERATIVA DE CRÉDITO, POUPANÇA E INVESTIMENTO BANDEIRANTES - SICREDI BANDEIRANTES SP"/>
        <s v="COOPERATIVA DE CRÉDITO DE TIROS E MATUTINA LTDA.- SICOOB CREDITIROS"/>
        <s v="COOPERATIVA DE CREDITO SULCREDI AMPLEA"/>
        <s v="EQI INVESTIMENTOS CORRETORA DE TÍTULOS E VALORES MOBILIÁRIOS S.A."/>
        <s v="COOPERATIVA DE CRÉDITO DA GRANDE FLORIANÓPOLIS - ÚNILOS"/>
        <s v="COOPERATIVA DE CRÉDITO RURAL DE IRAÍ DE MINAS LTDA -SICOOB CREDIMIL"/>
        <s v="COOPERATIVA DE CRÉDITO SICOOB CONFIANÇA"/>
        <s v="COOPERATIVA DE CRÉDITO DE LIVRE ADMISSÃO DE CARMO DO RIO CLARO LTDA - SICOOB CREDICARMO"/>
        <s v="COOPERATIVA DE CRÉDITO, POUPANÇA E INVESTIMENTO DOS JUÍZES E CARREIRAS PÚBLICAS DO DIREITO DO ESTADO DO RIO GRANDE DO SUL - SICREDI AJURIS RS"/>
        <s v="COOPERATIVA DE CRÉDITO CREDIVAG LTDA - SICOOB CREDIVAG"/>
        <s v="EDENRED SOLUCOES E INSTITUICAO DE PAGAMENTO AHA S.A."/>
        <s v="COOPERATIVA DE CRÉDITO DE LIVRE ADMISSÃO DO ESTADO DE GOIÁS"/>
        <s v="GAZINCRED S.A. SOCIEDADE DE CRÉDITO, FINANCIAMENTO E INVESTIMENTO"/>
        <s v="UNIPRIME DO IGUAÇU - COOPERATIVA DE CRÉDITO, POUPANÇA E INVESTIMENTO"/>
        <s v="COOPERATIVA DE CRÉDITO SICREDI ALTO SERTÃO PARAIBANO - SICREDI ALTO SERTÃO PARAIBANO"/>
        <s v="COOPERATIVA DE CRÉDITO, POUPANÇA E INVESTIMENTO CENTRO PERNAMBUCANA - SICREDI CENTRO PERNAMBUCANA PE"/>
        <s v="COOPERATIVA DE CRÉDITO E ECONOMIA COM INTERAÇÃO SOLIDÁRIA - CRESOL MAIS"/>
        <s v="COOPERATIVA DE CRÉDITO DO SUDOESTE BAIANO LTDA - SICOOB CREDICONQUISTA"/>
        <s v="COOPERATIVA DE CRÉDITO E ECONOMIA COM INTERAÇÃO SOLIDÁRIA DE ARATIBA - CRESOL ARATIBA"/>
        <s v="COOPERATIVA DE CRÉDITO RURAL DE ABELARDO LUZ - SULCREDI/CREDILUZ"/>
        <s v="BGC LIQUIDEZ DISTRIBUIDORA DE TÍTULOS E VALORES MOBILIÁRIOS LTDA"/>
        <s v="REVOLUT SOCIEDADE DE CRÉDITO DIRETO S.A."/>
        <s v="COOPERATIVA DE CRÉDITO, POUPANÇA E INVESTIMENTO INTEGRAÇÃO BAHIA - SICREDI INTEGRAÇÃO BAHIA - BA"/>
        <s v="AGÊNCIA DE FOMENTO DO ESTADO DO AMAZONAS S.A. - AFEAM"/>
        <s v="NEGRESCO S.A. - CREDITO, FINANCIAMENTO E INVESTIMENTOS"/>
        <s v="COOPERATIVA DE CRÉDITO SICOOB NORTE SUL LTDA"/>
        <s v="COOPERATIVA DE CRÉDITO DE LIVRE ADMISSÃO DE PALMEIRAS E REGIÃO LTDA."/>
        <s v="ZERO INSTITUIÇÃO DE PAGAMENTO S.A."/>
        <s v="COOPERATIVA DE ECONOMIA E CRÉDITO DE LIVRE ADMISSÃO LTDA. - SICOOB EMPRESARIAL"/>
        <s v="SANTINVEST S.A. - CREDITO, FINANCIAMENTO E INVESTIMENTOS"/>
        <s v="STRADA PAY INSTITUIÇÃO DE PAGAMENTO LTDA."/>
        <s v="COOPERATIVA DE CRÉDITO E INVESTIMENTO COM INTERAÇÃO SOLIDÁRIA DE NOVA MUTUM E REGIÃO - CRESOL MATO GROSSO"/>
        <s v="COOPERATIVA DE CRÉDITO E ECONOMIA COM INTERAÇÃO SOLIDÁRIA CRESOL VALE"/>
        <s v="BRAZA BANK S.A. BANCO DE CÂMBIO"/>
        <s v="COOPERATIVA DE CRÉDITO, POUPANÇA E INVESTIMENTO EMPREENDEDORES - SICREDI EMPREENDEDORES PR"/>
        <s v="COOPERATIVA DE CRÉDITO CREDIBAM LTDA. - SICOOB CREDIBAM"/>
        <s v="COBUCCIO S/A - SOCIEDADE DE CRÉDITO, FINANCIAMENTO E INVESTIMENTOS"/>
        <s v="COOPERATIVA DE ECONOMIA E CRÉDITO MÚTUO DOS PROFISSIONAIS DA ÁREA NOTARIAL E REGISTRAL - COOPNORE"/>
        <s v="CALCARD S.A. - INSTITUIÇÃO DE PAGAMENTOS"/>
        <s v="INTL FCSTONE"/>
        <s v="BRINKS PAY INSTITUICAO DE PAGAMENTO LTDA"/>
        <s v="COOPERATIVA DE CRÉDITO HORIZONTE - SICOOB HORIZONTE"/>
        <s v="COOPERATIVA DE CRÉDITO CREDICAMPINA LTDA. - SICOOB CREDICAMPINA"/>
        <s v="MÊNTORE INSTITUIÇÃO DE PAGAMENTO S.A."/>
        <s v="COOPERATIVA DE CRÉDITO DO VALE DOS PINHAIS - SICOOB VALE DOS PINHAIS"/>
        <s v="BARRACRED - COOPERATIVA DE ECONOMIA E CRÉDITO MÚTUO"/>
        <s v="COOPERATIVA DE ECONOMIA E CRÉDITO MÚTUO - SICOOB COOPERAC"/>
        <s v="PARATI - CREDITO, FINANCIAMENTO E INVESTIMENTO S.A."/>
        <s v="AGENCIA DE FOMENTO DE GOIAS S/A"/>
        <s v="COOPERATIVA DE CRÉDITO DE LIVRE ADMISSÃO SICOOB CREDMISSÃO LTDA. - SICOOB CREDMISSÃO"/>
        <s v="COOPERATIVA DE CRÉDITO E ECONOMIA COM INTERAÇÃO SOLIDÁRIA - CRESOL DESENVOLVIMENTO"/>
        <s v="LAUNCH PAD SOCIEDADE DE CRÉDITO DIRETO S.A."/>
        <s v="VIC-DISTRIBUIDORA DE TITULOS E VALORES MOBILIARIOS S/A"/>
        <s v="Z-ON SOCIEDADE DE CRÉDITO DIRETO S.A."/>
        <s v="COOPERATIVA DE CRÉDITO DOS PROFISSIONAIS DE SAÚDE E DE LIVRE ADMISSÃO DO TRIÂNGULO MINEIRO E SUL DE MINAS LTDA. - UNICRED PROGRESSO"/>
        <s v="COOPERATIVA DE CRÉDITO DE LIVRE ADMISSÃO DE ASSOCIADOS LTDA. - SICOOB JUDICIÁRIO"/>
        <s v="COOPERATIVA DE CRÉDITO E INVESTIMENTO COM INTERAÇÃO SOLIDÁRIA TRANSAMAZÔNICA - CRESOL TRANSAMAZÔNICA"/>
        <s v="PLUXEE INSTITUIÇÃO DE PAGAMENTO BRASIL S.A."/>
        <s v="BRL TRUST"/>
        <s v="COOPERATIVA DE ECONOMIA E CRÉDITO MÚTUO DO VALE DAS ANTAS LTDA. - UNICRED PIONEIRA"/>
        <s v="COOPERATIVA DE CRÉDITO DOS MAGISTRADOS, SERVIDORES DA JUSTIÇA DO ESTADO DE GOIÁS E EMPREGADOS DA CELG LTDA. - SICOOB JURISCRED"/>
        <s v="PLANNER"/>
        <s v="COOPERATIVA DE CRÉDITO CREDIVAZ LTDA. - SICOOB CREDIVAZ"/>
        <s v="COOPERATIVA DE CRÉDITO DE LIVRE ADMISSÃO DE JATAÍ E REGIÃO LTDA."/>
        <s v="ONEKEY PAYMENTS INSTITUICAO DE PAGAMENTO SA"/>
        <s v="COOPERATIVA DE CRÉDITO DE LIVRE ADMISSÃO DE ITAJUBÁ LTDA - SICOOB SUDESTE MAIS"/>
        <s v="COOPERATIVA DE CRÉDITO E ECONOMIA COM INTERAÇÃO SOLIDÁRIA - CRESOL INOVAÇÃO"/>
        <s v="COOPERATIVA DE CRÉDITO DE LIVRE ADMISSÃO DO BRASIL CENTRAL LTDA. - SICOOB EXECUTIVO"/>
        <s v="COOPERATIVA DE CRÉDITO E ECONOMIA COM INTERAÇÃO SOLIDÁRIA DE SÃO VALENTIM - CRESOL SÃO VALENTIM"/>
        <s v="BEES INSTITUICAO DE PAGAMENTO LTDA."/>
        <s v="COOPERATIVA DE ECONOMIA E CRÉDITO MÚTUO DOS FUNCIONÁRIOS DA SECRETARIA DE ESTADO DA FAZENDA  DO ESTADO DE MINAS GERAIS E DE LIVRE ADMISSÃO LTDA - SICOOB COOPSEF"/>
        <s v="COOPERATIVA DE CRÉDITO COOPCRED"/>
        <s v="COOPERATIVA DE CRÉDITO DE LIVRE ADMISSÃO CREDFAZ LTDA. - SICOOB CREDFAZ"/>
        <s v="COOPERATIVA DE CRÉDITO CREDISUCESSO LTDA.- SICOOB CREDISUCESSO"/>
        <s v="COOPERATIVA DE CRÉDITO DE LIVRE ADMISSÃO DE ARCOS LTDA. - SICOOB ARCOMCREDI"/>
        <s v="FIDÚCIA SOCIEDADE DE CRÉDITO AO MICROEMPREENDEDOR E À EMPRESA DE PEQUENO PORTE LIMITADA."/>
        <s v="COOPERATIVA DE CRÉDITO DE LIVRE ADMISSÃO SICOOB COOPJUS LTDA."/>
        <s v="COOPERATIVA DE CREDITO CLASSICA DO ESTADO DO RIO DE JANEIRO - SICOOB EMPRESAS RJ"/>
        <s v="SICOOB CRESSEM - COOPERATIVA DE ECONOMIA E CRÉDITO MUTUO DOS SERVIDORES MUNICIPAIS DA REGIÃO METROPOLITANA DO VALE DO PARAIBA E LITORAL NORTE"/>
        <s v="CONTAAZUL INSTITUICAO DE PAGAMENTO LTDA."/>
        <s v="COOPERATIVA DE CRÉDITO SICOOB COOPMIL"/>
        <s v="COOPERATIVA DE CRÉDITO CREDIESMERALDAS LTDA. - SICOOB CREDIESMERALDAS"/>
        <s v="COOPERATIVA DE CRÉDITO DE LIVRE ADMISSÃO BRMIL LTDA. - SICOOB BRMIL"/>
        <s v="HS FINANCEIRA S/A CREDITO, FINANCIAMENTO E INVESTIMENTOS"/>
        <s v="CACTVS INSTITUICAO DE PAGAMENTO S.A"/>
        <s v="RPW S/A SOCIEDADE DE CRÉDITO, FINANCIAMENTO E INVESTIMENTO"/>
        <s v="STARK SOCIEDADE DE CRÉDITO DIRETO S.A."/>
        <s v="COOPERATIVA DE CRÉDITO VALE DO CANOAS - SICOOB/SC CREDICANOAS"/>
        <s v="COOPERATIVA DE CRÉDITO SICOOB ITAPAGIPE LTDA - SICOOB ITAPAGIPE"/>
        <s v="CAPPTA INSTITUIÇÃO DE PAGAMENTO S.A."/>
        <s v="AGÊNCIA DE FOMENTO DO ESTADO DE MATO GROSSO S/A - DESENVOLVE MT"/>
        <s v="COOPERATIVA DE CRÉDITO DE LIVRE ADMISSÃO DE SANTA CRUZ DAS PALMEIRAS E REGIÃO"/>
        <s v="ALESTA SOCIEDADE DE CREDITO DIRETO S.A."/>
        <s v="COOPERATIVA DE CRÉDITO SICOOB COOPEMAR LTDA"/>
        <s v="WESTERN UNION"/>
        <s v="COOPERATIVA DE CRÉDITO DE LIVRE ADMISSÃO DA MARGEM ESQUERDA DO URUCUIA E SÃO FRANCISCO LTDA - SICOOB CREDICHAPADA"/>
        <s v="TRANSFEERA INSTITUIÇÃO DE PAGAMENTO S.A"/>
        <s v="COOPERATIVA DE CREDITO POTIGUAR - SICOOB POTIGUAR"/>
        <s v="COOPERATIVA DE CREDITO E ECONOMIA COM INTERAÇÃO SOLIDÁRIA - CRESOL SERRA MAR"/>
        <s v="FINAMAX S.A. - CREDITO, FINANCIAMENTO E INVESTIMENTO"/>
        <s v="COOPERATIVA DE CRÉDITO DOS INTEGRANTES DO MINISTÉRIO PÚBLICO E DO PODER JUDICIÁRIO NOS ESTADOS DO AMAPÁ E CEARÁ E LIVRE ADMISSÃO NO ESTADO DO PARÁ - SICOOB COIMPPA"/>
        <s v="COOPERATIVA CENTRAL DE CRÉDITO, POUPANÇA E INVESTIMENTO DO NORDESTE - CENTRAL SICREDI NORDESTE"/>
        <s v="COOPERATIVA DE CRÉDITO - SICOOB CREDUNI"/>
        <s v="ATIVA INVESTIMENTOS S.A. CORRETORA DE TÍTULOS, CÂMBIO E VALORES"/>
        <s v="MONTE BRAVO CORRETORA DE TÍTULOS E VALORES MOBILIÁRIOS S.A."/>
        <s v="CREDISIS SUDOESTE/RO - COOPERATIVA DE CRÉDITO E INVESTIMENTO DO SUDOESTE DE RONDÔNIA"/>
        <s v="COOPERATIVA DE CRÉDITO DE LIVRE ADMISSÃO DE CERES E RIALMA LTDA"/>
        <s v="COOPERATIVA DE CRÉDITO LIVRE ADMISSÃO SICOOB OURICRED"/>
        <s v="REAG IP S.A. - INSTITUIÇÃO DE PAGAMENTO"/>
        <s v="COOPERATIVA DE CRÉDITO DA REGIÃO DO VALE DO RIO GRANDE LTDA. - SICOOB CREDILEITE"/>
        <s v="CREDISIS CAPITALCREDI - COOPERATIVA DE CRÉDITO DE LIVRE ADMISSÃO DO ACRE LTDA"/>
        <s v="COOPERATIVA DE CREDITO CREDLIDER - SICOOB CREDLIDER"/>
        <s v="COOPERATIVA DE CRÉDITO DE LIVRE ADMISSÃO DA REGIÃO DE GUAXUPÉ LTDA. - SICOOB ACICREDI"/>
        <s v="ROADCARD INSTITUICAO DE PAGAMENTO INTEGRADO DA LOGISTICA S.A."/>
        <s v="COOPERATIVA DE CRÉDITO, POUPANÇA E INVESTIMENTO DOS INTEGRANTES DA MAGISTRATURA E DO MINISTÉRIO PÚBLICO NO ESTADO DO PARANÁ - SICREDI CREDJURIS"/>
        <s v="ACG INSTITUIÇÃO DE PAGAMENTO S.A."/>
        <s v="COOPERATIVA DE ECONOMIA E CRÉDITO MÚTUO DOS SERVIDORES DA FEDERAÇÃO DO COMÉRCIO, SESC E SENAC DE SÃO PAULO"/>
        <s v="SUL AMERICA INVESTIMENTOS DISTRIBUIDORA DE TITULOS E VALORES MOBILIARIOS S.A."/>
        <s v="SERVNET INSTITUIÇÃO DE PAGAMENTO LTDA."/>
        <s v="SICOOB CREDIMONTES - COOPERATIVA DE CRÉDITO DE LIVRE ADMISSÃO REGIONAL DE MONTES CLAROS LTDA"/>
        <s v="TULLETT PREBON BRASIL"/>
        <s v="COOPERATIVA DE CRÉDITO DE LIVRE ADMISSÃO DA REGIÃO DE SÃO SEBASTIÃO DO PARAÍSO LTDA. - SICOOB PARAÍSOCRED"/>
        <s v="SRM BANK INSTITUIÇÃO DE PAGAMENTO S/A"/>
        <s v="BOLT CARD INSTITUIÇÃO DE PAGAMENTOS LTDA."/>
        <s v="AGÊNCIA DE FOMENTO E DESENVOLVIMENTO DO ESTADO DO PIAUÍ S.A."/>
        <s v="COOPERATIVA DE CRÉDITO DE LIVRE ADMISSÃO CREDIEMBRAPA LTDA - SICOOB."/>
        <s v="C&amp;A PAY SOCIEDADE DE CRÉDITO DIRETO S.A."/>
        <s v="COOPERATIVA DE CRÉDITO SICOOB UNI SUL MS"/>
        <s v="COOPERATIVA DE CREDITO E ECONOMIA COM INTERAÇÃO SOLIDARIA - CRESOL LITORAL"/>
        <s v="COOPERATIVA DE CRÉDITO, POUPANÇA E INVESTIMENTO DOS PROFESSORES, FUNCIONÁRIOS E ALUNOS DA UNIVERSIDADE DE CAXIAS DO SUL - SICREDI EDUCAÇÃO RS"/>
        <s v="COOPERATIVA DE CRÉDITO CREDICAPI LTDA - SICOOB CREDICAPI"/>
        <s v="BRASIL CASH INSTITUICAO DE PAGAMENTO S.A"/>
        <s v="PAGBRASIL INSTITUICAO DE PAGAMENTO LTDA"/>
        <s v="BANCO DE LA PROVINCIA DE BUENOS AIRES"/>
        <s v="CREDISIS CREDIBRÁS COOPERATIVA DE CRÉDITO E INVESTIMENTO DE LIVRE ADMISSÃO DO OESTE DE RONDÔNIA"/>
        <s v="POMELO INSTITUICAO DE PAGAMENTO LTDA."/>
        <s v="COOPERATIVA DE CRÉDITO DE LIVRE ADMISSÃO DE ASSOCIADOS DE DORES DO INDAIÁ LTDA - SICOOB COOPCREDI"/>
        <s v="COOPERATIVA DE ECONOMIA E CRÉDITO MÚTUO DOS FUNCIONÁRIOS DO ATACADÃO"/>
        <s v="COOPERATIVA DE CRÉDITO DE LIVRE ADMISSÃO SICOOB UNIÃO SUDESTE"/>
        <s v="COOPERATIVA DE CRÉDITO DE LIVRE ADMISSÃO DE ASSOCIADOS - SICOOB CRUZ ALTA"/>
        <s v="SINOSSERRA FINANCEIRA S/A - SOCIEDADE DE CRÉDITO, FINANCIAMENTO E INVESTIMENTO"/>
        <s v="CALCRED S.A. - CRÉDITO, FINANCIAMENTO E INVESTIMENTO"/>
        <s v="COOPERATIVA DE CRÉDITO DE LIVRE ADMISSÃO DO OESTE MARANHENSE - SICOOB OESTE MARANHENSE"/>
        <s v="VOX INSTITUICAO DE PAGAMENTO S.A."/>
        <s v="COOPERATIVA DE CRÉDITO NO PIAUÍ - SICOOB PIAUÍ"/>
        <s v="COOPERATIVA DE ECONOMIA E CRÉDITO MÚTUO DOS MILITARES ESTADUAIS DE SANTA CATARINA - CREDPOM"/>
        <s v="COOPERATIVA DE CRÉDITO DE LIVRE ADMISSÃO DO CIRCUITO DAS ÁGUAS - SICOOB CIRCUITO DAS ÁGUAS"/>
        <s v="COOPERATIVA DE CRÉDITO POPULAR DO BRASIL - CREHNOR"/>
        <s v="COOPERATIVA DE CRÉDITO SICOOB IPÊ - SICOOB IPÊ"/>
        <s v="PLANTAE S.A. - CRÉDITO, FINANCIAMENTO E INVESTIMENTO"/>
        <s v="COOPERATIVA DE CRÉDITO DE RIO RUFINO - SICOOB CREDIUNIÃO"/>
        <s v="PAY4FUN INSTITUICAO DE PAGAMENTO S.A."/>
        <s v="GPATIVA - COOPERATIVA DE ECONOMIA E CRÉDITO MÚTUO DOS EMPREGADOS DO GRUPO PÃO DE AÇÚCAR"/>
        <s v="COOPERATIVA DE CRÉDITO RURAL DOS FORNECEDORES DE CANA DA REGIÃO DE CATANDUVA-COFOCRED"/>
        <s v="PINBANK BRASIL INSTITUIÇÃO DE PAGAMENTO S.A."/>
        <s v="COOPERATIVA DE CRÉDITO CREDIMAC LTDA - SICOOB CREDIMAC"/>
        <s v="COOPERATIVA DE CRÉDITO DE LIVRE ADMISSÃO DO ESTADO DO PARÁ - SICOOB COOESA"/>
        <s v="BIZ INSTITUIÇÃO DE PAGAMENTO S.A."/>
        <s v="COOPERATIVA DE ECONOMIA E CRÉDITO MÚTUO DOS TRABALHADORES DO GRUPO SÃO MARTINHO   USICRED"/>
        <s v="COOPERATIVA DE ECONOMIA E CRÉDITO MÚTUO E BENEFÍCIOS SOCIAIS BECOOPER"/>
        <s v="COOPERATIVA DE CRÉDITO MÚTUO DO CEARÁ - SICOOB CEARÁ"/>
        <s v="COOPERATIVA DE CRÉDITO SICOOB CREDCOOP LTDA."/>
        <s v="COOPER CARD INSTITUIÇÃO DE PAGAMENTO LTDA."/>
        <s v="COOPERATIVA DE CRÉDITO DE LIVRE ADMISSÃO DE VITÓRIA DA CONQUISTA - UNICRED SUDOESTE DA BAHIA"/>
        <s v="COOPERATIVA DE ECONOMIA E CRÉDITO MÚTUO DE LIVRE ADMISSÃO DOS SERVIDORES DA UNIVERSIDADE FEDERAL DE VIÇOSA LTDA. - SICOOB UFVCREDI"/>
        <s v="UY3 SOCIEDADE DE CRÉDITO DIRETO S/A"/>
        <s v="COOPERATIVA DE CREDITO E ECONOMIA COM INTERAÇÃO SOLIDÁRIA - CRESOL JACINTO MACHADO"/>
        <s v="COOPERATIVA DE CRÉDITO, POUPANÇA E INVESTIMENTO DOS MILITARES ESTADUAIS E SERVIDORES DA SEGURANÇA DO ESTADO DO RIO GRANDE DO SUL - SICREDI TRADIÇÃO RS"/>
        <s v="GREENCRED - COOPERATIVA DE CREDITO"/>
        <s v="COOPERATIVA DE ECONOMIA E CRÉDITO MÚTUO SICOOB METALCRED"/>
        <s v="COOPERATIVA DE CRÉDITO MÚTUO DOS CORRETORES DE SEGUROS DO ESTADO DE SÃO PAULO - SICOOB CREDICOR/SP"/>
        <s v="COOPERATIVA DE CREDITO E ECONOMIA COM INTERAÇÃO SOLIDÁRIA - CRESOL TREZE DE MAIO"/>
        <s v="BELLUNO INSTITUICAO DE PAGAMENTO LTDA"/>
        <s v="COOPERATIVA DE CRÉDITO E INVESTIMENTOS DE RONDÔNIA - SICOOB CREDJURD"/>
        <s v="COOPERATIVA DE CRÉDITO UNIPRIME CREDICANA"/>
        <s v="ASTRO INSTITUICAO DE PAGAMENTO LTDA."/>
        <s v="COOPERATIVA DE CRÉDITO CREDINOSSO LTDA - SICOOB CREDINOSSO"/>
        <s v="PAY2ALL INSTITUICAO DE PAGAMENTO LTDA"/>
        <s v="NSTECH IP INSTITUICAO DE PAGAMENTO S.A."/>
        <s v="COOPERFEMSA - COOPERATIVA DE CRÉDITO"/>
        <s v="COOPERATIVA DE CRÉDITO MÚTUO DOS PROFISSIONAIS DA SAÚDE E LIVRE ADMISSÃO DE TEÓFILO OTONI LTDA. - UNICRED TRÊS VALES"/>
        <s v="COOPERATIVA DE CRÉDITO MÚTUO DOS DESPACHANTES DE TRÂNSITO DE SANTA CATARINA E RIO GRANDE DO SUL - SICOOB CREDITRAN"/>
        <s v="COOPERATIVA DE CRÉDITO DOS EMPREGADOS DO GRUPO VALLOUREC NO BRASIL - COOVALL LTDA."/>
        <s v="COOPERATIVA DE ECONOMIA E CRÉDITO MÚTUO - COOPERSERV"/>
        <s v="GOOGLE PAY BRASIL INSTITUICAO DE PAGAMENTO LTDA."/>
        <s v="COOPERATIVA DE CRÉDITO DE LIVRE ADMISSÃO - SICOOB COPESITA"/>
        <s v="COOPERATIVA DE ECONOMIA E CRÉDITO DE LIVRE ADMISSÃO DOS EMPREGADOS DOS CORREIOS LTDA. - SICOOB COOPERCORREIOS"/>
        <s v="SOMAPAY SOCIEDADE DE CRÉDITO DIRETO S.A."/>
        <s v="COOPERATIVA DE ECONOMIA E CRÉDITO MÚTUO DOS SERVIDORES DA JUSTIÇA DO ESTADO DE MINAS GERAIS LTDA. - SICOOB CREDJUS"/>
        <s v="TRIO INSTITUICAO DE PAGAMENTO LTDA."/>
        <s v="EAGLE INSTITUICAO DE PAGAMENTO LTDA."/>
        <s v="COOPERATIVA DE CRÉDITO, POUPANÇA E INVESTIMENTO DOS ESCRIVÃES, NOTÁRIOS E REGISTRADORES NO ESTADO DO PARANÁ - SICREDI CREDENOREG PR"/>
        <s v="ACCREDITO - SOCIEDADE DE CRÉDITO DIRETO S.A."/>
        <s v="PAGME INSTITUIÇÃO DE PAGAMENTO LTDA."/>
        <s v="NVIO BRASIL BITSO INSTITUIÇÃO DE PAGAMENTO LTDA"/>
        <s v="SOLVER INSTITUICAO DE PAGAMENTO LTDA"/>
        <s v="COOPERATIVA DE CRÉDITO E ECONOMIA COM INTERAÇÃO SOLIDÁRIA - CRESOL COOPERACRED"/>
        <s v="COOPERATIVA DE CRÉDITO MÚTUO DOS EMPREGADOS DA MAXION - CREDMAXION"/>
        <s v="FAIR SOCIEDADE CORRETORA DE CÂMBIO S.A."/>
        <s v="CAPITAL CONSIG SOCIEDADE DE CRÉDITO DIRETO S.A."/>
        <s v="MAREE IP - FINANCEIRO"/>
        <s v="COOPERATIVA DE CRÉDITO, POUPANÇA E INVESTIMENTO DO SISTEMA DE JUSTIÇA NO ESTADO DO CEARÁ - SICREDI COOPERJURIS"/>
        <s v="COOPERATIVA DE CRÉDITO MÚTUO DE LIVRE ADMISSÃO DA REGIÃO ADMINISTRATIVA DE SOROCABA - SICOOB COOPERASO"/>
        <s v="COOPERATIVA DE ECONOMIA E CRÉDITO MÚTUO DOS SERVIDORES PÚBLICOS - SICOOB COOPERPLAN CREDSEF"/>
        <s v="REPASSES FINANCEIROS E SOLUCOES TECNOLOGICAS INSTITUICAO DE PAGAMENTO S.A."/>
        <s v="MERCADO BITCOIN INSTITUICAO DE PAGAMENTO LTDA"/>
        <s v="COOPERATIVA DE CRÉDITO DE LIVRE ADMISSÃO SUL MARANHENSE - SICOOB SUL MARANHENSE"/>
        <s v="CREDISIS OESTE - COOPERATIVA DE CRÉDITO E INVESTIMENTO DO OESTE"/>
        <s v="INOVANTI INSTITUIÇÃO DE PAGAMENTO S.A."/>
        <s v="MT INSTITUICAO DE PAGAMENTO SA"/>
        <s v="COOPERATIVA DE CRÉDITO, POUPANÇA E INVESTIMENTO DOS PROFISSIONAIS MÉDICOS E DA SAÚDE DE CURITIBA E REGIÃO METROPOLITANA - SICREDI MEDICRED PR"/>
        <s v="PAGCERTO INSTITUICAO DE PAGAMENTO LTDA."/>
        <s v="CREDITÁ S/A CRÉDITO, FINANCIAMENTO E INVESTIMENTO"/>
        <s v="GOWD INSTITUIÇÃO DE PAGAMENTO LTDA."/>
        <s v="PAY INSTITUICAO DE PAGAMENTO S.A."/>
        <s v="DELFINANCE SOCIEDADE DE CREDITO DIRETO S.A."/>
        <s v="KANASTRA FINANCEIRA S.A, CREDITO, FINANCIAMENTO E INVESTIMENTO"/>
        <s v="CELCOIN SOCIEDADE DE CRÉDITO DIRETO S.A."/>
        <s v="COOPERATIVA DE CRÉDITO DE LIVRE ADMISSÃO CENTRO NORDESTE - SICOOB CENTRO NORDESTE"/>
        <s v="COOPERATIVA DE ECONOMIA E CRÉDITO MÚTUO DOS MAGISTRADOS DE SÃO PAULO - MAGISCRED"/>
        <s v="AVANCARD PROVER INSTITUIÇÃO DE PAGAMENTO LTDA"/>
        <s v="COOPERATIVA DE CRÉDITO, POUPANÇA E INVESTIMENTO DA ADVOCACIA E SERVENTUÁRIOS DO PODER JUDICIÁRIO NO ESTADO DO RIO GRANDE DO SUL - SICREDI COOABCRED RS"/>
        <s v="NG CASH INSTITUIÇÃO DE PAGAMENTO LTDA."/>
        <s v="JBCRED S.A. SOCIEDADE DE CREDITO, FINANCIAMENTO E INVESTIMENTO"/>
        <s v="CM CAPITAL MARKETS CORRETORA DE CÂMBIO, TÍTULOS E VALORES MOBILIÁRIOS LTDA"/>
        <s v="COOPERATIVA DE CRÉDITO DE SÃO FRANCISCO DE SALES LTDA. - SICOOB CREDISALES"/>
        <s v="COOPERATIVA DE CRÉDITO COGEM"/>
        <s v="MULTIPLIKE FINANCEIRA S.A. SOCIEDADE DE CRÉDITO, FINANCIAMENTO E INVESTIMENTO"/>
        <s v="COOPERATIVA DE CRÉDITO, POUPANÇA E INVESTIMENTO DOS POLICIAIS FEDERAIS DO RIO GRANDE DO SUL E SANTA CATARINA - SICREDI POL RS/SC"/>
        <s v="AGENCIA DE FOMENTO DO RIO GRANDE DO NORTE S.A."/>
        <s v="LECCA CRÉDITO, FINANCIAMENTO E INVESTIMENTO S/A"/>
        <s v="COOPERATIVA DE ECONOMIA E CRÉDITO MÚTUO DOS FUNCIONÁRIOS DA  NESTLÉ - NESCRED"/>
        <s v="CENTROCRED S.A. CRÉDITO, FINANCIAMENTO E INVESTIMENTOS"/>
        <s v="COOPERATIVA DE CRÉDITO, POUPANÇA E INVESTIMENTO DAS CARREIRAS DO MINISTÉRIO PÚBLICO, TRIBUNAL DE CONTAS E SECRETARIA DA FAZENDA DO RIO GRANDE DO SUL - SICREDI MP RS"/>
        <s v="SICOOB CRED COPERCANA COOPERATIVA DE CRÉDITO"/>
        <s v="BANCO SANY BRASIL S.A."/>
        <s v="PROTEGE CASH INSTITUIÇÃO DE PAGAMENTO S.A."/>
        <s v="COOPERATIVA DE CRÉDITO MÚTUO - SICOOB CREDIACISC"/>
        <s v="SITA SOCIEDADE CORRETORA DE CAMBIO E VALORES MOBILIARIOS S.A"/>
        <s v="SICOOB CREDIMED - COOPERATIVA DE CRÉDITO DE LIVRE ADMISSÃO DA CIDADE DE UBERABA LTDA."/>
        <s v="COOPERATIVA DE CRÉDITO - SICREDI LENÇÓIS"/>
        <s v="ID CORRETORA DE TÍTULOS E VALORES MOBILIÁRIOS S.A."/>
        <s v="GALAX PAY INSTITUIÇÃO DE PAGAMENTO S.A."/>
        <s v="WOOVI INSTITUICAO DE PAGAMENTO LTDA"/>
        <s v="BANCO DE LA NACION ARGENTINA"/>
        <s v="GRAZZIOTIN FINANCEIRA S/A - CRÉDITO, FINANCIAMENTO E INVESTIMENTOS"/>
        <s v="NOVA FUTURA CORRETORA DE TÍTULOS E VALORES MOBILIÁRIOS LTDA."/>
        <s v="VERT DISTRIBUIDORA DE TÍTULOS E VALORES MOBILIÁRIOS LTDA"/>
        <s v="COOPERATIVA DE CRÉDITO CREDIPIMENTA LTDA. - SICOOB CREDIPIMENTA"/>
        <s v="COOPERATIVA DE CRÉDITO MÚTUO DOS SERVIDORES MUNICIPAIS DE SÃO JOÃO DA BOA VISTA - CREDIVISTA"/>
        <s v="COOPERATIVA DE CRÉDITO DOS CONTADORES, ADMINISTRADORES DE EMPRESAS, ECONOMISTAS E CORRETORES DE SEGUROS LTDA. - SICOOB CREDITABIL"/>
        <s v="MOVA SOCIEDADE DE EMPRÉSTIMO ENTRE PESSOAS S.A."/>
        <s v="COOPERATIVA DE ECONOMIA E CRÉDITO MÚTUO DOS EMPRESÁRIOS DE AMERICANA, LIMEIRA E REGIÃO - SICOOB ACICRED"/>
        <s v="99PAY SOCIEDADE DE CRÉDITO DIRETO S.A."/>
        <s v="CREFAZ SOCIEDADE DE CRÉDITO AO MICROEMPREENDEDOR E A EMPRESA DE PEQUENO PORTE S.A."/>
        <s v="CARTOS SOCIEDADE DE CRÉDITO DIRETO S.A."/>
        <s v="COOPERATIVA DE CRÉDITO MÚTUO DOS EMPREGADOS DO MAGAZINE LUIZA, EMPRESAS CONTROLADAS E COLIGADAS - COOPLUIZA"/>
        <s v="COOPERÁGUIA - COOPERATIVA DE ECONOMIA E CRÉDITO MÚTUO DOS EMPREGADOS DO GRUPO ÁGUIA BRANCA"/>
        <s v="SOCIEDADE DE CRÉDITO, FINANCIAMENTO E INVESTIMENTO EFÍ S.A."/>
        <s v="SIMPAUL CORRETORA DE CAMBIO E VALORES MOBILIARIOS  S.A."/>
        <s v="DIREÇÃO S.A. - SOCIEDADE DE CRÉDITO, FINANCIAMENTO E INVESTIMENTO"/>
        <s v="BK INSTITUIÇÃO DE PAGAMENTO S.A."/>
        <s v="CREDISIS/CREDISUL COOPERATIVA DE CRÉDITO"/>
        <s v="LIONS TRUST DISTRIBUIDORA DE TÍTULOS E VALORES MOBILIÁRIOS LTDA."/>
        <s v="AGÊNCIA DE FOMENTO DO ESTADO DO TOCANTINS S.A."/>
        <s v="COOPERATIVA DE ECONOMIA E CREDITO MUTUO DOS EMPREGADOS DAS EMPRESAS RANDON"/>
        <s v="SICOOB CREDICONSUMO - COOPERATIVA DE CRÉDITO"/>
        <s v="BANCO INDUSCRED DE INVESTIMENTO S.A."/>
        <s v="GALAPAGOS CAPITAL DISTRIBUIDORA DE TÍTULOS E VALORES MOBILIÁRIOS S.A."/>
        <s v="COOPERATIVA DE ECONOMIA E CRÉDITO MÚTUO DOS EMPREGADOS DO BANRISUL"/>
        <s v="COOPERATIVA DE ECONOMIA E CRÉDITO MÚTUO DOS SERVIDORES DA FUNDAÇÃO HOSPITALAR E EMPREGADOS DOS ESTABELECIMENTOS HOSPITALARES DE BELO HORIZONTE, REGIÃO METROPOLITANA E ZONA DA MATA LTDA.- SICOOB CECREF"/>
        <s v="HEMERA DISTRIBUIDORA DE TÍTULOS E VALORES MOBILIÁRIOS LTDA."/>
        <s v="AGÊNCIA DE FOMENTO DO ESTADO DE PERNAMBUCO S.A."/>
        <s v="COOPERATIVA DE ECONOMIA E CRÉDITO MÚTUO DOS SERVIDORES PÚBLICOS DO ESTADO DE SÃO PAULO - CREDIPAULISTA"/>
        <s v="COOPERATIVA DE CRÉDITO DE LIVRE ADMISSÃO DA REGIÃO SUL DO MARANHÃO - SICREDI SUL DO MARANHÃO"/>
        <s v="BANCO RNX S.A."/>
        <s v="ATTRUS INSTITUIÇÃO DE PAGAMENTO S/A"/>
        <s v="NUPAY FOR BUSINESS INSTITUICAO DE PAGAMENTO LTDA."/>
        <s v="COOPERATIVA DE CRÉDITO CLÁSSICA DOS EMPREGADOS DA VALE S/A E ENTIDADES VINCULADAS LTDA. - SICOOB COOPVALE"/>
        <s v="COOPERATIVA DE CREDITO SICOOB COOPEC LTDA."/>
        <s v="BANCO CEDULA S.A."/>
        <s v="HINOVA PAY INSTITUICAO DE PAGAMENTO S.A."/>
        <s v="FLAGSHIP INSTITUICAO DE PAGAMENTO LTDA"/>
        <s v="PINPAG INSTITUIÇÃO DE PAGAMENTO S.A."/>
        <s v="IFOOD PAGO SOCIEDADE DE CRÉDITO DIRETO S.A."/>
        <s v="ARTTA SOCIEDADE DE CRÉDITO DIRETO S.A"/>
        <s v="F &amp; F INSTITUICAO DE PAGAMENTO S. A."/>
        <s v="VALOR S/A SOCIEDADE DE CRÉDITO, FINANCIAMENTO E INVESTIMENTO"/>
        <s v="FINVEST DISTRIBUIDORA DE TÍTULOS E VALORES MOBILIÁRIOS LTDA."/>
        <s v="FINAXIS"/>
        <s v="COOPERATIVA DE ECONOMIA E CRÉDITO MÚTUO DOS FUNCIONÁRIOS DA CARGILL"/>
        <s v="COOPERATIVA DE ECONOMIA E CRÉDITO MÚTUO DOS EMPREGADOS DA CENTRAIS ELÉTRICAS DE SANTA CATARINA - CREDELESC"/>
        <s v="H H PICCHIONI S/A CORRETORA DE CAMBIO E VALORES MOBILIARIOS"/>
        <s v="SMART SOLUTIONS GROUP INSTITUICAO DE PAGAMENTO LTDA"/>
        <s v="ISSUER INSTITUICAO DE PAGAMENTO LTDA."/>
        <s v="COOPERATIVA DE ECONOMIA E CRÉDITO MÚTUO DO GRUPO BASF"/>
        <s v="INTEX BANK BANCO DE CÂMBIO S.A."/>
        <s v="COOPERATIVA DE CRÉDITO DE ITAPETININGA - SICOOB CRED-ACI"/>
        <s v="COOPERATIVA DE CRÉDITO MÚTUO DOS SERVIDORES PÚBLICOS - CREDI-SP"/>
        <s v="SBXPAY INSTITUIÇÃO DE PAGAMENTO LTDA"/>
        <s v="COOPERATIVA DE CAPITAL E EMPRÉSTIMO COOPERMULTICRED - COOPERMC"/>
        <s v="FORIS GFS BR INSTITUICAO DE PAGAMENTO LTDA"/>
        <s v="FUTURO SOCIEDADE DE CRÉDITO DIRETO S.A."/>
        <s v="KIWIFY INSTITUICAO DE PAGAMENTO LTDA"/>
        <s v="ECONOMISA COMPANHIA HIPOTECÁRIA."/>
        <s v="SOLFÁCIL SOCIEDADE DE CRÉDITO, FINANCIAMENTO E INVESTIMENTO S.A."/>
        <s v="CODEPE"/>
        <s v="CREDSYSTEM SOCIEDADE DE CRÉDITO DIRETO S.A."/>
        <s v="COOPERATIVA DE ECONOMIA E CREDITO MUTUO DOS MEDICOS E DEMAIS PROFISSIONAIS DA SAUDE DE JOACABA"/>
        <s v="COOPERATIVA DE ECONOMIA E CRÉDITO MÚTUO DOS EMPREGADOS DA MONDELEZ BRASIL E PHILIP MORRIS BRASIL - SICOOB COOPMOND"/>
        <s v="OM DISTRIBUIDORA DE TÍTULOS E VALORES MOBILIÁRIOS LTDA"/>
        <s v="LISTO INSTITUICAO DE PAGAMENTO LTDA"/>
        <s v="REMITLY CORRETORA DE CÂMBIO LTDA."/>
        <s v="GUITTA CORRETORA DE CAMBIO LTDA."/>
        <s v="COOPERATIVA DE ECONOMIA E CRÉDITO MÚTUO SICOOB CRED-ACILPA"/>
        <s v="CREDISIS COOPERUFPA - COOPERATIVA DE ECONOMIA E CRÉDITO MÚTUO DOS SERVIDORES PÚBLICOS FEDERAIS E ESTADUAIS E DAS ENTIDADES DE ENSINO COM SEUS RESPECTIVOS FUNCIONÁRIOS NO ESTADO DO PARÁ"/>
        <s v="AGÊNCIA DE FOMENTO DE ALAGOAS S.A."/>
        <s v="COOPERATIVA  ECONOMIA CRÉDITO MÚTUO  SERVS E EMPREGADOS PÚBLICOS MUNIC DE BELO HORIZONTE BETIM BRUMADINHO CONTAGEM IBIRITÉ NOVA LIMA RIBEIRÃO DAS NEVES SABARÁ SANTA LUZIA E VESPASIANO SICOOB CREDISERV"/>
        <s v="SANTS SOCIEDADE DE CRÉDITO DIRETO S.A."/>
        <s v="COOPERATIVA DE CRÉDITO RURAL DOS PLANTADORES DE CANA DE ALAGOAS"/>
        <s v="COOPERATIVA DE ECONOMIA E CRÉDITO MÚTUO DOS EMPREGADOS DO GRUPO COLORADO"/>
        <s v="AZUMI DISTRIBUIDORA DE TÍTULOS E VALORES MOBILIÁRIOS LTDA."/>
        <s v="GLOBAL EXCHANGE DO BRASIL SOCIEDADE CORRETORA DE CÂMBIO LTDA."/>
        <s v="HR DIGITAL - SOCIEDADE DE CRÉDITO DIRETO S/A"/>
        <s v="MONEYCORP BANCO DE CÂMBIO S.A."/>
        <s v="BT CORRETORA DE CÂMBIO LTDA."/>
        <s v="HEDGEPOINT GLOBAL MARKETS DISTRIBUIDORA DE TITULOS E VALORES MOBILIÁRIOS LTDA."/>
        <s v="J17 SCD - FINANCEIRO"/>
        <s v="SERVICOOP - COOPERATIVA DE CRÉDITO DOS SERVIDORES PÚBLICOS ESTADUAIS E MUNICIPAIS DO RIO GRANDE DO SUL"/>
        <s v="FFCRED SOCIEDADE DE CRÉDITO DIRETO S.A.."/>
        <s v="COOPERATIVA DE ECONOMIA E CREDITO MUTUO DOS FUNCIONARIOS DA COMIGO"/>
        <s v="INDEPENDÊNCIA COOPERATIVA DE CRÉDITO E INVESTIMENTO - INDEPENDÊNCIA COOPERATIVA DE CRÉDITO"/>
        <s v="GOLCRED S/A - CRÉDITO, FINANCIAMENTO E INVESTIMENTO"/>
        <s v="TAMBASA SOCIEDADE DE CRÉDITO DIRETO S.A."/>
        <s v="MW INSTITUICAO DE PAGAMENTO LTDA"/>
        <s v="LISTO SOCIEDADE DE CREDITO DIRETO S.A."/>
        <s v="CORRETORA GERAL DE VALORES E CÂMBIO LTDA"/>
        <s v="COOPERATIVA DE CRÉDITO MÚTUO DOS SERVIDORES FEDERAIS NA PARAÍBA - SICOOB COOPERCRET"/>
        <s v="COOPERATIVA DE CRÉDITO CREDICENTRO"/>
        <s v="ACTUAL DISTRIBUIDORA DE TÍTULOS E VALORES MOBILIÁRIOS S.A."/>
        <s v="BIGCASH SOCIEDADE DE CREDITO DIRETO S.A."/>
        <s v="VILLELA INSTITUICAO DE PAGAMENTO S/A."/>
        <s v="COOPERATIVA DE ECONOMIA E CRÉDITO MÚTUO DOS EMPREGADOS DO GRUPO SCHAEFFLER"/>
        <s v="MAX INSTITUIÇÃO DE PAGAMENTO LTDA"/>
        <s v="BSN PAGAMENTOS INSTITUIÇÃO DE PAGAMENTO LTDA"/>
        <s v="AZIMUT BRASIL DISTRIBUIDORA DE TÍTULOS E VALORES MOBILIÁRIOS LTDA"/>
        <s v="B3 INSTITUICAO DE PAGAMENTO LTDA"/>
        <s v="COOPERATIVA DE ECONOMIA E CRÉDITO MÚTUO DOS FUNCIONÁRIOS DA FUNDAÇÃO ZERBINI E DA FUNDAÇÃO FACULDADE DE MEDICINA (FFM) - COOPINCOR"/>
        <s v="COINVALORES CORRETORA DE CÂMBIO E VALORES MOBILIÁRIOS LTDA."/>
        <s v="SAFETYPAY BRASIL INSTITUICAO DE PAGAMENTO LTDA"/>
        <s v="COBANSA COMPANHIA HIPOTECARIA"/>
        <s v="COOPERATIVA    DE    ECONOMIA    E    CRÉDITO   MÚTUO  MINUANO"/>
        <s v="COOPERATIVA DE CRÉDITO MÚTUO DO ABC - COOPER 7"/>
        <s v="COOPERATIVA DE ECONOMIA E CRÉDITO MÚTUO DOS EMPREGADOS DA CBMM LTDA."/>
        <s v="COOPERATIVA DE ECONOMIA E CRÉDITO MÚTUO DOS SERVIDORES DA UNIVERSIDADE ESTADUAL DE CAMPINAS - COOPERUNICAMP"/>
        <s v="TTSCD SOCIEDADE DE CRÉDITO DIRETO S.A."/>
        <s v="PAYMEE BRASIL INSTITUIÇÃO DE PAGAMENTO S.A."/>
        <s v="MÉRITO DTVM - FINANCEIRO"/>
        <s v="INCO SOCIEDADE DE EMPRÉSTIMO ENTRE PESSOAS S.A."/>
        <s v="COOPERATIVA DE CRÉDITO MÚTUO DOS SERVIDORES DO MINISTERIO DA EDUCAÇÃO EM SÃO PAULO - COOPEMESP"/>
        <s v="SER FINANCE SOCIEDADE DE CRÉDITO DIRETO S.A."/>
        <s v="PAGSMILE INSTITUIÇÃO DE PAGAMENTO LTDA."/>
        <s v="WOH INSTITUICAO DE PAGAMENTO LTDA"/>
        <s v="FESTOR INSTITUIÇÃO DE PAGAMENTO LTDA."/>
        <s v="BPY CORRETORA DE CÂMBIO, TÍTULOS E VALORES MOBILIÁRIOS S.A."/>
        <s v="COMPREV - CRÉDITO, FINANCIAMENTO E INVESTIMENTO S.A."/>
        <s v="CORRETORA DE CÂMBIO AÇORIANA LIMITADA."/>
        <s v="COOPERATIVA DE CREDITO RURAL DE IBIAM - SULCREDI/IBIAM"/>
        <s v="F.D'GOLD - DISTRIBUIDORA DE TÍTULOS E VALORES MOBILIÁRIOS LTDA."/>
        <s v="BANCO PORTO REAL DE INVESTIMENTOS S.A"/>
        <s v="UNIDA DISTRIBUIDORA DE TÍTULOS E VALORES MOBILIÁRIOS LTDA."/>
        <s v="COOPERATIVA DE CRÉDITO DOS FORNECEDORES DE CANA DE BARRA BONITA E REGIÃO"/>
        <s v="VIVO PAY SOCIEDADE DE CRÉDITO DIRETO S.A."/>
        <s v="PAGHIPER INSTITUIÇAO DE PAGAMENTO LTDA."/>
        <s v="AWX BRASIL  INSTITUICAO DE PAGAMENTO LTDA"/>
        <s v="CRESERV CREDISIS - COOPERATIVA DE ECONOMIA E CRÉDITO MÚTUO DOS SERVIDORES PÚBLICOS DE PINHÃO"/>
        <s v="COOPERATIVA DE ECONOMIA E CRÉDITO MÚTUO DOS FUNCIONÁRIOS DA ERICSSON - COOPERICSSON"/>
        <s v="PROTOTYPE INSTITUICAO DE PAGAMENTO S.A."/>
        <s v="CLARO PAY S.A. - INSTITUIÇÃO DE PAGAMENTO"/>
        <s v="COOPERATIVA DE ECONOMIA E CRÉDITO MÚTUO DOS TRABALHADORES DA CIA. DE PROCESSAMENTO DE DADOS DO ESTADO DE SÃO PAULO - CREDIPRODESP"/>
        <s v="PINTOS S.A. CREDITO, FINANCIAMENTO E INVESTIMENTO"/>
        <s v="COOPERATIVA DE CRÉDITO SICOOB CREDMETAL"/>
        <s v="PAGOL SOCIEDADE DE CRÉDITO DIRETO S.A."/>
        <s v="CREDIFIT SOCIEDADE DE CRÉDITO DIRETO S.A."/>
        <s v="WASU - WALLET SUPPORT INSTITUIÇÃO DE PAGAMENTO LTDA"/>
        <s v="COOPERATIVA DE ECONOMIA E CRÉDITO MÚTUO DOS FUNCIONÁRIOS DA TETRA PAK"/>
        <s v="INTEGRAÇÃO DE CRÉDITO E COBRANÇA SOCIEDADE DE CRÉDITO DIRETO S.A."/>
        <s v="COOPERATIVA DE ECONOMIA E CRÉDITO MÚTUO DOS EMPREGADOS DAS EMPRESAS DO GRUPO ECONÔMICO RHODIA - CREDIRHODIA"/>
        <s v="COOPERATIVA DE ECONOMIA E CRÉDITO MÚTUO DOS COLABORADORES DO GRUPO EMPRESARIAL A COSTA LTDA."/>
        <s v="HARMOS S.A. - SOCIEDADE DE CRÉDITO, FINANCIAMENTO E INVESTIMENTO"/>
        <s v="CREBEL - COOPERATIVA DE ECONOMIA E CRÉDITO MÚTUO DOS COLABORADORES DAS EMPRESAS BELGO BEKAERT - CREBEL LTDA."/>
        <s v="COOPER BENEFICIOS INSTITUICAO DE PAGAMENTO LTDA"/>
        <s v="LINA INSTITUICAO DE PAGAMENTO S.A"/>
        <s v="COOPERATIVA DE CRÉDITO DOS MAGISTRADOS DO ESTADO DO RIO DE JANEIRO LTDA. - MAGICREDI-RJ"/>
        <s v="FARMTECH SOCIEDADE DE CRÉDITO DIRETO S.A."/>
        <s v="AGK CORRETORA DE CAMBIO S.A."/>
        <s v="CDC SOCIEDADE DE CRÉDITO DIRETO S.A."/>
        <s v="INICIADOR INSTITUICAO DE PAGAMENTO LTDA"/>
        <s v="VIS DISTRIBUIDORA DE TÍTULOS E VALORES MOBILIÁRIOS LTDA"/>
        <s v="BONUSPAGO SOCIEDADE DE CRÉDITO DIRETO S.A."/>
        <s v="COOPERATIVA DE CRÉDITO MÚTUO DOS SERVIDORES DA ASSEMBLEIA LEGISLATIVA DO ESTADO DE SÃO PAULO - COOPERALESP"/>
        <s v="BMS SOCIEDADE DE CRÉDITO DIRETO S.A."/>
        <s v="DELTA GLOBAL SOCIEDADE DE CRÉDITO DIRETO S.A."/>
        <s v="COOPERATIVA DE ECONOMIA E CRÉDITO MÚTUO DOS EMPREGADOS DAS EMPRESAS METALÚRGICAS DE MATÃO - METALCOOPERCRED"/>
        <s v="COOPERATIVA DE CRÉDITO COOPAÇO LTDA."/>
        <s v="WEALTH HIGH GOVERNANCE DISTRIBUIDORA DE TÍTULOS E VALORES MOBILIÁRIOS S.A."/>
        <s v="CASAS BAHIA PAY SOCIEDADE DE CRÉDITO DIRETO S.A."/>
        <s v="COOPERATIVA DE ECONOMIA E CRÉDITO MÚTUO DOS EMPREGADOS DAS EMPRESAS CONTROLADAS E COLIGADAS DA USINA SANTA ADELIA - USAGRO"/>
        <s v="V3 INSTITUICAO DE PAGAMENTO S.A."/>
        <s v="COOPERATIVA DE ECONOMIA E CRÉDITO MÚTUO DOS EMPREGADOS DA COMPANHIA BRASILEIRA DE ALUMÍNIO"/>
        <s v="LIMINE TRUST DISTRIBUIDORA DE TÍTULOS E VALORES MOBILIÁRIOS S.A."/>
        <s v="COLUNA S/A DISTRIBUIDORA DE TITULOS E VALORES MOBILIÁRIOS"/>
        <s v="A27 INSTITUICAO DE PAGAMENTOS S/A"/>
        <s v="HEDGE INVESTMENTS DISTRIBUIDORA DE TÍTULOS E VALORES MOBILIÁRIOS LTDA."/>
        <s v="COOPERATIVA DE ECONOMIA E CRÉDITO MÚTUO DOS FUNCIONÁRIOS DA VILLARES METALS"/>
        <s v="COOPERATIVA DE ECONOMIA E CRÉDITO MÚTUO DOS FUNCIONÁRIOS DO GRUPO OWENS-ILLINOIS DO BRASIL"/>
        <s v="BNK DIGITAL SOCIEDADE DE CRÉDITO DIRETO S.A."/>
        <s v="COOPERATIVA DE ECONOMIA E CRÉDITO MÚTUO DOS SERVIDORES DA PREFEITURA MUNICIPAL DE ORLÂNDIA - CRED SERV"/>
        <s v="GALLERIA - SOCIEDADE DE CRÉDITO DIRETO S/A"/>
        <s v="WNT CAPITAL DISTRIBUIDORA DE TÍTULOS E VALORES MOBILIÁRIOS S.A."/>
        <s v="CREDISIS COOPESA - COOPERATIVA DE ECONOMIA E CRÉDITO"/>
        <s v="KIKAI SOCIEDADE DE CRÉDITO DIRETO S.A."/>
        <s v="COOPERATIVA DE ECONOMIA E CRÉDITO MÚTUO DOS FUNCIONÁRIOS DO GRUPO JAL LTDA."/>
        <s v="BROKER BRASIL CORRETORA DE CÂMBIO LTDA."/>
        <s v="COOPERATIVA DE CRÉDITO DOS EMPREGADOS DA MINERAÇÃO RIO DO NORTE"/>
        <s v="ASAAS SOCIEDADE DE CRÉDITO, FINANCIAMENTO E INVESTIMENTO S.A."/>
        <s v="ASPENFIN-BR - SOCIEDADE DE CRÉDITO AO MICROEMPREENDEDOR E A EMPRESA DE PEQUENO PORTE LTDA."/>
        <s v="BOKU NETWORK BRASIL INSTITUICAO DE PAGAMENTO LTDA"/>
        <s v="SOCIAL BANK BANCO MÚLTIPLO S/A"/>
        <s v="UNLIMIT BRASIL INSTITUICAO DE PAGAMENTO LTDA"/>
        <s v="COOPERATIVA DE CRÉDITO DOS EMPREGADOS DE ELEVADORES ATLAS"/>
        <s v="MERCADO BITCOIN CORRETORA DE TÍTULOS E VALORES MOBILIÁRIOS S.A."/>
        <s v="COOPERATIVA DE ECONOMIA E CREDITO MUTUO DOS EMPREGADOS DE CHOCOLATES GAROTO LTDA. - CREDI-GAROTO"/>
        <s v="COOPERATIVA DE ECONOMIA E CRÉDITO MÚTUO DOS FUNCIONÁRIOS DA TICKET SERVIÇOS COMÉRCIO E ADMINISTRAÇÃO"/>
        <s v="COOPERATIVA DE ECONOMIA E CRÉDITO MÚTUO DOS COLABORADORES DA CEBRACE"/>
        <s v="COOPERATIVA DE ECONOMIA E CRÉDITO MÚTUO DOS EMPREGADOS DA CEMIG E DAS INDÚSTRIAS METALÚRGICAS E DE MATERIAL ELÉTRICO E DOS SERVIDORES PÚBLICOS MUNICIPAIS DE JUIZ DE FORA LTDA. - SICOOB CECREMEC"/>
        <s v="UNAVANTI SOCIEDADE DE CRÉDITO DIRETO S/A"/>
        <s v="TORRA SOCIEDADE DE CRÉDITO DIRETO S.A."/>
        <s v="FISERV SOCIEDADE DE CRÉDITO DIRETO S.A."/>
        <s v="COOPERATIVA DE CREDITO RURAL DE GUACUI - CREDIGUAÇUÍ"/>
        <s v="COOPERATIVA DE CRÉDITO DOS SERVIDORES PÚBLICOS MUNICIPAIS DA GRANDE VITÓRIA/ES"/>
        <s v="A55 SOCIEDADE DE CRÉDITO DIRETO S.A."/>
        <s v="OPPORTUNITY DISTRIBUIDORA DE TÍTULOS E VALORES MOBILIÁRIOS LTDA"/>
        <s v="COOPERATIVA DE ECONOMIA E CRÉDITO MÚTUO DOS SERVIDORES PÚBLICOS MUNICIPAIS EM JOÃO MONLEVADE LTDA. - COPREMON"/>
        <s v="COOPERATIVA DE ECONOMIA E CRÉDITO MÚTUO DOS EMPREGADOS DO GRUPO SBF LTDA. - COOPER ATIVA SBF"/>
        <s v="COOPERATIVA DE ECONOMIA E CRÉDITO MÚTUO DOS FUNCIONÁRIOS PÚBLICOS MUNICIPAIS DE ITAPIRA - CREDITA"/>
        <s v="OSLO CAPITAL DISTRIBUIDORA DE TÍTULOS E VALORES MOBILIÁRIOS S.A"/>
        <s v="LEND SOCIEDADE DE CRÉDITO DIRETO S.A."/>
        <s v="BULLLA IP - FINANCEIRO"/>
        <s v="ATF SOCIEDADE DE CRÉDITO DIRETO S.A."/>
        <s v="COOPERATIVA DE CRÉDITO MÚTUO DOS POLICIAIS FEDERAIS E SERVIDORES PÚBLICOS NO ESPÍRITO SANTO - CREDFEDERAL"/>
        <s v="EXIM CORRETORA DE CAMBIO LTDA"/>
        <s v="MICROCASH SOCIEDADE DE CRÉDITO AO MICROEMPREENDEDOR E À EMPRESA DE PEQUENO PORTE LTDA."/>
        <s v="COOPERATIVA DE ECONOMIA E CRÉDITO MÚTUO DOS EMPREGADOS DA SAMARCO MINERAÇÃO S.A. LTDA - CREDISAM"/>
        <s v="COOPERATIVA DE ECONOMIA E CRÉDÍTO MÚTUO DOS FUNCIONÁRIOS DA MWM TUPY DO BRASIL"/>
        <s v="FAMÍLIA PAULISTA COMPANHIA HIPOTECÁRIA"/>
        <s v="COOPERATIVA DE ECONOMIA E CRÉDITO MÚTUO DOS EMPREGADOS DA UNIÃO MARISTA DO BRASIL E SUAS ASSOCIADAS, PROVÍNCIA MARISTA BRASIL CENTRO-NORTE E UNIÃO BRASILEIRA DE EDUCAÇÃO CATÓLICA."/>
        <s v="NIXFIN SOCIEDADE DE CRÉDITO DIRETO S.A."/>
        <s v="UP.P SOCIEDADE DE EMPRÉSTIMO ENTRE PESSOAS S.A."/>
        <s v="COOPERATIVA DE CRÉDITO DOS SERVIDORES PÚBLICOS MUNICIPAIS DE TIMÓTEO LTDA. - COOPERTIM"/>
        <s v="LEVYCAM - CORRETORA DE CAMBIO E VALORES LTDA."/>
        <s v="IDEA MAKER INSTITUICAO DE PAGAMENTO LTDA"/>
        <s v="PAGARE INSTITUICAO DE PAGAMENTO S.A."/>
        <s v="FIDD DISTRIBUIDORA DE TÍTULOS E VALORES MOBILIÁRIOS LTDA."/>
        <s v="PAGPRIME INSTITUICAO DE PAGAMENTO LTDA"/>
        <s v="COOPERATIVA DE CRÉDITO COOPHARMA"/>
        <s v="COOPERATIVA DE ECONOMIA E CRÉDITO MÚTUO DOS EMPREGADOS DO SISTEMA FIERGS - CRESUL"/>
        <s v="MAG INSTITUICAO DE PAGAMENTO LTDA"/>
        <s v="COOPERATIVA DE ECONOMIA E CRÉDITO MÚTUO DOS SERVIDORES MUNICIPAIS DE POÇOS DE CALDAS LTDA. - COOPOÇOS"/>
        <s v="FACEBOOK INSTITUIÇÃO DE PAGAMENTO DO BRASIL LTDA."/>
        <s v="PARTNER INSTITUIÇÃO DE PAGAMENTO S.A."/>
        <s v="OZ CORRETORA DE CÂMBIO S.A."/>
        <s v="AGENCIA DE FOMENTO DO AMAPA S.A."/>
        <s v="COOPERATIVA DE ECONOMIA E CRÉDITO MÚTUO DOS FUNCIONÁRIOS DA ASTRAZENECA DO BRASIL"/>
        <s v="BEETELLER INSTITUIÇÃO DE PAGAMENTO LTDA."/>
        <s v="RJI CORRETORA DE TITULOS E VALORES MOBILIARIOS LTDA"/>
        <s v="COOPERATIVA DE ECONOMIA E CREDITO MUTUO DOS EMPREGADOS DE ELEVADORES ATLAS SCHINDLER LTDA."/>
        <s v="BARU"/>
        <s v="DILLON S/A DISTRIBUIDORA DE TITULOS E VALORES MOBILIARIOS"/>
        <s v="COOPERATIVA DE CRÉDITO E SERVIÇOS FINANCEIROS DE CURITIBA E REGIÃO METROPOLITANA"/>
        <s v="TRINUS"/>
        <s v="COOPERATIVA DE ECONOMIA E CRÉDITO MÚTUO DOS EMPREGADOS DO GRUPO BAYER E EMPRESAS QUÍMICAS E FARMACÊUTICAS DO ESTADO DO RIO DE JANEIRO LTDA."/>
        <s v="WE PAY OUT INSTITUICAO DE PAGAMENTO LTDA."/>
        <s v="COOPERATIVA DE ECONOMIA E CRÉDITO MÚTUO DOS APOSENTADOS, PENSIONISTAS E IDOSOS - SICOOB COOPERNAPI"/>
        <s v="COOPERATIVA DE ECONOMIA E CRÉDITO MÚTUO DOS EMPREGADOS DA NOVELIS"/>
        <s v="RIO BRAVO INVESTIMENTOS - DISTRIBUIDORA DE TÍTULOS E VALORES MOBILIÁRIOS LTDA."/>
        <s v="BELVO INSTITUICAO DE PAGAMENTO LTDA"/>
        <s v="ZM SOCIEDADE DE CRÉDITO DIRETO S.A."/>
        <s v="CONPAY INSTITUIÇÃO DE PAGAMENTO E TECNOLOGIA S.A"/>
        <s v="INTEGRAL ACCESS DISTRIBUIDORA DE TÍTULOS E VALORES MOBILIÁRIOS LTDA."/>
        <s v="SISPAY INSTITUIÇÃO DE PAGAMENTO LTDA."/>
        <s v="COOPERATIVA DE ECONOMIA E CRÉDITO MÚTUO DOS SERVIDORES PÚBLICOS DOS PODERES EXECUTIVOS NO ESTADO DO ESPÍRITO SANTO"/>
        <s v="INVEST SOCIEDADE CORRETORA DE CÂMBIO LTDA."/>
        <s v="COOPERATIVA DE ECONOMIA E CRÉDITO MÚTUO DOS MEMBROS DO MINISTÉRIO PÚBLICO DE SÃO PAULO - PROMOCRED"/>
        <s v="QUADRA SOCIEDADE DE CRÉDITO DIRETO S.A."/>
        <s v="INSTITUIÇÃO DE PAGAMENTOS MAPS LTDA."/>
        <s v="ATICCA - SOCIEDADE DE CRÉDITO DIRETO S.A."/>
        <s v="EWALLY INSTITUIÇÃO DE PAGAMENTO S.A."/>
        <s v="COOPERATIVA DE ECONOMIA E CRÉDITO MÚTUO DOS SERVIDORES PÚBLICOS DA REGIÃO METROPOLITANA DE BELÉM - CREDISIS CREDBEM METROPOLITANA"/>
        <s v="ZIPDIN SOLUÇÕES DIGITAIS SOCIEDADE DE CRÉDITO DIRETO S/A"/>
        <s v="ALL IN CRED SOCIEDADE DE CREDITO DIRETO S.A."/>
        <s v="APROMS NET INSTITUICAO DE PAGAMENTO LTDA."/>
        <s v="COOPERATIVA DE ECONOMIA E CRÉDITO MÚTUO DOS  EMPREGADOS DA TUPY MINAS GERAIS LTDA. E NEMAK ALUMÍNIO DO BRASIL LTDA."/>
        <s v="LOAN BRASIL SOCIEDADE DE CRÉDITO DIRETO S.A."/>
        <s v="INTERCAM CORRETORA DE CÂMBIO LTDA."/>
        <s v="COOPERATIVA DE CRÉDITO E INVESTIMENTO COM INTERAÇÃO SOLIDÁRIA DE TOLEDO E REGIÃO - CRESOL PRIMATO CREDI"/>
        <s v="G5 SOCIEDADE DE CRÉDITO DIRETO S.A."/>
        <s v="COOPERATIVA DE ECONOMIA E CRÉDITO MÚTUO DOS EMPREGADOS DA CONFAB"/>
        <s v="GLOBAL FINANÇAS SOCIEDADE DE CRÉDITO AO MICROEMPREENDEDOR E À EMPRESA DE PEQUENO PORTE LTDA."/>
        <s v="COOPERATIVA DE CRÉDITO MÚTUO DOS EMPREGADOS DA SKF E COLIGADAS"/>
        <s v="HBI SOCIEDADE DE CRÉDITO DIRETO S/A."/>
        <s v="ACTIVTRADES CORRETORA DE CÂMBIO, TÍTULOS E VALORES MOBILIÁRIOS LTDA."/>
        <s v="LEV DISTRIBUIDORA DE TÍTULOS E VALORES MOBILIÁRIOS LTDA."/>
        <s v="ONCRED - SOCIEDADE DE CRÉDITO DIRETO S.A."/>
        <s v="COOPERATIVA DE ECONOMIA E CRÉDITO MÚTUO DOS FUNCIONÁRIOS DO FLEURY"/>
        <s v="COOPERATIVA DE ECONOMIA E CRÉDITO MÚTUO DOS FUNCIONÁRIOS DO GRUPO COMOLATTI - SÃO PAULO"/>
        <s v="DAUX SOCIEDADE DE CRÉDITO DIRETO S.A."/>
        <s v="LABOR SOCIEDADE CORRETORA DE CÂMBIO LTDA."/>
        <s v="COOPERATIVA DE ECONOMIA E CRÉDITO MÚTUO DOS FUNCIONÁRIOS DA BOMBRIL"/>
        <s v="BFC SOCIEDADE DE CRÉDITO DIRETO S.A."/>
        <s v="COOPERATIVA DE ECONOMIA E CRÉDITO MÚTUO DOS PETROLEIROS NO ESTADO DE MINAS GERAIS LTDA. - COPETRO"/>
        <s v="COOPERATIVA DE ECONOMIA E CREDITO MUTUO DOS SERVIDORES ESTATUTARIOS DA ADMINISTRAÇÃO DIRETA DO ESTADO DO ESPIRITO SANTO - COOPSERVIDOR ES"/>
        <s v="COOPERATIVA DE ECONOMIA E CREDITO MUTUO JOHN F. KENNEDY LTDA"/>
        <s v="PAY BROKERS IP INSTITUICAO DE PAGAMENTO LTDA."/>
        <s v="GERU SOCIEDADE DE CRÉDITO DIRETO S.A."/>
        <s v="CREDJUST - COOPERATIVA DE CRÉDITO MÚTUO DOS INTEGRANTES DA JUSTIÇA DO TRABALHO DA 13- REGIÃO LTDA."/>
        <s v="AMARIL FRANKLIN CORRETORA DE TÍTULOS E VALORES LTDA"/>
        <s v="DGBK CREDIT S.A. - SOCIEDADE DE CRÉDITO DIRETO."/>
        <s v="UZZIPAY INSTITUIÇÃO DE PAGAMENTO S.A."/>
        <s v="DUFRIO FINANCEIRA, CRÉDITO, FINANCIAMENTO E INVESTIMENTOS S.A."/>
        <s v="MULTICRED SOCIEDADE DE CRÉDITO DIRETO S.A."/>
        <s v="BR-CAPITAL DISTRIBUIDORA DE TÍTULOS E VALORES MOBILIÁRIOS S.A."/>
        <s v="COOPERATIVA DE CRÉDITO MÚTUO DOS EMPREGADOS DA PILKINGTON BRASIL"/>
        <s v="COOPERATIVA DE ECONOMIA E CRÉDITO MÚTUO DOS EMPREGADOS DA JOYSON SAFETY SYSTEMS - COOPERJSS"/>
        <s v="SCB CRÉDITO SOCIEDADE DE CRÉDITO AO MICROEMPREENDEDOR E À EMPRESA DE PEQUENO PORTE LTDA."/>
        <s v="FONTECRED - SOCIEDADE DE CRÉDITO DIRETO S/A"/>
        <s v="COOPERATIVA DE CRÉDITO RURAL DOS PLANTADORES DE CANA DA REGIÃO DE IGARAPAVA"/>
        <s v="H.COMMCOR DISTRIBUIDORA DE TÍTULOS E VALORES MOBILIÁRIOS LTDA."/>
        <s v="CREDI-SHOP - SOCIEDADE DE CRÉDITO DIRETO S.A."/>
        <s v="HSCM - SOCIEDADE DE CRÉDITO AO MICROEMPREENDEDOR E À EMPRESA DE PEQUENO PORTE LTDA."/>
        <s v="SOCIALCRED S/A - SOCIEDADE DE CRÉDITO AO MICROEMPREENDEDOR E À EMPRESA DE PEQUENO PORTE"/>
        <s v="COOPERATIVA DE ECONOMIA E CRÉDITO MÚTUO DOS FABRICANTES DE CALÇADOS DE SAPIRANGA LTDA."/>
        <s v="COOPERATIVA DE ECONOMIA E CRÉDITO MÚTUO DOS FUNCIONÁRIOS DA ELGIN"/>
        <s v="COOPERATIVA DE ECONOMIA E CRÉDITO MÚTUO DOS SERVIDORES DA SECRETARIA DE DEFESA SOCIAL DO ESTADO DE MINAS GERAIS LTDA. - COOPSESP"/>
        <s v="MAGNUM SOCIEDADE DE CRÉDITO DIRETO S.A."/>
        <s v="BM4 SOCIEDADE DE CRÉDITO DIRETO S.A."/>
        <s v="COOPERATIVA DE ECONOMIA E CRÉDITO MÚTUO DOS FUNCIONÁRIOS DA FACULDADE DE CIÊNCIAS AGRÁRIAS E VETERINÁRIAS - CAMPUS DE JABOTICABAL/SP - COOPERFAC"/>
        <s v="COOPERATIVA DE ECONOMIA E CRÉDITO MÚTUO DOS SERVIDORES DO DISTRITO FEDERAL LTDA. - COOSERVCRED"/>
        <s v="SOCRED S.A. - SOCIEDADE DE CRÉDITO AO MICROEMPREENDEDOR E À EMPRESA DE PEQUENO PORTE"/>
        <s v="PAYFACE INSTITUICAO DE PAGAMENTO S.A."/>
        <s v="VBS SOCIEDADE DE CRÉDITO DIRETO S.A."/>
        <s v="COOPERATIVA DE ECONOMIA E CRÉDITO MÚTUO DOS TRABALHADORES NAS INDÚSTRIAS DE EXTRAÇÃO DE FERRO E METAIS BÁSICOS DA REGIÃO DE CONGONHAS LTDA. - COOFERSE"/>
        <s v="COOPERATIVA DE ECONOMIA E CRÉDITO MÚTUO DOS SERVIDORES DA EMPRESA BRASILEIRA DE CORREIOS E TELÉGRAFOS E EMPRESAS DE LOGÍSTICA DE ENTREGAS DE ENCOMENDAS LTDA."/>
        <s v="TRADERS DISTRIBUIDORA DE TÍTULOS E VALORES MOBILIÁRIOS LTDA."/>
        <s v="COOPERATIVA DE CRÉDITO MÚTUO DOS SERVIDORES DA SEGURANÇA PÚBLICA DE SÃO PAULO - CREDIAFAM"/>
        <s v="COOPERATIVA DE ECONOMIA E CRÉDITO MÚTUO DOS FUNCIONÁRIOS DA MORLAN - CRED MORLAN"/>
        <s v="NDD INSTITUICAO DE PAGAMENTO LTDA"/>
        <s v="UNICRED DISTRIBUIDORA DE TITULOS E VALORES MOBILIARIOS LTDA"/>
        <s v="CRETOVALE - COOPERATIVA DE ECONOMIA E CRÉDITO MÚTUO DOS TRABALHADORES DA VALE"/>
        <s v="TRANSFERO INSTITUICAO DE PAGAMENTO LTDA."/>
        <s v="COOPERATIVA DE ECONOMIA E CRÉDITO MÚTUO DOS SERVIDORES DA FACULDADE DE ENGENHARIA DE ILHA SOLTEIRA - COOPERFEIS"/>
        <s v="NOSSA TERRA BRASIL COOPERATIVA DE CRÉDITO"/>
        <s v="COOPERATIVA DE ECONOMIA E CRÉDITO MÚTUO DOS FUNCIONÁRIOS DO GRUPO LORENZETTI"/>
        <s v="KLAVI INSTITUIÇÃO DE PAGAMENTO E GESTÃO DE DADOS LTDA."/>
        <s v="COOPERATIVA DE ECONOMIA E CRÉDITO MÚTUO DOS EMPREGADOS DA SAINT-GOBAIN DO BRASIL PRODUTOS INDUSTRIAIS E PARA CONSTRUÇÃO - DIVISÃO VIDRO PLANO"/>
        <s v="COOPERATIVA DE ECONOMIA E CRÉDITO MÚTUO ALIANÇA - COOPERNITRO"/>
        <s v="GET MONEY SOCIEDADE CORRETORA DE CÂMBIO S.A."/>
        <s v="GO SOCIEDADE DE CRÉDITO DIRETO S.A."/>
        <s v="PENTAGONO S/A DISTRIBUIDORA DE TITULOS E VALORES MOBILIARIOS"/>
        <s v="DAPPER - SOCIEDADE DE CRÉDITO DIRETO S/A"/>
        <s v="LB PAY INSTITUIÇÃO DE PAGAMENTO LTDA"/>
        <s v="COOPSEBRAE - COOPERATIVA DE CRÉDITO MÚTUO DOS EMPREGADOS DO SEBRAE/PB, SEBRAE/RN, SESC/PB, SENAC/PB, SENAR/PB, SENAR/RN E FAEPA/PB"/>
        <s v="COOPERATIVA DE ECONOMIA E CRÉDITO MÚTUO DOS EMPREGADOS DO GRUPO TELEFÔNICA"/>
        <s v="SQUID SOCIEDADE DE CRÉDITO DIRETO S.A."/>
        <s v="COOPERATIVA DE ECONOMIA E CRÉDITO MÚTUO DOS FUNCIONÁRIOS DAS EMPRESAS DO GRUPO DANA - COOPDANA"/>
        <s v="NUMBRS SOCIEDADE DE CRÉDITO DIRETO S.A."/>
        <s v="INTRA INVESTIMENTOS DISTRIBUIDORA DE TÍTULOS E VALORES MOBILIÁRIOS LTDA"/>
        <s v="BCP SECURITIES DISTRIBUIDORA DE TÍTULOS E VALORES MOBILIÁRIOS LTDA."/>
        <s v="SENSO CORRETORA DE CAMBIO E VALORES MOBILIARIOS S.A"/>
        <s v="COOPERATIVA DE ECONOMIA E CRÉDITO MÚTUO DOS FUNCIONÁRIOS DAS EMPRESAS DE CERÂMICA - COOPASPACER"/>
        <s v="EXECUTIVE SOCIEDADE CORRETORA DE CÂMBIO LTDA."/>
        <s v="BRX SOCIEDADE CORRETORA DE CÂMBIO LTDA."/>
        <s v="FIDEM SOCIEDADE DE CRÉDITO DIRETO S/A"/>
        <s v="ATLANTA SOCIEDADE DE CRÉDITO AO MICROEMPREENDEDOR LTDA"/>
        <s v="COOPERATIVA DE ECONOMIA E CRÉDITO MÚTUO DOS EMPREGADOS DA MOSAIC FERTILIZANTES DE UBERABA - COPERURA LTDA."/>
        <s v="COOPERATIVA DE ECONOMIA E CRÉDITO MÚTUO DOS EMPREGADOS DA EATON"/>
        <s v="BANSUR JM SOCIEDADE DE CRÉDITO DIRETO S/A"/>
        <s v="TROCKA CORRETORA DE CAMBIO LTDA."/>
        <s v="COOPERATIVA DE ECONOMIA E CREDITO MUTUO DOS EMPREGADOS DAS EMPRESAS DE TRANSPORTES COLETIVOS RODOVIÁRIOS DE PASSAGEIROS DO GRANDE RIO LTDA"/>
        <s v="GLOBAL INVESTMENT SERVICES DISTRIBUIDORA DE TÍTULOS E VALORES MOBILIÁRIOS LTDA."/>
        <s v="COOPERATIVA DE ECONOMIA E CREDITO MÚTUO DOS PROFESSORES ESTADUAIS DA REGIÃO METROPOLITANA DE PORTO ALEGRE - EDUCREDI"/>
        <s v="FOURTRADE CORRETORA DE CÂMBIO LTDA."/>
        <s v="COOPERATIVA DE CRÉDITO DOS EMPREGADOS DA COMPANHIA INDUSTRIAL CATAGUASES E DA BAUMINAS - COOPECIC"/>
        <s v="COOPERATIVA DE ECONOMIA E CRÉDITO MÚTUO DOS EMPREGADOS DAS INDÚSTRIAS UNILEVER DO BRASIL"/>
        <s v="COOPERATIVA DE ECONOMIA E CRÉDITO MÚTUO DOS EMPREGADOS DA MAGNESITA REFRATÁRIOS S.A. LTDA. - CECREM"/>
        <s v="PALMA SOCIEDADE DE CRÉDITO DIRETO S.A."/>
        <s v="COOPERATIVA DE CRÉDITO MÚTUO DOS FUNCIONÁRIOS DA RICLAN"/>
        <s v="TURCÂMBIO - SOCIEDADE CORRETORA DE CÂMBIO LTDA."/>
        <s v="MONOPÓLIO CORRETORA DE CÂMBIO LTDA."/>
        <s v="COOPERATIVA DE ECONOMIA E CRÉDITO MÚTUO DOS FUNCIONÁRIOS DAS EMPRESAS ITAÚ"/>
        <s v="TINO SOCIEDADE DE CRÉDITO DIRETO S.A."/>
        <s v="NIKOS DISTRIBUIDORA DE TÍTULOS E VALORES MOBILIÁRIOS LTDA."/>
        <s v="RAPIDIUM SOCIEDADE DE CRÉDITO AO MICROEMPREENDEDOR E À EMPRESA DE PEQUENO PORTE S.A."/>
        <s v="COOPERATIVA DE ECONOMIA E CRÉDITO MÚTUO DOS FUNCIONÁRIOS DO GRUPO MAUÁ E EMPRESAS COLIGADAS LTDA. - COOPMAUÁ"/>
        <s v="BOA VIAGEM SOCIEDADE CORRETORA DE CÂMBIO LTDA."/>
        <s v="COOPERATIVA DE CRÉDITO MÚTUO DOS EMPREGADOS DA FIAÇÃO ALPINA - COOPERALPINA"/>
        <s v="LEND INSTITUICAO DE PAGAMENTO LTDA"/>
        <s v="WX INSTITUICAO DE PAGAMENTO LTDA"/>
        <s v="MONERY INSTITUICAO DE PAGAMENTO S.A."/>
        <s v="ATUAL SOCIEDADE CORRETORA DE CÂMBIO LTDA"/>
        <s v="VUE INSTITUIÇÃO DE PAGAMENTO S.A."/>
        <s v="MONETARIE SOCIEDADE DE CRÉDITO DIRETO S.A."/>
        <s v="A COOPERATIVA DE ECONOMIA E CRÉDITO MÚTUO DOS FUNCIONÁRIOS DA BRAZIL GR LTDA."/>
        <s v="ARC CORRETORA DE CAMBIO, ASSOCIADOS GOUVEIA, CAMPEDELLI S.A."/>
        <s v="LASTRO RDV DISTRIBUIDORA DE TÍTULOS E VALORES MOBILIÁRIOS LTDA."/>
        <s v="PERCAPITAL SOCIEDADE DE CRÉDITO DIRETO S.A."/>
        <s v="CATÁLISE DISTRIBUIDORA DE TÍTULOS E VALORES MOBILIÁRIOS LTDA"/>
        <s v="COOPERATIVA DE CRÉDITO MÚTUO DOS FUNCIONÁRIOS DAS EMPRESAS FERROVIÁRIAS NO ESTADO DE SÃO PAULO"/>
        <s v="COOPERATIVA DE ECONOMIA E CREDITO MUTUO DOS SERVIDORES MUNICIPAIS DO SUL FLUMINENSE LTDA."/>
        <s v="COOPERATIVA DE ECONOMIA E CRÉDITO MÚTUO DOS EMPREGADOS DA CNC, SESC E SENAC ADMINISTRAÇÕES NACIONAIS LTDA."/>
        <s v="COOPERATIVA DE ECONOMIA E CRÉDITO MÚTUO DOS FUNCIONÁRIOS DAS EMPRESAS MELHORAMENTOS DE SÃO PAULO - COOPERMEL"/>
        <s v="SRM DISTRIBUIDORA DE TÍTULOS E VALORES MOBILIÁRIOS LTDA."/>
        <s v="COOPERATIVA DE ECONOMIA E CREDITO MUTUO DOS EMPREGADOS DOS LABORATORIOS B.BRAUN LTDA"/>
        <s v="GUARDIAN SOCIEDADE DE CRÉDITO DIRETO S.A."/>
        <s v="CUMBUCA INSTITUIÇÃO DE PAGAMENTO LTDA."/>
        <s v="EFX CORRETORA DE CÂMBIO LTDA."/>
        <s v="DASCAM SOCIEDADE CORRETORA DE CÂMBIO LTDA."/>
        <s v="COOPERATIVA DE ECONOMIA E CRÉDITO MÚTUO DOS EMPREGADOS DA RECKITT BENCKISER"/>
        <s v="APUSDIGITAL INSTITUICAO DE PAGAMENTO LTDA"/>
        <s v="BRCONDOS SOCIEDADE DE CRÉDITO DIRETO S.A."/>
        <s v="COOPERATIVA DE CRÉDITO DOS BANCÁRIOS DE SÃO PAULO E MUNICÍPIOS LIMÍTROFES"/>
        <s v="GURU CORRETORA DE TÍTULOS E VALORES MOBILIÁRIOS LTDA."/>
        <s v="COOPERATIVA DE CRÉDITO DOS METALÚRGICOS DO ABC - CREDABC"/>
        <s v="COOPERATIVA DE ECONOMIA E CRÉDITO MÚTUO DOS FUNCIONÁRIOS DO GRUPO GERDAU - AÇOS FINOS PIRATINI"/>
        <s v="SAYGO CORRETORA DE CÂMBIO S.A."/>
        <s v="IUPI INSTITUICAO DE PAGAMENTO S.A."/>
        <s v="QORE DISTRIBUIDORA DE TITULOS E VALORES MOBILIÁRIOS LTDA"/>
        <s v="FINLEV SOCIEDADE DE CRÉDITO DIRETO S.A."/>
        <s v="COOPERATIVA DE ECONOMIA E CREDITO MUTUO DOS SERVIDORES PUBLICOS MUNICIPAIS DE PORTO ALEGRE"/>
        <s v="COOPERATIVA DE ECONOMIA E CRÉDITO MÚTUO DOS SERVIDORES DA UNESP - COOPUNESP"/>
        <s v="COOPERATIVA DE ECONOMIA E CRÉDITO MÚTUO DOS FUNCIONÁRIOS DA SELENE"/>
        <s v="CV INVESTIMENTOS DISTRIBUIDORA DE TÍTULOS E VALORES MOBILIÁRIOS LTDA."/>
        <s v="COOPERATIVA DE CRÉDITO DOS EMPREGADOS DO GRUPO AKZO NOBEL BRASIL - COOP AKZONOBEL"/>
        <s v="COOPERATIVA DE CRÉDITO DOS SERVIDORES DO MUNICIPIO DE SANTO ANDRÉ - SP - CECRESA"/>
        <s v="VUON SOCIEDADE DE CRÉDITO DIRETO S.A."/>
        <s v="PÓLOCRED   SOCIEDADE DE CRÉDITO AO MICROEMPREENDEDOR E À EMPRESA DE PEQUENO PORTE LTDA."/>
        <s v="NVIO BRASIL SOCIEDADE DE CRÉDITO DIRETO S.A."/>
        <s v="FIRST SOCIEDADE DE CRÉDITO DIRETO S.A."/>
        <s v="RV2 SOCIEDADE DE EMPRÉSTIMO ENTRE PESSOAS S.A."/>
        <s v="COOPERATIVA DE ECONOMIA E CRÉDITO MÚTUO DOS COLABORADORES DA COOPEDER LTDA - COOPCREDER"/>
        <s v="FINAZO SOCIEDADE DE CRÉDITO DIRETO S.A."/>
        <s v="COOPERATIVA DE ECONOMIA E CRÉDITO MÚTUO DOS EMPREGADOS DE ESTABELECIMENTOS HOSPITALARES DO SUL DO ESTADO DO ESPÍRITO SANTO"/>
        <s v="CREDPAR - SOCIEDADE DE CRÉDITO DIRETO S/A"/>
        <s v="COOPERATIVA DE ECONOMIA E CRÉDITO MÚTUO DOS EMPREGADOS DA PRODAM/SP - CREDIPRODAM"/>
        <s v="PAGBRASIL TECNOLOGIA INSTITUIÇÃO DE PAGAMENTO LTDA."/>
        <s v="BEZZ SOCIEDADE DE CRÉDITO DIRETO S.A."/>
        <s v="MH SOCIEDADE DE CRÉDITO DIRETO S.A."/>
        <s v="QUEROCRED SOCIEDADE DE CRÉDITO DIRETO S.A."/>
        <s v="P R DO BRASIL INSTITUICAO DE PAGAMENTOS LTDA"/>
        <s v="CAROL DISTRIBUIDORA DE TITULOS E VALORES MOBILIARIOS LTDA."/>
        <s v="TBANKS INSTITUICAO DE PAGAMENTO SA"/>
        <s v="GIRO - SOCIEDADE DE CRÉDITO DIRETO S/A"/>
        <s v="CASA DO CRÉDITO S.A. SOCIEDADE DE CRÉDITO AO MICROEMPREENDEDOR"/>
        <s v="BRCARD SOCIEDADE DE CRÉDITO DIRETO S/A"/>
        <s v="BAMAQ CAPITAL - SOCIEDADE DE CRÉDITO DIRETO S/A"/>
        <s v="PERSONAL SOCIEDADE DE CRÉDITO DIRETO S.A."/>
        <s v="PROFITTO - SOCIEDADE DE CRÉDITO AO MICROEMPREENDEDOR E À EMPRESA DE PEQUENO PORTE LTDA."/>
        <s v="COOPERATIVA DE ECONOMIA E CRÉDITO MÚTUO DOS FUNCIONÁRIOS DA ACUMENT BRASIL"/>
        <s v="COOPERATIVA DE ECONOMIA E CREDITO MUTUO DOS FUNCIONARIOS DO EXPRESSO PRINCESA DOS CAMPOS"/>
        <s v="COOPERATIVA DE CRÉDITO MÚTUO DOS SERVIDORES DE ÓRGAOS GESTORES DE RECURSOS HÍDRICOS DO ESTADO DE SÃO PAULO - COOPERHIDRO"/>
        <s v="COOPERATIVA DE ECONOMIA E CREDITO MUTUO DOS SERVIDORES DA ASCAR/EMATER-RS LTDA-CRESAL"/>
        <s v="COOPERATIVA DE CRÉDITO MÚTUO DOS FUNCIONÁRIOS DA FIEPB, SESI, SENAI, IEL E DO CONDOMÍNIO EDIFÍCIO AGOSTINHO VELLOSO DA SILVEIRA (CEAVS  - CREDFISP LTDA."/>
        <s v="COOPERATIVA DE ECONOMIA E CREDITO MUTUO DOS SERVIDORES DA UERJ LTDA. - COOPUERJ"/>
        <s v="DOURADA CORRETORA DE CÂMBIO LTDA."/>
        <s v="MUEVY INSTITUICAO DE PAGAMENTO SA"/>
        <s v="VIPS CORRETORA DE CÂMBIO S.A."/>
        <s v="COOPERATIVA DE ECONOMIA E CRÉDITO MÚTUO DOS FUNCIONÁRIOS DA USINA SANTA MARIA - PILONCRED"/>
        <s v="HR SOCIEDADE DE CRÉDITO AO MICROEMPREENDEDOR E À EMPRESA DE PEQUENO PORTE LTDA."/>
        <s v="BIT SOCIEDADE DE CRÉDITO DIRETO S.A."/>
        <s v="COOPSERJ - COOPERATIVA DE CRÉDITO MÚTUO DOS SERVIDORES PÚBLICOS DO PODER EXECUTIVO DO ESTADO DO RIO DE JANEIRO LTDA."/>
        <s v="COOPERATIVA DE ECONOMIA E CRÉDITO MÚTUO DOS EMPREGADOS DA BECTON DICKINSON INDÚSTRIAS CIRÚRGICAS LTDA., LTDA."/>
        <s v="GREEN ALTERNATIVE INVESTMENTS DISTRIBUIDORA DE TÍTULOS E VALORES MOBILIÁRIOS S.A."/>
        <s v="LIQUIDO INSTITUICAO DE PAGAMENTO LTDA"/>
        <s v="COOPERATIVA DE ECONOMIA E CRÉDITO MUTUO DOS FUNCIONÁRIOS DE INSTITUIÇÕES FINANCEIRAS PUBLICAS E PRIVADAS NO TERRITÓRIO NACIONAL - CREDBRASIL"/>
        <s v="DATANOMIK BRASIL INSTITUICAO DE PAGAMENTO LTDA"/>
        <s v="NAGRO SOCIEDADE DE CRÉDITO DIRETO S.A."/>
        <s v="COOPESTADO - COOPERATIVA DE ECONOMIA E CRÉDITO MÚTUO DOS SERVIDORES PÚBLICOS NA REGIÃO METROPOLITANA DO ESTADO DO RIO DE JANEIRO LIMITADA"/>
        <s v="MOMENTO DISTRIBUIDORA DE TITULOS E VALORES MOBILIARIOS LTDA"/>
        <s v="COOPERATIVA DE ECONOMIA E CRÉDITO MÚTUO DOS EMPREGADOS DO SEBRAE BAHIA LTDA."/>
        <s v="COOPERATIVA DE ECONOMIA E CRÉDITO MÚTUO DOS EMPREGADOS DAS EMPRESAS SIDERÚRGICAS, METALÚRGICAS E ELETRO-MECÂNICAS DE JOÃO MONLEVADE LTDA. - CREDIBELGO"/>
        <s v="AVS CORRETORA DE CÂMBIO LTDA."/>
        <s v="COOPERATIVA DE ECONOMIA E CRÉDITO MÚTUO DOS EMPREGADOS DA JOLIMODE ROUPAS E EMPRESAS COLIGADAS LTDA"/>
        <s v="INFINIA BRASIL INSTITUICAO DE PAGAMENTO LTDA"/>
        <s v="LAMARA SOCIEDADE DE CRÉDITO DIRETO S.A."/>
        <s v="E.SIGA SOCIEDADE DE CRÉDITO DIRETO S.A."/>
        <s v="COOPERATIVA DE ECONOMIA E CREDITO MUTUO DOS FUNCIONARIOS DA VIACAO NOSSA SENHORA DO AMPARO LTDA. - COPERFAMP"/>
        <s v="CREDILON SOCIEDADE DE CRÉDITO AO MICROEMPREENDEDOR DA REGIÃO DE LONDRINA LTDA."/>
        <s v="FREEX SOCIEDADE CORRETORA DE CÂMBIO S.A."/>
        <s v="CONLIFE SOCIEDADE DE CRÉDITO DIRETO S/A"/>
        <s v="COOPERATIVA DE ECONOMIA E CREDITO MUTUO DOS FUNCIONARIOS DA GKN DO BRASIL LTDA"/>
        <s v="COOPERATIVA DE ECONOMIA E CREDITO MUTUO DOS SERVIDORES DO COLEGIO PEDRO II"/>
        <s v="NUMATUR CORRETORA DE CÂMBIO LTDA."/>
        <s v="GOOD SOCIEDADE CORRETORA DE CÂMBIO LTDA."/>
        <s v="COOPERATIVA DE ECONOMIA E CRÉDITO MÚTUO DOS EMPREGADOS DE KYN COMÉRCIO VAREJISTA E ATACADISTA - COOPER KYN"/>
        <s v="EUROINVEST S.A. CORRETORA DE CÂMBIO, TÍTULOS E VALORES MOBILIÁRIOS"/>
        <s v="PACIFIC INVEST DISTRIBUIDORA DE TITULOS E VALORES MOBILIARIOS LTDA"/>
        <s v="COOPERATIVA DE ECONOMIA E CRÉDITO MÚTUO DOS EMPREGADOS DA PONTIFÍCIA UNIVERSIDADE CATÓLICA DO RIO DE JANEIRO E EMPREGADOS EM ESTABELECIMENTOS PRIVADOS DE ENSINO DO MUNICÍPIO DO RIO DE JANEIRO LTDA."/>
        <s v="PB SOCIEDADE DE CREDITO DIRETO S.A."/>
        <s v="RED SOCIEDADE DE CRÉDITO DIRETO S.A."/>
        <s v="SADOC SOCIEDADE CORRETORA DE CÂMBIO LTDA."/>
        <s v="LA FINTECA INSTITUICAO DE PAGAMENTO LTDA"/>
        <s v="EASY MONEY SOCIEDADE DE CRÉDITO DIRETO S.A."/>
        <s v="COOPERATIVA DE ECONOMIA E CRÉDITO MÚTUO DOS FUNCIONÁRIOS DO PODER JUDICIÁRIO E SERVIDORES PÚBLICOS DO ESTADO DE SÃO PAULO - SPCRED"/>
        <s v="PLUGGY BRASIL INSTITUICAO DE PAGAMENTO LTDA"/>
        <s v="VNK SOCIEDADE DE CRÉDITO AO MICROEMPREENDEDOR E À EMPRESA DE PEQUENO PORTE LTDA."/>
        <s v="COOPERATIVA DE ECONOMIA E CREDITO MUTUO DOS TRABALHADORES EM CONSELHOS DE FISCALIZACAO PROFISSIONAL NO MUNICIPIO DO RIO DE JANEIRO LTDA."/>
        <s v="COOPERATIVA DE CRÉDITO MÚTUO DOS EMPREGADOS EM INSTITUIÇÕES DO SISTEMA FINANCEIRO NAS REGIÕES DE SÃO PAULO E CAMPINAS (SP) - CREDISCOOP"/>
        <s v="COOPERATIVA DE ECONOMIA E CRÉDITO MÚTUO DOS EMPREGADOS DAS EMPRESAS DE DIVERSÕES DO ESTADO DE SÃO PAULO"/>
        <s v="DEBONI DISTRIBUIDORA DE TITULOS E VALORES MOBILIARIOS LTDA"/>
        <s v="COOPERATIVA DE ECONOMIA E CRÉDITO MÚTUO DOS EMPREGADOS DA FUNDAÇÃO ARTHUR BERNARDES LTDA. - COOFAB"/>
        <s v="DIVI SOCIEDADE DE CREDITO DIRETO S.A."/>
        <s v="GDC PARTNERS SERVIÇOS FIDUCIÁRIOS DISTRIBUIDORA DE TÍTULOS E VALORES MOBILIÁRIOS LTDA."/>
        <s v="COOPERATIVA DE ECONOMIA E CRÉDITO MÚTUO DOS EMPREGADOS DA PROLEC GE BRASIL TRANSMISSÃO DE ENERGIA S.A."/>
        <s v="CORPORE SOCIEDADE DE CRÉDITO DIRETO S.A."/>
        <s v="COOPERATIVA DE CRÉDITO MÚTUO DOS TRABALHADORES DO SISTEMA FINANCEIRO DE CURITIBA E REGIÃO - COOPCREFI"/>
        <s v="COOPERATIVA DE ECONOMIA E CRÉDITO MÚTUO DOS EMPREGADOS DA INDÚSTRIA DE PAPÉIS SUDESTE LTDA . - CREDESTE"/>
        <s v="COOPERATIVA DE ECONOMIA E CRÉDITO MÚTUO DOS SERVIDORES DA PREFEITURA MUNICIPAL DE VOTORANTIM"/>
        <s v="EFEX INSTITUIÇÃO DE PAGAMENTO S.A."/>
        <s v="EMCASH SERVIÇOS FINANCEIROS SOCIEDADE DE EMPRÉSTIMO ENTRE PESSOAS S.A."/>
        <s v="COOPERATIVA DE ECONOMIA E CRÉDITO MÚTUO DOS SERVIDORES DA POLÍCIA MILITAR DO ESTADO DE SÃO PAULO DA REGIÃO CENTRO-OESTE PAULISTA - CREDMIL"/>
        <s v="COOPERATIVA DE CRÉDITO DE SERVIDORES DA UESC - UESCOOP"/>
        <s v="FIDO SOCIEDADE DE EMPRÉSTIMO ENTRE PESSOAS S.A."/>
        <s v="DELEND INSTITUICAO DE PAGAMENTO LTDA"/>
        <s v="SINGRATUR CORRETORA DE CÂMBIO LTDA"/>
        <s v="KINEL FOREIGN EXCHANGE CORRETORA DE CÂMBIO LTDA."/>
        <s v="FINANCRED - SOCIEDADE DE CRÉDITO AO MICROEMPREENDEDOR E A EMPRESA DE PEQUENO PORTE LTDA."/>
        <s v="COOPERATIVA DE ECONOMIA E CREDITO MUTUO DOS TRABALHADORES DO GRUPO EMPRESARIAL ITATIAIA LTDA. - COOPERITA"/>
        <s v="COOPERATIVA DE CRÉDITO DOS EMPREGADOS DA CBA ITAPISSUMA E EMPREGADOS DE EMPRESAS PRESTADORA DE SERVIÇOS INDUSTRIAIS, NO ESTADO DE PERNAMBUCO - CREDCOOPE"/>
        <s v="COOPERATIVA DE CRÉDITO DOS EMPREGADOS DO GRUPO NEFFA E DEMAIS ESTABELECIMENTOS DO SETOR DE ALIMENTOS DA GRANDE VITÓRIA."/>
        <s v="COOPERATIVA DE CRÉDITO MÚTUO DOS EMPREGADOS DAS INDÚSTRIAS DO PAPEL, PAPELÃO E CORTIÇA DE OTACÍLIO COSTA, LAGES E CORREA PINTO - PAPELCREDI"/>
        <s v="LARCA CAPITAL - SOCIEDADE DE CRÉDITO DIRETO S.A."/>
        <s v="COOPERATIVA DE ECONOMIA E CREDITO MUTUO DOS FUNCIONARIOS DA FMC LTDA"/>
        <s v="COOPERATIVA DE CRÉDITO DOS FUNCIONÁRIOS DO GRUPO PPG"/>
        <s v="CREDFC SOCIEDADE DE CRÉDITO DIRETO S.A."/>
        <s v="NG CASH SOCIEDADE DE CRÉDITO DIRETO S.A."/>
        <s v="EASYCREDITO SOCIEDADE DE CREDITO DIRETO S.A."/>
        <s v="LÚMINA CORRETORA DE CÂMBIO LTDA."/>
        <s v="COOPERATIVA DE ECONOMIA E CRÉDITO MÚTUO DOS FUNCIONÁRIOS DA EDUCAÇÃO E COMUNICAÇÃO"/>
        <s v="COOPERATIVA DE CRÉDITO DE CAPITAL E EMPRÉSTIMO DOS EMPREGADOS CELETISTAS DE COOPERATIVAS DOS ESTADOS DE SÃO PAULO E MINAS GERAIS - COCREUNI"/>
        <s v="COOPERATIVA DE ECONOMIA E CREDITO MUTUO DOS EMPREGADOS DA CIA DE ELETRICIDADE DO ESTADO DO RJ CREDICERJ LTDA"/>
        <s v="JM CORRETORA DE CÂMBIO LTDA."/>
        <s v="COOPERATIVA DE ECONOMIA E CRÉDITO MÚTUO SERVIDORES PÚBLICOS ATIVOS, INATIVOS E PENSIONISTAS DA ADMINISTRAÇÃO DIRETA, INDIRETA E ASSEMBLÉIA LEGISLATIVA DO ESTADO DO RIO GRANDE SUL - COOPSERGS"/>
        <s v="COOPERATIVA DE CRÉDITO DE CAPITAL E EMPRÉSTIMO DOS TRABALHADORES NAS EMPRESAS DE TECNOLOGIA E INFORMÁTICA DE BELO HORIZONTE E CIDADES LIMÍTROFES LTDA - COOPERINFOR"/>
        <s v="EURO17 SOCIEDADE DE CRÉDITO DIRETO S.A."/>
        <s v="CREDIMÓVEL SOCIEDADE DE CRÉDITO DIRETO S.A."/>
        <s v="PRONANCE SOCIEDADE CORRETORA DE CÂMBIO LTDA"/>
        <s v="COOPERATIVA DE ECONOMIA E CRÉDITO MÚTUO DOS EMPREGADOS DA MOSAIC FERTILIZANTES DO BRASIL - COCRESGO LTDA."/>
        <s v="CF GROUP SOCIEDADE DE EMPRÉSTIMO ENTRE PESSOAS S.A."/>
        <s v="FIDUCIAL DISTRIBUIDORA DE TÍTULOS E VALORES MOBILIÁRIOS LTDA."/>
        <s v="CORREPARTI SOCIEDADE CORRETORA DE CÂMBIO LTDA."/>
        <s v="COOPERATIVA DE ECONOMIA E CRÉDITO MÚTUO DOS FUNCIONÁRIOS DA ASSEMBLÉIA LEGISLATIVA DO ESTADO DA PARAÍBA LTDA. -  COOPERLEGIS"/>
        <s v="ÓPERA SOCIEDADE DE CRÉDITO DIRETO S.A."/>
        <s v="FATORI SOCIEDADE DE CRÉDITO AO MICROEMPREENDEDOR E À EMPRESA DE PEQUENO PORTE LTDA."/>
        <s v="COOPERATIVA DE ECONOMIA E CRÉDITO MÚTUO DOS TRABALHADORES DAS INDÚSTRIAS METALÚRGICAS DE PORTO ALEGRE E GRANDE PORTO ALEGRE"/>
        <s v="COOPERATIVA DE ECONOMIA E CRÉDITO MÚTUO DOS EMPREGADOS NAS INDÚSTRIAS, FÁBRICAS, DISTRIBUIDORAS, TRANSPORTADORAS, ENVASADORAS, QUÍMICAS, FARMACÊUTICAS, EMBALAGENS E SIMILARES DO ESTADO DO RIO DE JANEI"/>
        <s v="COOPERATIVA DE ECONOMIA E CRÉDITO MÚTUO DOS BANCÁRIOS DE BELO HORIZONTE E REGIÃO METROPOLITANA LTDA. - COOPEB"/>
        <s v="CRYSTAL BMC - INSTITUICAO DE PAGAMENTO LTDA."/>
        <s v="COOPERATIVA DE ECONOMIA E CRÉDITO MÚTUO DOS EMPREGADOS DAS EMPRESAS SOMART LTDA."/>
        <s v="COOPERATIVA DE ECONOMIA E CREDITO MUTUO DOS EMPREGADOS DO COLEGIO SANTO INACIO - COESI"/>
        <s v="COOPERATIVA DE ECONOMIA E CRÉDITO MÚTUO DOS FUNCIONÁRIOS DO BANESPA DE BOTUCATU E CIDADES LIMÍTROFES"/>
        <s v="EBADIVAL - E. BAGGIO DISTRIBUIDORA DE TÍTULOS E VALORES MOBILIÁRIOS LTDA."/>
        <s v="AVIPAM CORRETORA DE CAMBIO LTDA"/>
        <s v="COOPERATIVA DE ECONOMIA E CREDITO MUTUO DOS FUNCIONARIOS DA SANEPAR - CREDISANEPAR"/>
        <s v="COOPERATIVA DE ECONOMIA E CRÉDITO MÚTUO DOS BANCÁRIOS DE JUIZ DE FORA LTDA. - COCBAN"/>
        <s v="COOPERATIVA DE ECONOMIA E CRÉDITO MÚTUO DOS BANCÁRIOS DE SOROCABA E REGIÃO"/>
        <s v="ÍCARO CORRETORA DE CÂMBIO LTDA"/>
        <s v="CONSEGTUR CORRETORA DE CÂMBIO LTDA."/>
        <s v="CAIXA ECONÔMICA FEDERAL" u="1"/>
        <s v="BANCO NACIONAL DE DESENVOLVIMENTO ECONOMICO E SOCIAL" u="1"/>
      </sharedItems>
    </cacheField>
    <cacheField name="TCB" numFmtId="0">
      <sharedItems/>
    </cacheField>
    <cacheField name="Segmento (SR)" numFmtId="0">
      <sharedItems count="6">
        <s v="S1"/>
        <s v="S2"/>
        <s v="S3"/>
        <s v="NA"/>
        <s v="S4"/>
        <s v="S5"/>
      </sharedItems>
    </cacheField>
    <cacheField name="Controle (TC)" numFmtId="0">
      <sharedItems containsSemiMixedTypes="0" containsString="0" containsNumber="1" containsInteger="1" minValue="1" maxValue="3"/>
    </cacheField>
    <cacheField name="Tipo de Controle" numFmtId="0">
      <sharedItems count="3">
        <s v="Privado Nacional"/>
        <s v="Público"/>
        <s v="Privado Estrangeiro"/>
      </sharedItems>
    </cacheField>
    <cacheField name="Cidade" numFmtId="0">
      <sharedItems/>
    </cacheField>
    <cacheField name="UF" numFmtId="0">
      <sharedItems/>
    </cacheField>
    <cacheField name="Ativo Total " numFmtId="166">
      <sharedItems containsSemiMixedTypes="0" containsString="0" containsNumber="1" containsInteger="1" minValue="365" maxValue="2845762304"/>
    </cacheField>
    <cacheField name="Carteira de Crédito (R$ mil)" numFmtId="166">
      <sharedItems containsSemiMixedTypes="0" containsString="0" containsNumber="1" containsInteger="1" minValue="-11013" maxValue="1362330927"/>
    </cacheField>
    <cacheField name="TVM (R$ mil)" numFmtId="166">
      <sharedItems containsSemiMixedTypes="0" containsString="0" containsNumber="1" containsInteger="1" minValue="0" maxValue="764075396"/>
    </cacheField>
    <cacheField name="Passivo Exigível (R$ mil)" numFmtId="166">
      <sharedItems containsSemiMixedTypes="0" containsString="0" containsNumber="1" containsInteger="1" minValue="0" maxValue="2629336116"/>
    </cacheField>
    <cacheField name="Captações (R$ mil)" numFmtId="166">
      <sharedItems containsSemiMixedTypes="0" containsString="0" containsNumber="1" containsInteger="1" minValue="0" maxValue="2216192439"/>
    </cacheField>
    <cacheField name="Patrimônio Líquido (R$ mil)" numFmtId="166">
      <sharedItems containsSemiMixedTypes="0" containsString="0" containsNumber="1" containsInteger="1" minValue="-11137" maxValue="216426189"/>
    </cacheField>
    <cacheField name="Lucro Líquido (R$ mil)" numFmtId="166">
      <sharedItems containsSemiMixedTypes="0" containsString="0" containsNumber="1" containsInteger="1" minValue="-581406" maxValue="24035567"/>
    </cacheField>
    <cacheField name="Agências" numFmtId="0">
      <sharedItems containsSemiMixedTypes="0" containsString="0" containsNumber="1" containsInteger="1" minValue="0" maxValue="3939"/>
    </cacheField>
    <cacheField name="Postos de Atendimento" numFmtId="0">
      <sharedItems containsSemiMixedTypes="0" containsString="0" containsNumber="1" containsInteger="1" minValue="0" maxValue="2516"/>
    </cacheField>
    <cacheField name="Carteira de Crédito/Ativo Total (%)" numFmtId="9">
      <sharedItems containsSemiMixedTypes="0" containsString="0" containsNumber="1" minValue="-4.6066198461532024E-2" maxValue="1.1488493912069897"/>
    </cacheField>
    <cacheField name="ROE (%)" numFmtId="0">
      <sharedItems containsSemiMixedTypes="0" containsString="0" containsNumber="1" minValue="-14.163434903047092" maxValue="6.18672199170124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6">
  <r>
    <x v="0"/>
    <s v="b1"/>
    <x v="0"/>
    <n v="2"/>
    <x v="0"/>
    <s v="SAO PAULO"/>
    <s v="SP"/>
    <n v="2845762304"/>
    <n v="1190712067"/>
    <n v="704331459"/>
    <n v="2629336116"/>
    <n v="2216192439"/>
    <n v="216426189"/>
    <n v="24035567"/>
    <n v="1373"/>
    <n v="141"/>
    <n v="0.41841585480499782"/>
    <n v="0.1110566475852883"/>
  </r>
  <r>
    <x v="1"/>
    <s v="b1"/>
    <x v="0"/>
    <n v="1"/>
    <x v="1"/>
    <s v="BRASILIA"/>
    <s v="DF"/>
    <n v="2583811190"/>
    <n v="1128399194"/>
    <n v="764075396"/>
    <n v="2401239327"/>
    <n v="2068469942"/>
    <n v="182571863"/>
    <n v="6516219"/>
    <n v="3939"/>
    <n v="309"/>
    <n v="0.43671890514569683"/>
    <n v="3.5691255448272445E-2"/>
  </r>
  <r>
    <x v="2"/>
    <s v="b1"/>
    <x v="0"/>
    <n v="1"/>
    <x v="1"/>
    <s v="BRASILIA"/>
    <s v="DF"/>
    <n v="2368233902"/>
    <n v="1362330927"/>
    <n v="453110713"/>
    <n v="2249866109"/>
    <n v="2063880326"/>
    <n v="118367792"/>
    <n v="6585794"/>
    <n v="3002"/>
    <n v="868"/>
    <n v="0.57525184731520662"/>
    <n v="5.563839528239236E-2"/>
  </r>
  <r>
    <x v="3"/>
    <s v="b1"/>
    <x v="0"/>
    <n v="2"/>
    <x v="0"/>
    <s v="OSASCO"/>
    <s v="SP"/>
    <n v="2043928673"/>
    <n v="928041485"/>
    <n v="370340548"/>
    <n v="1858128289"/>
    <n v="1600488225"/>
    <n v="185800384"/>
    <n v="12140246"/>
    <n v="2059"/>
    <n v="767"/>
    <n v="0.45404788203193819"/>
    <n v="6.5340263236485022E-2"/>
  </r>
  <r>
    <x v="4"/>
    <s v="b1"/>
    <x v="0"/>
    <n v="3"/>
    <x v="2"/>
    <s v="SAO PAULO"/>
    <s v="SP"/>
    <n v="1318054939"/>
    <n v="541757522"/>
    <n v="291663631"/>
    <n v="1217931666"/>
    <n v="1020013939"/>
    <n v="100123273"/>
    <n v="7524653"/>
    <n v="1214"/>
    <n v="2516"/>
    <n v="0.41102802771713598"/>
    <n v="7.5153885550665128E-2"/>
  </r>
  <r>
    <x v="5"/>
    <s v="b4"/>
    <x v="1"/>
    <n v="1"/>
    <x v="1"/>
    <s v="RIO DE JANEIRO"/>
    <s v="RJ"/>
    <n v="1073403746"/>
    <n v="375703869"/>
    <n v="209161034"/>
    <n v="892700475"/>
    <n v="661452493"/>
    <n v="180703272"/>
    <n v="11153448"/>
    <n v="5"/>
    <n v="0"/>
    <n v="0.35001169913934693"/>
    <n v="6.1722446287524886E-2"/>
  </r>
  <r>
    <x v="6"/>
    <s v="b1"/>
    <x v="0"/>
    <n v="2"/>
    <x v="0"/>
    <s v="RIO DE JANEIRO"/>
    <s v="RJ"/>
    <n v="886560321"/>
    <n v="175495662"/>
    <n v="284109682"/>
    <n v="806656212"/>
    <n v="629968763"/>
    <n v="79904110"/>
    <n v="9471540"/>
    <n v="68"/>
    <n v="0"/>
    <n v="0.19795118035741643"/>
    <n v="0.11853633060927654"/>
  </r>
  <r>
    <x v="7"/>
    <s v="b1"/>
    <x v="1"/>
    <n v="2"/>
    <x v="0"/>
    <s v="RIO DE JANEIRO"/>
    <s v="RJ"/>
    <n v="347231502"/>
    <n v="35724234"/>
    <n v="119764884"/>
    <n v="334789433"/>
    <n v="257969286"/>
    <n v="12442070"/>
    <n v="366568"/>
    <n v="12"/>
    <n v="0"/>
    <n v="0.10288304429245017"/>
    <n v="2.9461978593594153E-2"/>
  </r>
  <r>
    <x v="8"/>
    <s v="b1"/>
    <x v="1"/>
    <n v="2"/>
    <x v="0"/>
    <s v="SAO PAULO"/>
    <s v="SP"/>
    <n v="276259563"/>
    <n v="139176940"/>
    <n v="58167274"/>
    <n v="257595743"/>
    <n v="217838087"/>
    <n v="18663820"/>
    <n v="1911887"/>
    <n v="189"/>
    <n v="3"/>
    <n v="0.50379048778847157"/>
    <n v="0.10243813967344306"/>
  </r>
  <r>
    <x v="9"/>
    <s v="n1"/>
    <x v="1"/>
    <n v="3"/>
    <x v="2"/>
    <s v="SAO PAULO"/>
    <s v="SP"/>
    <n v="267997089"/>
    <n v="76080601"/>
    <n v="83850989"/>
    <n v="252978506"/>
    <n v="225883144"/>
    <n v="15018583"/>
    <n v="4194823"/>
    <n v="4"/>
    <n v="0"/>
    <n v="0.28388592310418714"/>
    <n v="0.27930884025476971"/>
  </r>
  <r>
    <x v="10"/>
    <s v="b1"/>
    <x v="1"/>
    <n v="2"/>
    <x v="0"/>
    <s v="PORTO ALEGRE"/>
    <s v="RS"/>
    <n v="234406077"/>
    <n v="50267293"/>
    <n v="49289841"/>
    <n v="228925803"/>
    <n v="202089776"/>
    <n v="5480274"/>
    <n v="162608"/>
    <n v="6"/>
    <n v="0"/>
    <n v="0.21444534904272128"/>
    <n v="2.9671509125273662E-2"/>
  </r>
  <r>
    <x v="11"/>
    <s v="b1"/>
    <x v="1"/>
    <n v="2"/>
    <x v="0"/>
    <s v="BRASILIA"/>
    <s v="DF"/>
    <n v="223147166"/>
    <n v="44908980"/>
    <n v="68401403"/>
    <n v="216162767"/>
    <n v="188184228"/>
    <n v="6984398"/>
    <n v="458952"/>
    <n v="7"/>
    <n v="0"/>
    <n v="0.20125274636022042"/>
    <n v="6.5711031931456373E-2"/>
  </r>
  <r>
    <x v="12"/>
    <s v="n4"/>
    <x v="0"/>
    <n v="2"/>
    <x v="0"/>
    <s v="SAO PAULO"/>
    <s v="SP"/>
    <n v="178389094"/>
    <n v="0"/>
    <n v="18863330"/>
    <n v="137181221"/>
    <n v="16821616"/>
    <n v="41207873"/>
    <n v="1497264"/>
    <n v="1"/>
    <n v="0"/>
    <n v="0"/>
    <n v="3.6334415998612694E-2"/>
  </r>
  <r>
    <x v="13"/>
    <s v="b1"/>
    <x v="1"/>
    <n v="3"/>
    <x v="2"/>
    <s v="SAO PAULO"/>
    <s v="SP"/>
    <n v="174129379"/>
    <n v="26053128"/>
    <n v="48850120"/>
    <n v="162896340"/>
    <n v="138789981"/>
    <n v="11233038"/>
    <n v="1278936"/>
    <n v="50"/>
    <n v="8"/>
    <n v="0.1496193700891795"/>
    <n v="0.11385486277176309"/>
  </r>
  <r>
    <x v="14"/>
    <s v="b1"/>
    <x v="1"/>
    <n v="1"/>
    <x v="1"/>
    <s v="PORTO ALEGRE"/>
    <s v="RS"/>
    <n v="172696602"/>
    <n v="60414676"/>
    <n v="75537684"/>
    <n v="161143764"/>
    <n v="150307927"/>
    <n v="11552838"/>
    <n v="546547"/>
    <n v="508"/>
    <n v="43"/>
    <n v="0.34983129546463226"/>
    <n v="4.7308462215085161E-2"/>
  </r>
  <r>
    <x v="15"/>
    <s v="b1"/>
    <x v="2"/>
    <n v="2"/>
    <x v="0"/>
    <s v="SAO PAULO"/>
    <s v="SP"/>
    <n v="170644964"/>
    <n v="98908783"/>
    <n v="51122035"/>
    <n v="163658813"/>
    <n v="123737125"/>
    <n v="6986151"/>
    <n v="1256056"/>
    <n v="6"/>
    <n v="0"/>
    <n v="0.57961735688842242"/>
    <n v="0.17979227760751235"/>
  </r>
  <r>
    <x v="16"/>
    <s v="b1"/>
    <x v="1"/>
    <n v="2"/>
    <x v="0"/>
    <s v="SAO PAULO"/>
    <s v="SP"/>
    <n v="153810528"/>
    <n v="79767923"/>
    <n v="33500853"/>
    <n v="140835882"/>
    <n v="113449781"/>
    <n v="12974646"/>
    <n v="961452"/>
    <n v="7"/>
    <n v="3"/>
    <n v="0.51861159334944873"/>
    <n v="7.4102368573292873E-2"/>
  </r>
  <r>
    <x v="17"/>
    <s v="n4"/>
    <x v="1"/>
    <n v="3"/>
    <x v="2"/>
    <s v="SAO PAULO"/>
    <s v="SP"/>
    <n v="122363230"/>
    <n v="75801555"/>
    <n v="684426"/>
    <n v="99117282"/>
    <n v="3084398"/>
    <n v="23245948"/>
    <n v="4093013"/>
    <n v="1"/>
    <n v="0"/>
    <n v="0.61947984700959591"/>
    <n v="0.17607425603808458"/>
  </r>
  <r>
    <x v="18"/>
    <s v="n4"/>
    <x v="3"/>
    <n v="2"/>
    <x v="0"/>
    <s v="BARUERI"/>
    <s v="SP"/>
    <n v="116680888"/>
    <n v="0"/>
    <n v="6134397"/>
    <n v="105006218"/>
    <n v="10367314"/>
    <n v="11674670"/>
    <n v="566759"/>
    <n v="1"/>
    <n v="0"/>
    <n v="0"/>
    <n v="4.8546040273515223E-2"/>
  </r>
  <r>
    <x v="19"/>
    <s v="b1"/>
    <x v="2"/>
    <n v="3"/>
    <x v="2"/>
    <s v="SAO PAULO"/>
    <s v="SP"/>
    <n v="107680148"/>
    <n v="3735715"/>
    <n v="62287554"/>
    <n v="95345805"/>
    <n v="81045066"/>
    <n v="12334343"/>
    <n v="1059049"/>
    <n v="9"/>
    <n v="0"/>
    <n v="3.4692699345101198E-2"/>
    <n v="8.5861808772465631E-2"/>
  </r>
  <r>
    <x v="20"/>
    <s v="b1"/>
    <x v="2"/>
    <n v="2"/>
    <x v="0"/>
    <s v="SAO PAULO"/>
    <s v="SP"/>
    <n v="107666102"/>
    <n v="63321103"/>
    <n v="26617818"/>
    <n v="100010380"/>
    <n v="89777748"/>
    <n v="7655721"/>
    <n v="901621"/>
    <n v="59"/>
    <n v="0"/>
    <n v="0.58812478415908476"/>
    <n v="0.11777088010391183"/>
  </r>
  <r>
    <x v="21"/>
    <s v="n4"/>
    <x v="2"/>
    <n v="3"/>
    <x v="2"/>
    <s v="OSASCO"/>
    <s v="SP"/>
    <n v="105731564"/>
    <n v="22485259"/>
    <n v="1505659"/>
    <n v="102742356"/>
    <n v="59815921"/>
    <n v="2989208"/>
    <n v="-189822"/>
    <n v="1"/>
    <n v="0"/>
    <n v="0.2126636375113112"/>
    <n v="-6.3502439442153238E-2"/>
  </r>
  <r>
    <x v="22"/>
    <s v="b1"/>
    <x v="2"/>
    <n v="2"/>
    <x v="0"/>
    <s v="BELO HORIZONTE"/>
    <s v="MG"/>
    <n v="101480170"/>
    <n v="46257204"/>
    <n v="29351637"/>
    <n v="94028336"/>
    <n v="78117019"/>
    <n v="7451834"/>
    <n v="712048"/>
    <n v="4"/>
    <n v="0"/>
    <n v="0.45582505429385861"/>
    <n v="9.5553389944005737E-2"/>
  </r>
  <r>
    <x v="23"/>
    <s v="n4"/>
    <x v="2"/>
    <n v="3"/>
    <x v="2"/>
    <s v="SAO PAULO"/>
    <s v="SP"/>
    <n v="89229885"/>
    <n v="0"/>
    <n v="33856104"/>
    <n v="86020632"/>
    <n v="35329072"/>
    <n v="3209254"/>
    <n v="867035"/>
    <n v="1"/>
    <n v="0"/>
    <n v="0"/>
    <n v="0.27016714787922674"/>
  </r>
  <r>
    <x v="24"/>
    <s v="b1"/>
    <x v="1"/>
    <n v="1"/>
    <x v="1"/>
    <s v="FORTALEZA"/>
    <s v="CE"/>
    <n v="81039783"/>
    <n v="17779920"/>
    <n v="44768452"/>
    <n v="64226772"/>
    <n v="23269171"/>
    <n v="16813010"/>
    <n v="1057412"/>
    <n v="301"/>
    <n v="1"/>
    <n v="0.2193974285444471"/>
    <n v="6.2892486235361783E-2"/>
  </r>
  <r>
    <x v="25"/>
    <s v="n4"/>
    <x v="0"/>
    <n v="3"/>
    <x v="2"/>
    <s v="SAO PAULO"/>
    <s v="SP"/>
    <n v="74198667"/>
    <n v="0"/>
    <n v="471650"/>
    <n v="70373351"/>
    <n v="457227"/>
    <n v="3825316"/>
    <n v="529101"/>
    <n v="1"/>
    <n v="0"/>
    <n v="0"/>
    <n v="0.13831563196347701"/>
  </r>
  <r>
    <x v="26"/>
    <s v="n4"/>
    <x v="2"/>
    <n v="2"/>
    <x v="0"/>
    <s v="SAO PAULO"/>
    <s v="SP"/>
    <n v="73530147"/>
    <n v="746551"/>
    <n v="5259611"/>
    <n v="67499312"/>
    <n v="46766864"/>
    <n v="6030835"/>
    <n v="463519"/>
    <n v="1"/>
    <n v="0"/>
    <n v="1.0152992078201611E-2"/>
    <n v="7.6858179671637508E-2"/>
  </r>
  <r>
    <x v="27"/>
    <s v="b1"/>
    <x v="2"/>
    <n v="3"/>
    <x v="2"/>
    <s v="SAO PAULO"/>
    <s v="SP"/>
    <n v="67821791"/>
    <n v="21574787"/>
    <n v="29645158"/>
    <n v="60532470"/>
    <n v="51486061"/>
    <n v="7289321"/>
    <n v="495451"/>
    <n v="15"/>
    <n v="0"/>
    <n v="0.31810995672467568"/>
    <n v="6.7969430897610358E-2"/>
  </r>
  <r>
    <x v="28"/>
    <s v="b1"/>
    <x v="2"/>
    <n v="1"/>
    <x v="1"/>
    <s v="BELEM"/>
    <s v="PA"/>
    <n v="67352881"/>
    <n v="38713829"/>
    <n v="21699434"/>
    <n v="60078810"/>
    <n v="15601132"/>
    <n v="7274071"/>
    <n v="353060"/>
    <n v="115"/>
    <n v="0"/>
    <n v="0.57479098778269044"/>
    <n v="4.8536782222774563E-2"/>
  </r>
  <r>
    <x v="29"/>
    <s v="b2"/>
    <x v="2"/>
    <n v="3"/>
    <x v="2"/>
    <s v="SAO PAULO"/>
    <s v="SP"/>
    <n v="61250495"/>
    <n v="50345582"/>
    <n v="819927"/>
    <n v="55986251"/>
    <n v="47916041"/>
    <n v="5264244"/>
    <n v="-203091"/>
    <n v="2"/>
    <n v="0"/>
    <n v="0.8219620429190001"/>
    <n v="-3.8579328769715079E-2"/>
  </r>
  <r>
    <x v="30"/>
    <s v="b1"/>
    <x v="2"/>
    <n v="3"/>
    <x v="2"/>
    <s v="SAO PAULO"/>
    <s v="SP"/>
    <n v="58787929"/>
    <n v="6716037"/>
    <n v="21646070"/>
    <n v="54077310"/>
    <n v="34516225"/>
    <n v="4710619"/>
    <n v="86546"/>
    <n v="2"/>
    <n v="0"/>
    <n v="0.1142417689182417"/>
    <n v="1.8372532357212503E-2"/>
  </r>
  <r>
    <x v="31"/>
    <s v="b1"/>
    <x v="2"/>
    <n v="3"/>
    <x v="2"/>
    <s v="SAO PAULO"/>
    <s v="SP"/>
    <n v="54678970"/>
    <n v="37932273"/>
    <n v="7485572"/>
    <n v="48983962"/>
    <n v="44719472"/>
    <n v="5695008"/>
    <n v="270816"/>
    <n v="19"/>
    <n v="0"/>
    <n v="0.69372691182734425"/>
    <n v="4.755322556175514E-2"/>
  </r>
  <r>
    <x v="32"/>
    <s v="b1"/>
    <x v="2"/>
    <n v="2"/>
    <x v="0"/>
    <s v="SAO PAULO"/>
    <s v="SP"/>
    <n v="52339486"/>
    <n v="47649262"/>
    <n v="397535"/>
    <n v="50571417"/>
    <n v="50254095"/>
    <n v="1768069"/>
    <n v="64502"/>
    <n v="4"/>
    <n v="0"/>
    <n v="0.91038842070401682"/>
    <n v="3.648160790104911E-2"/>
  </r>
  <r>
    <x v="33"/>
    <s v="b1"/>
    <x v="2"/>
    <n v="3"/>
    <x v="2"/>
    <s v="CAMPINAS"/>
    <s v="SP"/>
    <n v="51173174"/>
    <n v="34675580"/>
    <n v="10623101"/>
    <n v="47741214"/>
    <n v="31489584"/>
    <n v="3431960"/>
    <n v="167735"/>
    <n v="4"/>
    <n v="340"/>
    <n v="0.67761245374383072"/>
    <n v="4.8874404130584276E-2"/>
  </r>
  <r>
    <x v="34"/>
    <s v="b1"/>
    <x v="2"/>
    <n v="2"/>
    <x v="0"/>
    <s v="SAO PAULO"/>
    <s v="SP"/>
    <n v="49915753"/>
    <n v="22600982"/>
    <n v="16102835"/>
    <n v="45596626"/>
    <n v="35980205"/>
    <n v="4319127"/>
    <n v="304555"/>
    <n v="35"/>
    <n v="2"/>
    <n v="0.45278255143221019"/>
    <n v="7.0513092113290488E-2"/>
  </r>
  <r>
    <x v="35"/>
    <s v="b1"/>
    <x v="2"/>
    <n v="2"/>
    <x v="0"/>
    <s v="SAO PAULO"/>
    <s v="SP"/>
    <n v="49039328"/>
    <n v="28852169"/>
    <n v="10214239"/>
    <n v="46413359"/>
    <n v="34844937"/>
    <n v="2625969"/>
    <n v="3889"/>
    <n v="6"/>
    <n v="0"/>
    <n v="0.58834756055384774"/>
    <n v="1.4809771173993295E-3"/>
  </r>
  <r>
    <x v="36"/>
    <s v="b1"/>
    <x v="2"/>
    <n v="2"/>
    <x v="0"/>
    <s v="BELO HORIZONTE"/>
    <s v="MG"/>
    <n v="43137599"/>
    <n v="23658776"/>
    <n v="4500606"/>
    <n v="40003480"/>
    <n v="31603356"/>
    <n v="3134119"/>
    <n v="549088"/>
    <n v="9"/>
    <n v="298"/>
    <n v="0.54844906875786015"/>
    <n v="0.17519692136769535"/>
  </r>
  <r>
    <x v="37"/>
    <s v="b1"/>
    <x v="2"/>
    <n v="1"/>
    <x v="1"/>
    <s v="VITORIA"/>
    <s v="ES"/>
    <n v="42575494"/>
    <n v="12460035"/>
    <n v="21316783"/>
    <n v="40070752"/>
    <n v="38599751"/>
    <n v="2504742"/>
    <n v="226057"/>
    <n v="88"/>
    <n v="63"/>
    <n v="0.29265743810277339"/>
    <n v="9.0251610744739377E-2"/>
  </r>
  <r>
    <x v="38"/>
    <s v="b1"/>
    <x v="2"/>
    <n v="3"/>
    <x v="2"/>
    <s v="SAO PAULO"/>
    <s v="SP"/>
    <n v="41219618"/>
    <n v="2646247"/>
    <n v="13476767"/>
    <n v="33713616"/>
    <n v="21612730"/>
    <n v="7506002"/>
    <n v="596770"/>
    <n v="3"/>
    <n v="0"/>
    <n v="6.419872692658142E-2"/>
    <n v="7.9505707565758713E-2"/>
  </r>
  <r>
    <x v="39"/>
    <s v="b1"/>
    <x v="2"/>
    <n v="2"/>
    <x v="0"/>
    <s v="RIO DE JANEIRO"/>
    <s v="RJ"/>
    <n v="40612776"/>
    <n v="0"/>
    <n v="34521002"/>
    <n v="19060286"/>
    <n v="5629524"/>
    <n v="21552491"/>
    <n v="52934"/>
    <n v="2"/>
    <n v="0"/>
    <n v="0"/>
    <n v="2.4560502078390845E-3"/>
  </r>
  <r>
    <x v="40"/>
    <s v="b1"/>
    <x v="2"/>
    <n v="2"/>
    <x v="0"/>
    <s v="SAO PAULO"/>
    <s v="SP"/>
    <n v="37592586"/>
    <n v="19314789"/>
    <n v="13824794"/>
    <n v="35789951"/>
    <n v="31394611"/>
    <n v="1802635"/>
    <n v="315564"/>
    <n v="5"/>
    <n v="0"/>
    <n v="0.51379250685228195"/>
    <n v="0.17505706923475911"/>
  </r>
  <r>
    <x v="41"/>
    <s v="b1"/>
    <x v="2"/>
    <n v="2"/>
    <x v="0"/>
    <s v="SAO PAULO"/>
    <s v="SP"/>
    <n v="37169761"/>
    <n v="17893178"/>
    <n v="6467856"/>
    <n v="34845614"/>
    <n v="32608252"/>
    <n v="2324147"/>
    <n v="156076"/>
    <n v="2"/>
    <n v="0"/>
    <n v="0.48139071973048198"/>
    <n v="6.7154099977325007E-2"/>
  </r>
  <r>
    <x v="42"/>
    <s v="b1"/>
    <x v="2"/>
    <n v="3"/>
    <x v="2"/>
    <s v="SALVADOR"/>
    <s v="BA"/>
    <n v="36497550"/>
    <n v="16826463"/>
    <n v="10616637"/>
    <n v="34672226"/>
    <n v="31609075"/>
    <n v="1825324"/>
    <n v="258123"/>
    <n v="8"/>
    <n v="0"/>
    <n v="0.46102993214613036"/>
    <n v="0.14141215477361826"/>
  </r>
  <r>
    <x v="43"/>
    <s v="n1"/>
    <x v="2"/>
    <n v="3"/>
    <x v="2"/>
    <s v="SAO PAULO"/>
    <s v="SP"/>
    <n v="34597395"/>
    <n v="30722722"/>
    <n v="32559"/>
    <n v="33711132"/>
    <n v="33153032"/>
    <n v="886263"/>
    <n v="62150"/>
    <n v="4"/>
    <n v="0"/>
    <n v="0.88800679935584748"/>
    <n v="7.0125910705964259E-2"/>
  </r>
  <r>
    <x v="44"/>
    <s v="b3C"/>
    <x v="2"/>
    <n v="2"/>
    <x v="0"/>
    <s v="BELO HORIZONTE"/>
    <s v="MG"/>
    <n v="34542515"/>
    <n v="93624"/>
    <n v="16768612"/>
    <n v="32723827"/>
    <n v="884328"/>
    <n v="1818687"/>
    <n v="118531"/>
    <n v="0"/>
    <n v="0"/>
    <n v="2.7103990546142919E-3"/>
    <n v="6.5173941420376344E-2"/>
  </r>
  <r>
    <x v="45"/>
    <s v="b2"/>
    <x v="2"/>
    <n v="3"/>
    <x v="2"/>
    <s v="SAO PAULO"/>
    <s v="SP"/>
    <n v="33589905"/>
    <n v="5685"/>
    <n v="20231351"/>
    <n v="27726197"/>
    <n v="13179674"/>
    <n v="5863708"/>
    <n v="686226"/>
    <n v="4"/>
    <n v="0"/>
    <n v="1.6924727831174277E-4"/>
    <n v="0.11702936094362135"/>
  </r>
  <r>
    <x v="46"/>
    <s v="b4"/>
    <x v="2"/>
    <n v="1"/>
    <x v="1"/>
    <s v="PORTO ALEGRE"/>
    <s v="RS"/>
    <n v="30944445"/>
    <n v="24677869"/>
    <n v="5511980"/>
    <n v="25160827"/>
    <n v="23606986"/>
    <n v="5783618"/>
    <n v="315733"/>
    <n v="4"/>
    <n v="0"/>
    <n v="0.79748946862675996"/>
    <n v="5.4590915236794685E-2"/>
  </r>
  <r>
    <x v="47"/>
    <s v="b2"/>
    <x v="2"/>
    <n v="3"/>
    <x v="2"/>
    <s v="SAO PAULO"/>
    <s v="SP"/>
    <n v="30785056"/>
    <n v="25840767"/>
    <n v="1190447"/>
    <n v="26253657"/>
    <n v="25411466"/>
    <n v="4531399"/>
    <n v="254721"/>
    <n v="4"/>
    <n v="0"/>
    <n v="0.83939321078382967"/>
    <n v="5.6212441235035805E-2"/>
  </r>
  <r>
    <x v="48"/>
    <s v="b3C"/>
    <x v="2"/>
    <n v="2"/>
    <x v="0"/>
    <s v="FLORIANOPOLIS"/>
    <s v="SC"/>
    <n v="29002304"/>
    <n v="302641"/>
    <n v="5844789"/>
    <n v="27464682"/>
    <n v="681810"/>
    <n v="1537622"/>
    <n v="73985"/>
    <n v="0"/>
    <n v="0"/>
    <n v="1.0435067503602473E-2"/>
    <n v="4.8116507177967019E-2"/>
  </r>
  <r>
    <x v="49"/>
    <s v="b3C"/>
    <x v="2"/>
    <n v="2"/>
    <x v="0"/>
    <s v="BELO HORIZONTE"/>
    <s v="MG"/>
    <n v="27630783"/>
    <n v="643420"/>
    <n v="10514846"/>
    <n v="26627866"/>
    <n v="0"/>
    <n v="1002917"/>
    <n v="50294"/>
    <n v="0"/>
    <n v="0"/>
    <n v="2.3286346970333775E-2"/>
    <n v="5.0147719103375454E-2"/>
  </r>
  <r>
    <x v="50"/>
    <s v="n1"/>
    <x v="2"/>
    <n v="2"/>
    <x v="0"/>
    <s v="SAO PAULO"/>
    <s v="SP"/>
    <n v="25555236"/>
    <n v="20556575"/>
    <n v="2444578"/>
    <n v="24215542"/>
    <n v="6946052"/>
    <n v="1339695"/>
    <n v="-37204"/>
    <n v="4"/>
    <n v="0"/>
    <n v="0.80439777586088423"/>
    <n v="-2.7770500001866098E-2"/>
  </r>
  <r>
    <x v="51"/>
    <s v="b2"/>
    <x v="2"/>
    <n v="3"/>
    <x v="2"/>
    <s v="CURITIBA"/>
    <s v="PR"/>
    <n v="24178316"/>
    <n v="20416836"/>
    <n v="1306"/>
    <n v="21566756"/>
    <n v="19821707"/>
    <n v="2611560"/>
    <n v="-99496"/>
    <n v="2"/>
    <n v="0"/>
    <n v="0.84442754408536969"/>
    <n v="-3.8098301398397892E-2"/>
  </r>
  <r>
    <x v="52"/>
    <s v="b2"/>
    <x v="2"/>
    <n v="2"/>
    <x v="0"/>
    <s v="SAO PAULO"/>
    <s v="SP"/>
    <n v="23818077"/>
    <n v="18220416"/>
    <n v="1536756"/>
    <n v="20380331"/>
    <n v="4877271"/>
    <n v="3437746"/>
    <n v="300157"/>
    <n v="2"/>
    <n v="0"/>
    <n v="0.76498266421760241"/>
    <n v="8.7312151624930986E-2"/>
  </r>
  <r>
    <x v="53"/>
    <s v="n1"/>
    <x v="2"/>
    <n v="3"/>
    <x v="2"/>
    <s v="OSASCO"/>
    <s v="SP"/>
    <n v="23041950"/>
    <n v="11218909"/>
    <n v="3431557"/>
    <n v="19040582"/>
    <n v="15365256"/>
    <n v="4001368"/>
    <n v="294078"/>
    <n v="4"/>
    <n v="0"/>
    <n v="0.48689060604679724"/>
    <n v="7.3494364927194897E-2"/>
  </r>
  <r>
    <x v="54"/>
    <s v="b1"/>
    <x v="2"/>
    <n v="2"/>
    <x v="0"/>
    <s v="SAO PAULO"/>
    <s v="SP"/>
    <n v="22655142"/>
    <n v="5556997"/>
    <n v="12148350"/>
    <n v="21200920"/>
    <n v="19896779"/>
    <n v="1454222"/>
    <n v="154451"/>
    <n v="2"/>
    <n v="0"/>
    <n v="0.24528634603128949"/>
    <n v="0.10620868065536074"/>
  </r>
  <r>
    <x v="55"/>
    <s v="n4"/>
    <x v="4"/>
    <n v="2"/>
    <x v="0"/>
    <s v="SAO PAULO"/>
    <s v="SP"/>
    <n v="22593972"/>
    <n v="0"/>
    <n v="819519"/>
    <n v="20277561"/>
    <n v="1355863"/>
    <n v="2316411"/>
    <n v="552378"/>
    <n v="1"/>
    <n v="0"/>
    <n v="0"/>
    <n v="0.23846286345557849"/>
  </r>
  <r>
    <x v="56"/>
    <s v="b1"/>
    <x v="2"/>
    <n v="3"/>
    <x v="2"/>
    <s v="SAO PAULO"/>
    <s v="SP"/>
    <n v="22278101"/>
    <n v="11430610"/>
    <n v="6459682"/>
    <n v="20382406"/>
    <n v="17514237"/>
    <n v="1895694"/>
    <n v="774"/>
    <n v="15"/>
    <n v="1"/>
    <n v="0.51308726897323964"/>
    <n v="4.0829374361051941E-4"/>
  </r>
  <r>
    <x v="57"/>
    <s v="b1"/>
    <x v="2"/>
    <n v="3"/>
    <x v="2"/>
    <s v="SAO PAULO"/>
    <s v="SP"/>
    <n v="21745428"/>
    <n v="3777593"/>
    <n v="9872679"/>
    <n v="18666470"/>
    <n v="15460387"/>
    <n v="3078957"/>
    <n v="101246"/>
    <n v="2"/>
    <n v="0"/>
    <n v="0.17371895370373946"/>
    <n v="3.2883213373879533E-2"/>
  </r>
  <r>
    <x v="58"/>
    <s v="b1"/>
    <x v="2"/>
    <n v="1"/>
    <x v="1"/>
    <s v="BELEM"/>
    <s v="PA"/>
    <n v="21444615"/>
    <n v="15444766"/>
    <n v="1420567"/>
    <n v="19200343"/>
    <n v="18223337"/>
    <n v="2244272"/>
    <n v="100805"/>
    <n v="165"/>
    <n v="34"/>
    <n v="0.72021652055772512"/>
    <n v="4.4916569827543183E-2"/>
  </r>
  <r>
    <x v="59"/>
    <s v="b2"/>
    <x v="2"/>
    <n v="3"/>
    <x v="2"/>
    <s v="SAO BERNARDO DO CAMPO"/>
    <s v="SP"/>
    <n v="20752683"/>
    <n v="19293458"/>
    <n v="317664"/>
    <n v="18328972"/>
    <n v="17573247"/>
    <n v="2423711"/>
    <n v="39490"/>
    <n v="4"/>
    <n v="0"/>
    <n v="0.92968499542926575"/>
    <n v="1.6293196672375544E-2"/>
  </r>
  <r>
    <x v="60"/>
    <s v="b1"/>
    <x v="2"/>
    <n v="3"/>
    <x v="2"/>
    <s v="SAO PAULO"/>
    <s v="SP"/>
    <n v="20150414"/>
    <n v="8746825"/>
    <n v="4002938"/>
    <n v="15955785"/>
    <n v="14040180"/>
    <n v="4194628"/>
    <n v="137358"/>
    <n v="2"/>
    <n v="0"/>
    <n v="0.43407668944171568"/>
    <n v="3.2746169624576958E-2"/>
  </r>
  <r>
    <x v="61"/>
    <s v="b3C"/>
    <x v="2"/>
    <n v="2"/>
    <x v="0"/>
    <s v="RIBEIRAO PRETO"/>
    <s v="SP"/>
    <n v="19289667"/>
    <n v="0"/>
    <n v="6723730"/>
    <n v="18358775"/>
    <n v="1544428"/>
    <n v="930893"/>
    <n v="61944"/>
    <n v="0"/>
    <n v="0"/>
    <n v="0"/>
    <n v="6.6542556448485488E-2"/>
  </r>
  <r>
    <x v="62"/>
    <s v="b3S"/>
    <x v="2"/>
    <n v="2"/>
    <x v="0"/>
    <s v="BEBEDOURO"/>
    <s v="SP"/>
    <n v="18797895"/>
    <n v="9038341"/>
    <n v="3840257"/>
    <n v="15102280"/>
    <n v="13307188"/>
    <n v="3695615"/>
    <n v="164239"/>
    <n v="0"/>
    <n v="127"/>
    <n v="0.48081665526911394"/>
    <n v="4.4441588206563722E-2"/>
  </r>
  <r>
    <x v="63"/>
    <s v="b1"/>
    <x v="2"/>
    <n v="3"/>
    <x v="2"/>
    <s v="SAO PAULO"/>
    <s v="SP"/>
    <n v="18630284"/>
    <n v="232468"/>
    <n v="10798757"/>
    <n v="11319725"/>
    <n v="4673543"/>
    <n v="7310558"/>
    <n v="454611"/>
    <n v="4"/>
    <n v="0"/>
    <n v="1.2477963298895497E-2"/>
    <n v="6.2185540419760023E-2"/>
  </r>
  <r>
    <x v="64"/>
    <s v="b2"/>
    <x v="4"/>
    <n v="2"/>
    <x v="0"/>
    <s v="SAO PAULO"/>
    <s v="SP"/>
    <n v="18254444"/>
    <n v="178232"/>
    <n v="16606264"/>
    <n v="17676436"/>
    <n v="16192670"/>
    <n v="578008"/>
    <n v="-4635"/>
    <n v="2"/>
    <n v="0"/>
    <n v="9.7637594440016899E-3"/>
    <n v="-8.0189201533542795E-3"/>
  </r>
  <r>
    <x v="65"/>
    <s v="b1"/>
    <x v="2"/>
    <n v="2"/>
    <x v="0"/>
    <s v="SAO PAULO"/>
    <s v="SP"/>
    <n v="18118067"/>
    <n v="8087665"/>
    <n v="8474142"/>
    <n v="16960264"/>
    <n v="16003930"/>
    <n v="1157803"/>
    <n v="39612"/>
    <n v="26"/>
    <n v="0"/>
    <n v="0.44638674754873131"/>
    <n v="3.4213074244927678E-2"/>
  </r>
  <r>
    <x v="66"/>
    <s v="b2"/>
    <x v="2"/>
    <n v="3"/>
    <x v="2"/>
    <s v="SAO PAULO"/>
    <s v="SP"/>
    <n v="18035945"/>
    <n v="13773333"/>
    <n v="162166"/>
    <n v="15113876"/>
    <n v="13229613"/>
    <n v="2922069"/>
    <n v="277328"/>
    <n v="2"/>
    <n v="0"/>
    <n v="0.76366017971334466"/>
    <n v="9.4908094230492165E-2"/>
  </r>
  <r>
    <x v="67"/>
    <s v="b3C"/>
    <x v="2"/>
    <n v="2"/>
    <x v="0"/>
    <s v="FRANCISCO BELTRAO"/>
    <s v="PR"/>
    <n v="17754461"/>
    <n v="99057"/>
    <n v="4187898"/>
    <n v="16966332"/>
    <n v="10293913"/>
    <n v="788128"/>
    <n v="57735"/>
    <n v="0"/>
    <n v="0"/>
    <n v="5.5792738512309668E-3"/>
    <n v="7.3255867067278407E-2"/>
  </r>
  <r>
    <x v="68"/>
    <s v="b3C"/>
    <x v="2"/>
    <n v="2"/>
    <x v="0"/>
    <s v="SAO PAULO"/>
    <s v="SP"/>
    <n v="17572425"/>
    <n v="0"/>
    <n v="9733269"/>
    <n v="16799091"/>
    <n v="58"/>
    <n v="773335"/>
    <n v="41955"/>
    <n v="0"/>
    <n v="1"/>
    <n v="0"/>
    <n v="5.4252038249917568E-2"/>
  </r>
  <r>
    <x v="69"/>
    <s v="b3S"/>
    <x v="2"/>
    <n v="2"/>
    <x v="0"/>
    <s v="BLUMENAU"/>
    <s v="SC"/>
    <n v="17524030"/>
    <n v="8725675"/>
    <n v="721306"/>
    <n v="13841312"/>
    <n v="12675486"/>
    <n v="3682717"/>
    <n v="405343"/>
    <n v="0"/>
    <n v="119"/>
    <n v="0.49792627609060247"/>
    <n v="0.11006629073045797"/>
  </r>
  <r>
    <x v="70"/>
    <s v="b1"/>
    <x v="2"/>
    <n v="3"/>
    <x v="2"/>
    <s v="SAO PAULO"/>
    <s v="SP"/>
    <n v="16814021"/>
    <n v="2503686"/>
    <n v="4371324"/>
    <n v="13546762"/>
    <n v="12726404"/>
    <n v="3267259"/>
    <n v="156951"/>
    <n v="4"/>
    <n v="0"/>
    <n v="0.1489046552279196"/>
    <n v="4.8037514014040515E-2"/>
  </r>
  <r>
    <x v="71"/>
    <s v="b1"/>
    <x v="2"/>
    <n v="3"/>
    <x v="2"/>
    <s v="SAO PAULO"/>
    <s v="SP"/>
    <n v="16666011"/>
    <n v="5254439"/>
    <n v="6256048"/>
    <n v="15037777"/>
    <n v="12899483"/>
    <n v="1628234"/>
    <n v="91854"/>
    <n v="2"/>
    <n v="0"/>
    <n v="0.31527874306575221"/>
    <n v="5.6413267380487082E-2"/>
  </r>
  <r>
    <x v="72"/>
    <s v="b2"/>
    <x v="2"/>
    <n v="3"/>
    <x v="2"/>
    <s v="CURITIBA"/>
    <s v="PR"/>
    <n v="16337893"/>
    <n v="14011636"/>
    <n v="1158021"/>
    <n v="12164690"/>
    <n v="12024746"/>
    <n v="4173203"/>
    <n v="198482"/>
    <n v="2"/>
    <n v="0"/>
    <n v="0.85761585046492839"/>
    <n v="4.756106999827231E-2"/>
  </r>
  <r>
    <x v="73"/>
    <s v="b1"/>
    <x v="2"/>
    <n v="3"/>
    <x v="2"/>
    <s v="SAO PAULO"/>
    <s v="SP"/>
    <n v="15949756"/>
    <n v="3005417"/>
    <n v="3677983"/>
    <n v="11282372"/>
    <n v="7131538"/>
    <n v="4667384"/>
    <n v="-230170"/>
    <n v="13"/>
    <n v="0"/>
    <n v="0.18843028068893342"/>
    <n v="-4.931456250439218E-2"/>
  </r>
  <r>
    <x v="74"/>
    <s v="b3S"/>
    <x v="2"/>
    <n v="2"/>
    <x v="0"/>
    <s v="MARINGA"/>
    <s v="PR"/>
    <n v="15763618"/>
    <n v="8895732"/>
    <n v="5471429"/>
    <n v="14298311"/>
    <n v="9139325"/>
    <n v="1465307"/>
    <n v="88996"/>
    <n v="0"/>
    <n v="114"/>
    <n v="0.56432044978506835"/>
    <n v="6.0735395381309169E-2"/>
  </r>
  <r>
    <x v="75"/>
    <s v="b4"/>
    <x v="2"/>
    <n v="1"/>
    <x v="1"/>
    <s v="BELO HORIZONTE"/>
    <s v="MG"/>
    <n v="15427555"/>
    <n v="9253331"/>
    <n v="4175546"/>
    <n v="12945523"/>
    <n v="11810887"/>
    <n v="2482032"/>
    <n v="71599"/>
    <n v="2"/>
    <n v="0"/>
    <n v="0.59979244928959907"/>
    <n v="2.884692864556138E-2"/>
  </r>
  <r>
    <x v="76"/>
    <s v="b3C"/>
    <x v="4"/>
    <n v="2"/>
    <x v="0"/>
    <s v="VITORIA"/>
    <s v="ES"/>
    <n v="15057607"/>
    <n v="124827"/>
    <n v="4108110"/>
    <n v="14252356"/>
    <n v="282392"/>
    <n v="805251"/>
    <n v="19394"/>
    <n v="0"/>
    <n v="0"/>
    <n v="8.28996267467998E-3"/>
    <n v="2.4084415915037672E-2"/>
  </r>
  <r>
    <x v="77"/>
    <s v="b1"/>
    <x v="2"/>
    <n v="3"/>
    <x v="2"/>
    <s v="SAO PAULO"/>
    <s v="SP"/>
    <n v="15033171"/>
    <n v="3270316"/>
    <n v="5891940"/>
    <n v="13699571"/>
    <n v="12505201"/>
    <n v="1333599"/>
    <n v="40301"/>
    <n v="2"/>
    <n v="0"/>
    <n v="0.2175399987135116"/>
    <n v="3.0219728719052728E-2"/>
  </r>
  <r>
    <x v="78"/>
    <s v="b3C"/>
    <x v="2"/>
    <n v="2"/>
    <x v="0"/>
    <s v="BLUMENAU"/>
    <s v="SC"/>
    <n v="15013283"/>
    <n v="867026"/>
    <n v="10349258"/>
    <n v="13955963"/>
    <n v="2549732"/>
    <n v="1057321"/>
    <n v="0"/>
    <n v="0"/>
    <n v="0"/>
    <n v="5.7750593257983616E-2"/>
    <n v="0"/>
  </r>
  <r>
    <x v="79"/>
    <s v="b1"/>
    <x v="4"/>
    <n v="3"/>
    <x v="2"/>
    <s v="SAO PAULO"/>
    <s v="SP"/>
    <n v="14606558"/>
    <n v="13506814"/>
    <n v="927339"/>
    <n v="13161285"/>
    <n v="13090687"/>
    <n v="1445274"/>
    <n v="50461"/>
    <n v="2"/>
    <n v="1"/>
    <n v="0.92470888761061987"/>
    <n v="3.4914486803194408E-2"/>
  </r>
  <r>
    <x v="80"/>
    <s v="b2"/>
    <x v="2"/>
    <n v="3"/>
    <x v="2"/>
    <s v="SAO BERNARDO DO CAMPO"/>
    <s v="SP"/>
    <n v="14576177"/>
    <n v="13856076"/>
    <n v="1077"/>
    <n v="13361825"/>
    <n v="13257387"/>
    <n v="1214352"/>
    <n v="-73181"/>
    <n v="2"/>
    <n v="0"/>
    <n v="0.95059740287182293"/>
    <n v="-6.026341620880931E-2"/>
  </r>
  <r>
    <x v="81"/>
    <s v="b1"/>
    <x v="4"/>
    <n v="2"/>
    <x v="0"/>
    <s v="CURITIBA"/>
    <s v="PR"/>
    <n v="14353333"/>
    <n v="10228934"/>
    <n v="1948928"/>
    <n v="13028257"/>
    <n v="12590519"/>
    <n v="1325076"/>
    <n v="63848"/>
    <n v="4"/>
    <n v="0"/>
    <n v="0.71265217632726841"/>
    <n v="4.8184406026522256E-2"/>
  </r>
  <r>
    <x v="82"/>
    <s v="b3S"/>
    <x v="2"/>
    <n v="2"/>
    <x v="0"/>
    <s v="LUCAS DO RIO VERDE"/>
    <s v="MT"/>
    <n v="14275375"/>
    <n v="8240441"/>
    <n v="5115503"/>
    <n v="12116632"/>
    <n v="6937118"/>
    <n v="2158743"/>
    <n v="138820"/>
    <n v="0"/>
    <n v="52"/>
    <n v="0.57724865371312484"/>
    <n v="6.4305941003630351E-2"/>
  </r>
  <r>
    <x v="83"/>
    <s v="b3S"/>
    <x v="5"/>
    <n v="2"/>
    <x v="0"/>
    <s v="LINHARES"/>
    <s v="ES"/>
    <n v="14077036"/>
    <n v="8366223"/>
    <n v="1208342"/>
    <n v="11335914"/>
    <n v="9530472"/>
    <n v="2741123"/>
    <n v="344184"/>
    <n v="0"/>
    <n v="47"/>
    <n v="0.59431708493179958"/>
    <n v="0.12556313598477703"/>
  </r>
  <r>
    <x v="84"/>
    <s v="b3S"/>
    <x v="4"/>
    <n v="2"/>
    <x v="0"/>
    <s v="PALOTINA"/>
    <s v="PR"/>
    <n v="14018360"/>
    <n v="7916771"/>
    <n v="4987574"/>
    <n v="12804827"/>
    <n v="9042223"/>
    <n v="1213534"/>
    <n v="15132"/>
    <n v="0"/>
    <n v="99"/>
    <n v="0.56474302272163079"/>
    <n v="1.2469366330073983E-2"/>
  </r>
  <r>
    <x v="85"/>
    <s v="b3S"/>
    <x v="4"/>
    <n v="2"/>
    <x v="0"/>
    <s v="PONTA GROSSA"/>
    <s v="PR"/>
    <n v="13974601"/>
    <n v="7514227"/>
    <n v="5894205"/>
    <n v="12537460"/>
    <n v="9570690"/>
    <n v="1437140"/>
    <n v="112756"/>
    <n v="0"/>
    <n v="67"/>
    <n v="0.53770601393198991"/>
    <n v="7.8458605285497585E-2"/>
  </r>
  <r>
    <x v="86"/>
    <s v="b3S"/>
    <x v="4"/>
    <n v="2"/>
    <x v="0"/>
    <s v="CARLOS BARBOSA"/>
    <s v="RS"/>
    <n v="13586344"/>
    <n v="6300100"/>
    <n v="5905777"/>
    <n v="12207314"/>
    <n v="9533766"/>
    <n v="1379030"/>
    <n v="113959"/>
    <n v="0"/>
    <n v="53"/>
    <n v="0.46370826471050636"/>
    <n v="8.2637070984677638E-2"/>
  </r>
  <r>
    <x v="87"/>
    <s v="b3S"/>
    <x v="4"/>
    <n v="2"/>
    <x v="0"/>
    <s v="MEDIANEIRA"/>
    <s v="PR"/>
    <n v="13507632"/>
    <n v="6820737"/>
    <n v="5547449"/>
    <n v="11880745"/>
    <n v="8451752"/>
    <n v="1626887"/>
    <n v="164127"/>
    <n v="0"/>
    <n v="103"/>
    <n v="0.50495431027436932"/>
    <n v="0.10088408107016653"/>
  </r>
  <r>
    <x v="88"/>
    <s v="b3S"/>
    <x v="2"/>
    <n v="2"/>
    <x v="0"/>
    <s v="SERTAOZINHO"/>
    <s v="SP"/>
    <n v="13447581"/>
    <n v="7137064"/>
    <n v="507699"/>
    <n v="11588801"/>
    <n v="10812970"/>
    <n v="1858780"/>
    <n v="43795"/>
    <n v="0"/>
    <n v="43"/>
    <n v="0.53073218149792145"/>
    <n v="2.356115301434274E-2"/>
  </r>
  <r>
    <x v="89"/>
    <s v="b1"/>
    <x v="4"/>
    <n v="1"/>
    <x v="1"/>
    <s v="ARACAJU"/>
    <s v="SE"/>
    <n v="13095223"/>
    <n v="5161133"/>
    <n v="3681718"/>
    <n v="12111926"/>
    <n v="11542610"/>
    <n v="983297"/>
    <n v="62758"/>
    <n v="65"/>
    <n v="8"/>
    <n v="0.39412333795308413"/>
    <n v="6.3824053159930311E-2"/>
  </r>
  <r>
    <x v="90"/>
    <s v="b2"/>
    <x v="2"/>
    <n v="3"/>
    <x v="2"/>
    <s v="SAO PAULO"/>
    <s v="SP"/>
    <n v="12962999"/>
    <n v="10952867"/>
    <n v="0"/>
    <n v="11566878"/>
    <n v="11024860"/>
    <n v="1396120"/>
    <n v="138158"/>
    <n v="2"/>
    <n v="0"/>
    <n v="0.84493310537168131"/>
    <n v="9.8958542245652231E-2"/>
  </r>
  <r>
    <x v="91"/>
    <s v="b2"/>
    <x v="2"/>
    <n v="3"/>
    <x v="2"/>
    <s v="PORTO ALEGRE"/>
    <s v="RS"/>
    <n v="12747922"/>
    <n v="10633465"/>
    <n v="0"/>
    <n v="11203148"/>
    <n v="10577133"/>
    <n v="1544774"/>
    <n v="-82291"/>
    <n v="3"/>
    <n v="0"/>
    <n v="0.83413320225837595"/>
    <n v="-5.3270575501659145E-2"/>
  </r>
  <r>
    <x v="92"/>
    <s v="n4"/>
    <x v="2"/>
    <n v="2"/>
    <x v="0"/>
    <s v="SAO PAULO"/>
    <s v="SP"/>
    <n v="12442386"/>
    <n v="0"/>
    <n v="579802"/>
    <n v="9608844"/>
    <n v="3248317"/>
    <n v="2833542"/>
    <n v="353166"/>
    <n v="1"/>
    <n v="0"/>
    <n v="0"/>
    <n v="0.12463764433348791"/>
  </r>
  <r>
    <x v="93"/>
    <s v="b3S"/>
    <x v="4"/>
    <n v="2"/>
    <x v="0"/>
    <s v="NOVA PETROPOLIS"/>
    <s v="RS"/>
    <n v="12226563"/>
    <n v="6209920"/>
    <n v="4830757"/>
    <n v="10939887"/>
    <n v="9065460"/>
    <n v="1286676"/>
    <n v="93377"/>
    <n v="0"/>
    <n v="59"/>
    <n v="0.50790397922948582"/>
    <n v="7.2572271496476187E-2"/>
  </r>
  <r>
    <x v="94"/>
    <s v="b1"/>
    <x v="2"/>
    <n v="3"/>
    <x v="2"/>
    <s v="SAO PAULO"/>
    <s v="SP"/>
    <n v="12013998"/>
    <n v="3443386"/>
    <n v="4322735"/>
    <n v="10348619"/>
    <n v="9398798"/>
    <n v="1665379"/>
    <n v="44215"/>
    <n v="2"/>
    <n v="0"/>
    <n v="0.28661449752197393"/>
    <n v="2.6549512153089476E-2"/>
  </r>
  <r>
    <x v="95"/>
    <s v="b2"/>
    <x v="2"/>
    <n v="3"/>
    <x v="2"/>
    <s v="SAO PAULO"/>
    <s v="SP"/>
    <n v="11951773"/>
    <n v="9938301"/>
    <n v="303287"/>
    <n v="10456888"/>
    <n v="9497471"/>
    <n v="1494885"/>
    <n v="33633"/>
    <n v="4"/>
    <n v="0"/>
    <n v="0.83153361430140948"/>
    <n v="2.2498720637373442E-2"/>
  </r>
  <r>
    <x v="96"/>
    <s v="b3S"/>
    <x v="4"/>
    <n v="2"/>
    <x v="0"/>
    <s v="CHAPECO"/>
    <s v="SC"/>
    <n v="11925490"/>
    <n v="7818296"/>
    <n v="181850"/>
    <n v="10540985"/>
    <n v="8857750"/>
    <n v="1384505"/>
    <n v="139862"/>
    <n v="0"/>
    <n v="103"/>
    <n v="0.65559536756980219"/>
    <n v="0.10101949794330826"/>
  </r>
  <r>
    <x v="97"/>
    <s v="b3S"/>
    <x v="4"/>
    <n v="2"/>
    <x v="0"/>
    <s v="LONDRINA"/>
    <s v="PR"/>
    <n v="11545828"/>
    <n v="5767254"/>
    <n v="4148694"/>
    <n v="9645699"/>
    <n v="9078257"/>
    <n v="1900128"/>
    <n v="166110"/>
    <n v="0"/>
    <n v="50"/>
    <n v="0.49950977963641929"/>
    <n v="8.7420426413378466E-2"/>
  </r>
  <r>
    <x v="98"/>
    <s v="n1"/>
    <x v="2"/>
    <n v="2"/>
    <x v="0"/>
    <s v="BRASILIA"/>
    <s v="DF"/>
    <n v="11286494"/>
    <n v="5130634"/>
    <n v="1238420"/>
    <n v="3354854"/>
    <n v="3229622"/>
    <n v="7931640"/>
    <n v="123226"/>
    <n v="61"/>
    <n v="0"/>
    <n v="0.45458173282154757"/>
    <n v="1.5536005164127469E-2"/>
  </r>
  <r>
    <x v="99"/>
    <s v="n4"/>
    <x v="5"/>
    <n v="3"/>
    <x v="2"/>
    <s v="SAO PAULO"/>
    <s v="SP"/>
    <n v="11099227"/>
    <n v="0"/>
    <n v="2640376"/>
    <n v="5179821"/>
    <n v="1423695"/>
    <n v="5919406"/>
    <n v="769491"/>
    <n v="1"/>
    <n v="0"/>
    <n v="0"/>
    <n v="0.12999463121806479"/>
  </r>
  <r>
    <x v="100"/>
    <s v="b3S"/>
    <x v="4"/>
    <n v="2"/>
    <x v="0"/>
    <s v="SANTA ROSA"/>
    <s v="RS"/>
    <n v="10639748"/>
    <n v="6280671"/>
    <n v="3545702"/>
    <n v="9314803"/>
    <n v="5972633"/>
    <n v="1324945"/>
    <n v="101195"/>
    <n v="0"/>
    <n v="74"/>
    <n v="0.59030260867080686"/>
    <n v="7.6376755261539156E-2"/>
  </r>
  <r>
    <x v="101"/>
    <s v="b3S"/>
    <x v="5"/>
    <n v="2"/>
    <x v="0"/>
    <s v="BELO HORIZONTE"/>
    <s v="MG"/>
    <n v="10596586"/>
    <n v="4690192"/>
    <n v="196069"/>
    <n v="9130854"/>
    <n v="8391715"/>
    <n v="1465732"/>
    <n v="107626"/>
    <n v="0"/>
    <n v="54"/>
    <n v="0.44261349834748664"/>
    <n v="7.3428157398487584E-2"/>
  </r>
  <r>
    <x v="102"/>
    <s v="b3S"/>
    <x v="4"/>
    <n v="2"/>
    <x v="0"/>
    <s v="TANGARA DA SERRA"/>
    <s v="MT"/>
    <n v="10429410"/>
    <n v="5139880"/>
    <n v="4267337"/>
    <n v="9137080"/>
    <n v="6499937"/>
    <n v="1292330"/>
    <n v="74920"/>
    <n v="0"/>
    <n v="100"/>
    <n v="0.49282557690224088"/>
    <n v="5.7972808802705195E-2"/>
  </r>
  <r>
    <x v="103"/>
    <s v="b3S"/>
    <x v="5"/>
    <n v="2"/>
    <x v="0"/>
    <s v="GOIANIA"/>
    <s v="GO"/>
    <n v="10287933"/>
    <n v="5822341"/>
    <n v="126018"/>
    <n v="9212159"/>
    <n v="8620391"/>
    <n v="1075774"/>
    <n v="-63405"/>
    <n v="0"/>
    <n v="94"/>
    <n v="0.56593885282884326"/>
    <n v="-5.8938959298142544E-2"/>
  </r>
  <r>
    <x v="104"/>
    <s v="b1"/>
    <x v="4"/>
    <n v="3"/>
    <x v="2"/>
    <s v="SAO PAULO"/>
    <s v="SP"/>
    <n v="9817920"/>
    <n v="1491826"/>
    <n v="4759598"/>
    <n v="9487003"/>
    <n v="8704047"/>
    <n v="330917"/>
    <n v="-581406"/>
    <n v="3"/>
    <n v="0"/>
    <n v="0.15194929272187999"/>
    <n v="-1.756954160710994"/>
  </r>
  <r>
    <x v="105"/>
    <s v="n1"/>
    <x v="4"/>
    <n v="2"/>
    <x v="0"/>
    <s v="PORTO ALEGRE"/>
    <s v="RS"/>
    <n v="9681585"/>
    <n v="4410744"/>
    <n v="4265713"/>
    <n v="8970580"/>
    <n v="7871552"/>
    <n v="711005"/>
    <n v="23910"/>
    <n v="4"/>
    <n v="0"/>
    <n v="0.45558077525529134"/>
    <n v="3.3628455496093557E-2"/>
  </r>
  <r>
    <x v="106"/>
    <s v="b3C"/>
    <x v="4"/>
    <n v="2"/>
    <x v="0"/>
    <s v="MARINGA"/>
    <s v="PR"/>
    <n v="9673655"/>
    <n v="0"/>
    <n v="5544270"/>
    <n v="9170752"/>
    <n v="12358"/>
    <n v="502903"/>
    <n v="41528"/>
    <n v="0"/>
    <n v="0"/>
    <n v="0"/>
    <n v="8.2576560489796239E-2"/>
  </r>
  <r>
    <x v="107"/>
    <s v="b3S"/>
    <x v="4"/>
    <n v="2"/>
    <x v="0"/>
    <s v="DOURADOS"/>
    <s v="MS"/>
    <n v="9593676"/>
    <n v="5865696"/>
    <n v="2635353"/>
    <n v="8273179"/>
    <n v="5658920"/>
    <n v="1320497"/>
    <n v="-11290"/>
    <n v="0"/>
    <n v="63"/>
    <n v="0.61141276816102608"/>
    <n v="-8.5498111695823612E-3"/>
  </r>
  <r>
    <x v="108"/>
    <s v="b3C"/>
    <x v="4"/>
    <n v="2"/>
    <x v="0"/>
    <s v="GOIANIA"/>
    <s v="GO"/>
    <n v="9398098"/>
    <n v="84757"/>
    <n v="5085412"/>
    <n v="8589182"/>
    <n v="0"/>
    <n v="808917"/>
    <n v="38272"/>
    <n v="0"/>
    <n v="1"/>
    <n v="9.018526940238334E-3"/>
    <n v="4.7312641470014849E-2"/>
  </r>
  <r>
    <x v="109"/>
    <s v="b3S"/>
    <x v="4"/>
    <n v="2"/>
    <x v="0"/>
    <s v="CAMPO GRANDE"/>
    <s v="MS"/>
    <n v="9392669"/>
    <n v="5390917"/>
    <n v="2877767"/>
    <n v="8364627"/>
    <n v="5024687"/>
    <n v="1028042"/>
    <n v="47445"/>
    <n v="0"/>
    <n v="60"/>
    <n v="0.57394942800603321"/>
    <n v="4.615083819532665E-2"/>
  </r>
  <r>
    <x v="110"/>
    <s v="b1"/>
    <x v="2"/>
    <n v="2"/>
    <x v="0"/>
    <s v="BELO HORIZONTE"/>
    <s v="MG"/>
    <n v="9319011"/>
    <n v="2346761"/>
    <n v="2833063"/>
    <n v="8281145"/>
    <n v="7678118"/>
    <n v="1037866"/>
    <n v="46735"/>
    <n v="3"/>
    <n v="0"/>
    <n v="0.25182511320139017"/>
    <n v="4.5029897886625057E-2"/>
  </r>
  <r>
    <x v="111"/>
    <s v="b1"/>
    <x v="4"/>
    <n v="2"/>
    <x v="0"/>
    <s v="SAO PAULO"/>
    <s v="SP"/>
    <n v="9169083"/>
    <n v="4221080"/>
    <n v="1805306"/>
    <n v="2247776"/>
    <n v="1006598"/>
    <n v="6921307"/>
    <n v="91267"/>
    <n v="6"/>
    <n v="1194"/>
    <n v="0.46036010362213975"/>
    <n v="1.318638228299944E-2"/>
  </r>
  <r>
    <x v="112"/>
    <s v="b1"/>
    <x v="2"/>
    <n v="3"/>
    <x v="2"/>
    <s v="SAO PAULO"/>
    <s v="SP"/>
    <n v="9128133"/>
    <n v="1808271"/>
    <n v="3225298"/>
    <n v="7153636"/>
    <n v="6030391"/>
    <n v="1974496"/>
    <n v="23588"/>
    <n v="2"/>
    <n v="0"/>
    <n v="0.19809866924594546"/>
    <n v="1.194633972416252E-2"/>
  </r>
  <r>
    <x v="113"/>
    <s v="b3C"/>
    <x v="4"/>
    <n v="2"/>
    <x v="0"/>
    <s v="GOIANIA"/>
    <s v="GO"/>
    <n v="8966357"/>
    <n v="171308"/>
    <n v="2121755"/>
    <n v="8604194"/>
    <n v="6119"/>
    <n v="362163"/>
    <n v="28640"/>
    <n v="0"/>
    <n v="0"/>
    <n v="1.9105641231996449E-2"/>
    <n v="7.9080414067698793E-2"/>
  </r>
  <r>
    <x v="114"/>
    <s v="b3S"/>
    <x v="4"/>
    <n v="2"/>
    <x v="0"/>
    <s v="ERECHIM"/>
    <s v="RS"/>
    <n v="8886240"/>
    <n v="4355200"/>
    <n v="3695086"/>
    <n v="7904884"/>
    <n v="5826637"/>
    <n v="981357"/>
    <n v="72764"/>
    <n v="0"/>
    <n v="71"/>
    <n v="0.49010605160337778"/>
    <n v="7.4146309650820239E-2"/>
  </r>
  <r>
    <x v="115"/>
    <s v="b1"/>
    <x v="4"/>
    <n v="2"/>
    <x v="0"/>
    <s v="SAO PAULO"/>
    <s v="SP"/>
    <n v="8305899"/>
    <n v="5706342"/>
    <n v="1074834"/>
    <n v="7554103"/>
    <n v="6458000"/>
    <n v="751796"/>
    <n v="44746"/>
    <n v="13"/>
    <n v="0"/>
    <n v="0.6870228015052916"/>
    <n v="5.9518805633443111E-2"/>
  </r>
  <r>
    <x v="116"/>
    <s v="b3S"/>
    <x v="4"/>
    <n v="2"/>
    <x v="0"/>
    <s v="SORRISO"/>
    <s v="MT"/>
    <n v="8289955"/>
    <n v="3047856"/>
    <n v="4535970"/>
    <n v="6987568"/>
    <n v="5025327"/>
    <n v="1302387"/>
    <n v="128269"/>
    <n v="0"/>
    <n v="23"/>
    <n v="0.36765651924527937"/>
    <n v="9.848762311048867E-2"/>
  </r>
  <r>
    <x v="117"/>
    <s v="b2"/>
    <x v="4"/>
    <n v="3"/>
    <x v="2"/>
    <s v="PONTA GROSSA"/>
    <s v="PR"/>
    <n v="8264224"/>
    <n v="7613096"/>
    <n v="0"/>
    <n v="5386785"/>
    <n v="5155575"/>
    <n v="2877439"/>
    <n v="34966"/>
    <n v="2"/>
    <n v="0"/>
    <n v="0.92121123531985583"/>
    <n v="1.2151778022053639E-2"/>
  </r>
  <r>
    <x v="118"/>
    <s v="b1"/>
    <x v="4"/>
    <n v="3"/>
    <x v="2"/>
    <s v="SAO PAULO"/>
    <s v="SP"/>
    <n v="8109928"/>
    <n v="124566"/>
    <n v="1208503"/>
    <n v="6356540"/>
    <n v="3232439"/>
    <n v="1753388"/>
    <n v="59340"/>
    <n v="2"/>
    <n v="0"/>
    <n v="1.5359692465827071E-2"/>
    <n v="3.3843051281290851E-2"/>
  </r>
  <r>
    <x v="119"/>
    <s v="b3S"/>
    <x v="4"/>
    <n v="2"/>
    <x v="0"/>
    <s v="SAO MIGUEL D'OESTE"/>
    <s v="SC"/>
    <n v="8012202"/>
    <n v="4669445"/>
    <n v="102063"/>
    <n v="7136735"/>
    <n v="5737237"/>
    <n v="875466"/>
    <n v="90156"/>
    <n v="0"/>
    <n v="67"/>
    <n v="0.58279172192613216"/>
    <n v="0.10298058405466345"/>
  </r>
  <r>
    <x v="120"/>
    <s v="b3S"/>
    <x v="5"/>
    <n v="2"/>
    <x v="0"/>
    <s v="VILHENA"/>
    <s v="RO"/>
    <n v="7797398"/>
    <n v="4894374"/>
    <n v="128024"/>
    <n v="6463112"/>
    <n v="5469313"/>
    <n v="1334286"/>
    <n v="102132"/>
    <n v="0"/>
    <n v="47"/>
    <n v="0.62769323818022371"/>
    <n v="7.6544309091154367E-2"/>
  </r>
  <r>
    <x v="121"/>
    <s v="b3S"/>
    <x v="5"/>
    <n v="2"/>
    <x v="0"/>
    <s v="VENDA NOVA DO IMIGRANTE"/>
    <s v="ES"/>
    <n v="7709142"/>
    <n v="4734025"/>
    <n v="679880"/>
    <n v="6376913"/>
    <n v="5798229"/>
    <n v="1332229"/>
    <n v="160941"/>
    <n v="0"/>
    <n v="43"/>
    <n v="0.6140793618797008"/>
    <n v="0.12080580740998732"/>
  </r>
  <r>
    <x v="122"/>
    <s v="b3C"/>
    <x v="2"/>
    <n v="2"/>
    <x v="0"/>
    <s v="FRANCISCO BELTRAO"/>
    <s v="PR"/>
    <n v="7667718"/>
    <n v="0"/>
    <n v="2296079"/>
    <n v="7451784"/>
    <n v="1109082"/>
    <n v="215934"/>
    <n v="18575"/>
    <n v="0"/>
    <n v="0"/>
    <n v="0"/>
    <n v="8.6021654764881855E-2"/>
  </r>
  <r>
    <x v="123"/>
    <s v="n1"/>
    <x v="4"/>
    <n v="2"/>
    <x v="0"/>
    <s v="SAO PAULO"/>
    <s v="SP"/>
    <n v="7634789"/>
    <n v="4337620"/>
    <n v="2358681"/>
    <n v="6759703"/>
    <n v="5860117"/>
    <n v="875086"/>
    <n v="-20960"/>
    <n v="4"/>
    <n v="0"/>
    <n v="0.56813881824369994"/>
    <n v="-2.3951931581581695E-2"/>
  </r>
  <r>
    <x v="124"/>
    <s v="b3S"/>
    <x v="4"/>
    <n v="2"/>
    <x v="0"/>
    <s v="CRUZ ALTA"/>
    <s v="RS"/>
    <n v="7597702"/>
    <n v="5157460"/>
    <n v="1957449"/>
    <n v="6198618"/>
    <n v="2722048"/>
    <n v="1399084"/>
    <n v="64128"/>
    <n v="0"/>
    <n v="41"/>
    <n v="0.67881841114589647"/>
    <n v="4.5835703932001225E-2"/>
  </r>
  <r>
    <x v="125"/>
    <s v="b3S"/>
    <x v="5"/>
    <n v="2"/>
    <x v="0"/>
    <s v="MARINGA"/>
    <s v="PR"/>
    <n v="7450455"/>
    <n v="3941264"/>
    <n v="95370"/>
    <n v="6614889"/>
    <n v="5712286"/>
    <n v="835565"/>
    <n v="73225"/>
    <n v="0"/>
    <n v="91"/>
    <n v="0.52899641699735112"/>
    <n v="8.7635312632769441E-2"/>
  </r>
  <r>
    <x v="126"/>
    <s v="b3C"/>
    <x v="4"/>
    <n v="2"/>
    <x v="0"/>
    <s v="PASSO FUNDO"/>
    <s v="RS"/>
    <n v="7344967"/>
    <n v="70447"/>
    <n v="1442519"/>
    <n v="7030518"/>
    <n v="3969962"/>
    <n v="314449"/>
    <n v="9645"/>
    <n v="0"/>
    <n v="0"/>
    <n v="9.5911935342936194E-3"/>
    <n v="3.0672700501512169E-2"/>
  </r>
  <r>
    <x v="127"/>
    <s v="b3C"/>
    <x v="4"/>
    <n v="2"/>
    <x v="0"/>
    <s v="PORTO VELHO"/>
    <s v="RO"/>
    <n v="7156587"/>
    <n v="0"/>
    <n v="1530024"/>
    <n v="6765041"/>
    <n v="19788"/>
    <n v="391545"/>
    <n v="31485"/>
    <n v="0"/>
    <n v="0"/>
    <n v="0"/>
    <n v="8.0412213155575993E-2"/>
  </r>
  <r>
    <x v="128"/>
    <s v="n4"/>
    <x v="4"/>
    <n v="3"/>
    <x v="2"/>
    <s v="SAO PAULO"/>
    <s v="SP"/>
    <n v="7128230"/>
    <n v="0"/>
    <n v="57602"/>
    <n v="5428185"/>
    <n v="1436051"/>
    <n v="1700046"/>
    <n v="7241"/>
    <n v="1"/>
    <n v="0"/>
    <n v="0"/>
    <n v="4.2592965131531737E-3"/>
  </r>
  <r>
    <x v="129"/>
    <s v="b3S"/>
    <x v="4"/>
    <n v="2"/>
    <x v="0"/>
    <s v="ENCANTADO"/>
    <s v="RS"/>
    <n v="7090260"/>
    <n v="1795225"/>
    <n v="4733686"/>
    <n v="5601399"/>
    <n v="4982889"/>
    <n v="1488860"/>
    <n v="137717"/>
    <n v="0"/>
    <n v="21"/>
    <n v="0.25319593357648379"/>
    <n v="9.2498287280200958E-2"/>
  </r>
  <r>
    <x v="130"/>
    <s v="b2"/>
    <x v="4"/>
    <n v="3"/>
    <x v="2"/>
    <s v="SAO PAULO"/>
    <s v="SP"/>
    <n v="6985150"/>
    <n v="206228"/>
    <n v="5799868"/>
    <n v="6468107"/>
    <n v="6301417"/>
    <n v="517042"/>
    <n v="-20340"/>
    <n v="6"/>
    <n v="0"/>
    <n v="2.9523775437893245E-2"/>
    <n v="-3.9339163936392016E-2"/>
  </r>
  <r>
    <x v="131"/>
    <s v="b1"/>
    <x v="4"/>
    <n v="2"/>
    <x v="0"/>
    <s v="SAO PAULO"/>
    <s v="SP"/>
    <n v="6922792"/>
    <n v="4983551"/>
    <n v="430931"/>
    <n v="6001189"/>
    <n v="5605607"/>
    <n v="921603"/>
    <n v="3161"/>
    <n v="8"/>
    <n v="0"/>
    <n v="0.71987588244742873"/>
    <n v="3.4298933488714771E-3"/>
  </r>
  <r>
    <x v="132"/>
    <s v="b3S"/>
    <x v="4"/>
    <n v="2"/>
    <x v="0"/>
    <s v="MARAU"/>
    <s v="RS"/>
    <n v="6738109"/>
    <n v="3381902"/>
    <n v="2653159"/>
    <n v="6036798"/>
    <n v="4330744"/>
    <n v="701311"/>
    <n v="63169"/>
    <n v="0"/>
    <n v="64"/>
    <n v="0.50190669221884066"/>
    <n v="9.0072735205921475E-2"/>
  </r>
  <r>
    <x v="133"/>
    <s v="b2"/>
    <x v="4"/>
    <n v="3"/>
    <x v="2"/>
    <s v="SAO PAULO"/>
    <s v="SP"/>
    <n v="6728365"/>
    <n v="5045598"/>
    <n v="300929"/>
    <n v="5269499"/>
    <n v="5249290"/>
    <n v="1458866"/>
    <n v="27428"/>
    <n v="2"/>
    <n v="0"/>
    <n v="0.74989956698246896"/>
    <n v="1.8800904263996832E-2"/>
  </r>
  <r>
    <x v="134"/>
    <s v="b3S"/>
    <x v="4"/>
    <n v="2"/>
    <x v="0"/>
    <s v="COLIDER"/>
    <s v="MT"/>
    <n v="6709540"/>
    <n v="3134146"/>
    <n v="2625446"/>
    <n v="5797217"/>
    <n v="4132297"/>
    <n v="912323"/>
    <n v="27824"/>
    <n v="0"/>
    <n v="52"/>
    <n v="0.46711786501011993"/>
    <n v="3.0497970565249367E-2"/>
  </r>
  <r>
    <x v="135"/>
    <s v="b3S"/>
    <x v="5"/>
    <n v="2"/>
    <x v="0"/>
    <s v="ARAGUARI"/>
    <s v="MG"/>
    <n v="6440975"/>
    <n v="4276888"/>
    <n v="101468"/>
    <n v="5742632"/>
    <n v="4257310"/>
    <n v="698343"/>
    <n v="-58960"/>
    <n v="0"/>
    <n v="37"/>
    <n v="0.66401251363341729"/>
    <n v="-8.4428425573106619E-2"/>
  </r>
  <r>
    <x v="136"/>
    <s v="b3S"/>
    <x v="4"/>
    <n v="2"/>
    <x v="0"/>
    <s v="MARECHAL CANDIDO RONDON"/>
    <s v="PR"/>
    <n v="6153198"/>
    <n v="4146753"/>
    <n v="1513457"/>
    <n v="5607802"/>
    <n v="3684186"/>
    <n v="545396"/>
    <n v="6265"/>
    <n v="0"/>
    <n v="38"/>
    <n v="0.67391834294947117"/>
    <n v="1.1487066278447221E-2"/>
  </r>
  <r>
    <x v="137"/>
    <s v="b3S"/>
    <x v="5"/>
    <n v="2"/>
    <x v="0"/>
    <s v="CACHOEIRO DE ITAPEMIRIM"/>
    <s v="ES"/>
    <n v="6150462"/>
    <n v="2426734"/>
    <n v="580660"/>
    <n v="5062692"/>
    <n v="4713804"/>
    <n v="1087770"/>
    <n v="126692"/>
    <n v="0"/>
    <n v="42"/>
    <n v="0.39456125409765963"/>
    <n v="0.11646947424547469"/>
  </r>
  <r>
    <x v="138"/>
    <s v="n1"/>
    <x v="4"/>
    <n v="3"/>
    <x v="2"/>
    <s v="PORTO ALEGRE"/>
    <s v="RS"/>
    <n v="6127059"/>
    <n v="5052520"/>
    <n v="358837"/>
    <n v="5114215"/>
    <n v="1401791"/>
    <n v="1012844"/>
    <n v="87801"/>
    <n v="2"/>
    <n v="0"/>
    <n v="0.82462401618786441"/>
    <n v="8.6687584662593645E-2"/>
  </r>
  <r>
    <x v="139"/>
    <s v="b3S"/>
    <x v="4"/>
    <n v="2"/>
    <x v="0"/>
    <s v="RODEIO BONITO"/>
    <s v="RS"/>
    <n v="6025512"/>
    <n v="3904119"/>
    <n v="1766625"/>
    <n v="5245617"/>
    <n v="3895892"/>
    <n v="779896"/>
    <n v="43690"/>
    <n v="0"/>
    <n v="65"/>
    <n v="0.64793149528206073"/>
    <n v="5.6020289884805154E-2"/>
  </r>
  <r>
    <x v="140"/>
    <s v="b3S"/>
    <x v="5"/>
    <n v="2"/>
    <x v="0"/>
    <s v="PIMENTA BUENO"/>
    <s v="RO"/>
    <n v="5947631"/>
    <n v="2715140"/>
    <n v="122142"/>
    <n v="5082570"/>
    <n v="4215916"/>
    <n v="865061"/>
    <n v="84355"/>
    <n v="0"/>
    <n v="48"/>
    <n v="0.45650780957998233"/>
    <n v="9.7513354549563558E-2"/>
  </r>
  <r>
    <x v="141"/>
    <s v="n1"/>
    <x v="4"/>
    <n v="2"/>
    <x v="0"/>
    <s v="SAO PAULO"/>
    <s v="SP"/>
    <n v="5910371"/>
    <n v="4911404"/>
    <n v="142443"/>
    <n v="4604461"/>
    <n v="955770"/>
    <n v="1305911"/>
    <n v="53482"/>
    <n v="2"/>
    <n v="0"/>
    <n v="0.83098066094328094"/>
    <n v="4.0953786284057644E-2"/>
  </r>
  <r>
    <x v="142"/>
    <s v="b2"/>
    <x v="4"/>
    <n v="3"/>
    <x v="2"/>
    <s v="SAO PAULO"/>
    <s v="SP"/>
    <n v="5908741"/>
    <n v="5699352"/>
    <n v="0"/>
    <n v="4565835"/>
    <n v="4284526"/>
    <n v="1342907"/>
    <n v="21772"/>
    <n v="2"/>
    <n v="0"/>
    <n v="0.96456284003648152"/>
    <n v="1.6212589553855926E-2"/>
  </r>
  <r>
    <x v="143"/>
    <s v="b3S"/>
    <x v="5"/>
    <n v="2"/>
    <x v="0"/>
    <s v="CANOINHAS"/>
    <s v="SC"/>
    <n v="5864997"/>
    <n v="3484517"/>
    <n v="93410"/>
    <n v="5176305"/>
    <n v="4200019"/>
    <n v="688692"/>
    <n v="96744"/>
    <n v="0"/>
    <n v="43"/>
    <n v="0.59412084950768096"/>
    <n v="0.14047498736735725"/>
  </r>
  <r>
    <x v="144"/>
    <s v="n4"/>
    <x v="1"/>
    <n v="1"/>
    <x v="1"/>
    <s v="PORTO ALEGRE"/>
    <s v="RS"/>
    <n v="5840339"/>
    <n v="13422"/>
    <n v="2078296"/>
    <n v="2843018"/>
    <n v="446078"/>
    <n v="2997321"/>
    <n v="234895"/>
    <n v="1"/>
    <n v="0"/>
    <n v="2.2981542680998485E-3"/>
    <n v="7.8368316239735419E-2"/>
  </r>
  <r>
    <x v="145"/>
    <s v="b3C"/>
    <x v="4"/>
    <n v="2"/>
    <x v="0"/>
    <s v="CHAPECO"/>
    <s v="SC"/>
    <n v="5757818"/>
    <n v="117078"/>
    <n v="1739421"/>
    <n v="5373679"/>
    <n v="2897611"/>
    <n v="384138"/>
    <n v="6703"/>
    <n v="0"/>
    <n v="0"/>
    <n v="2.0333744484455744E-2"/>
    <n v="1.7449458267601747E-2"/>
  </r>
  <r>
    <x v="146"/>
    <s v="b3S"/>
    <x v="4"/>
    <n v="2"/>
    <x v="0"/>
    <s v="ITAPEMA"/>
    <s v="SC"/>
    <n v="5719662"/>
    <n v="3339910"/>
    <n v="1938620"/>
    <n v="4949213"/>
    <n v="4208550"/>
    <n v="770449"/>
    <n v="97940"/>
    <n v="0"/>
    <n v="42"/>
    <n v="0.5839348548917751"/>
    <n v="0.12712067898069826"/>
  </r>
  <r>
    <x v="147"/>
    <s v="n4"/>
    <x v="4"/>
    <n v="2"/>
    <x v="0"/>
    <s v="SAO PAULO"/>
    <s v="SP"/>
    <n v="5693593"/>
    <n v="2749466"/>
    <n v="285902"/>
    <n v="5209013"/>
    <n v="1424737"/>
    <n v="484580"/>
    <n v="62997"/>
    <n v="1"/>
    <n v="0"/>
    <n v="0.4829052585950559"/>
    <n v="0.13000330182838746"/>
  </r>
  <r>
    <x v="148"/>
    <s v="n2"/>
    <x v="4"/>
    <n v="2"/>
    <x v="0"/>
    <s v="PORTO ALEGRE"/>
    <s v="RS"/>
    <n v="5689169"/>
    <n v="0"/>
    <n v="74567"/>
    <n v="5622109"/>
    <n v="5571532"/>
    <n v="67060"/>
    <n v="-12511"/>
    <n v="4"/>
    <n v="0"/>
    <n v="0"/>
    <n v="-0.18656427080226662"/>
  </r>
  <r>
    <x v="149"/>
    <s v="n4"/>
    <x v="4"/>
    <n v="3"/>
    <x v="2"/>
    <s v="SAO PAULO"/>
    <s v="SP"/>
    <n v="5605239"/>
    <n v="0"/>
    <n v="1702943"/>
    <n v="5191285"/>
    <n v="1527129"/>
    <n v="413953"/>
    <n v="183581"/>
    <n v="1"/>
    <n v="0"/>
    <n v="0"/>
    <n v="0.44348271422117969"/>
  </r>
  <r>
    <x v="150"/>
    <s v="n4"/>
    <x v="5"/>
    <n v="2"/>
    <x v="0"/>
    <s v="OSASCO"/>
    <s v="SP"/>
    <n v="5601767"/>
    <n v="0"/>
    <n v="83223"/>
    <n v="5150710"/>
    <n v="2793620"/>
    <n v="451057"/>
    <n v="157740"/>
    <n v="1"/>
    <n v="0"/>
    <n v="0"/>
    <n v="0.34971189893960186"/>
  </r>
  <r>
    <x v="151"/>
    <s v="b3S"/>
    <x v="4"/>
    <n v="2"/>
    <x v="0"/>
    <s v="TEUTONIA"/>
    <s v="RS"/>
    <n v="5518860"/>
    <n v="3014084"/>
    <n v="1999359"/>
    <n v="4797328"/>
    <n v="3759992"/>
    <n v="721533"/>
    <n v="63192"/>
    <n v="0"/>
    <n v="37"/>
    <n v="0.54614250044393231"/>
    <n v="8.7580193837288101E-2"/>
  </r>
  <r>
    <x v="152"/>
    <s v="b1"/>
    <x v="4"/>
    <n v="2"/>
    <x v="0"/>
    <s v="RIO DE JANEIRO"/>
    <s v="RJ"/>
    <n v="5497490"/>
    <n v="349554"/>
    <n v="2839440"/>
    <n v="5357627"/>
    <n v="3955496"/>
    <n v="139863"/>
    <n v="-72542"/>
    <n v="11"/>
    <n v="2"/>
    <n v="6.3584290285202877E-2"/>
    <n v="-0.51866469330702192"/>
  </r>
  <r>
    <x v="153"/>
    <s v="b3S"/>
    <x v="4"/>
    <n v="2"/>
    <x v="0"/>
    <s v="PELOTAS"/>
    <s v="RS"/>
    <n v="5480854"/>
    <n v="2414154"/>
    <n v="2362178"/>
    <n v="4749686"/>
    <n v="3640564"/>
    <n v="731168"/>
    <n v="67567"/>
    <n v="0"/>
    <n v="42"/>
    <n v="0.44047040844364765"/>
    <n v="9.2409678760558445E-2"/>
  </r>
  <r>
    <x v="154"/>
    <s v="n1"/>
    <x v="4"/>
    <n v="2"/>
    <x v="0"/>
    <s v="SAO PAULO"/>
    <s v="SP"/>
    <n v="5396429"/>
    <n v="3146654"/>
    <n v="380061"/>
    <n v="4330973"/>
    <n v="2403206"/>
    <n v="1065456"/>
    <n v="5623"/>
    <n v="2"/>
    <n v="0"/>
    <n v="0.58309930511454888"/>
    <n v="5.2775525221125975E-3"/>
  </r>
  <r>
    <x v="155"/>
    <s v="n1"/>
    <x v="4"/>
    <n v="3"/>
    <x v="2"/>
    <s v="SAO PAULO"/>
    <s v="SP"/>
    <n v="5320020"/>
    <n v="202040"/>
    <n v="820052"/>
    <n v="4207903"/>
    <n v="3721450"/>
    <n v="1112117"/>
    <n v="214159"/>
    <n v="4"/>
    <n v="0"/>
    <n v="3.79773008372149E-2"/>
    <n v="0.19256876749478696"/>
  </r>
  <r>
    <x v="156"/>
    <s v="b3S"/>
    <x v="5"/>
    <n v="2"/>
    <x v="0"/>
    <s v="RIO VERDE"/>
    <s v="GO"/>
    <n v="5255197"/>
    <n v="2414287"/>
    <n v="268857"/>
    <n v="3712056"/>
    <n v="3478935"/>
    <n v="1543140"/>
    <n v="55905"/>
    <n v="0"/>
    <n v="34"/>
    <n v="0.45940941890475279"/>
    <n v="3.622808040748085E-2"/>
  </r>
  <r>
    <x v="157"/>
    <s v="b3S"/>
    <x v="4"/>
    <n v="2"/>
    <x v="0"/>
    <s v="TAPEJARA"/>
    <s v="RS"/>
    <n v="5237017"/>
    <n v="3269865"/>
    <n v="1690494"/>
    <n v="4578165"/>
    <n v="2875361"/>
    <n v="658852"/>
    <n v="51433"/>
    <n v="0"/>
    <n v="43"/>
    <n v="0.62437547939981863"/>
    <n v="7.8064572923812942E-2"/>
  </r>
  <r>
    <x v="158"/>
    <s v="b3S"/>
    <x v="4"/>
    <n v="2"/>
    <x v="0"/>
    <s v="JOINVILLE"/>
    <s v="SC"/>
    <n v="5226965"/>
    <n v="2502039"/>
    <n v="2315549"/>
    <n v="4486752"/>
    <n v="3966163"/>
    <n v="740213"/>
    <n v="80060"/>
    <n v="0"/>
    <n v="42"/>
    <n v="0.47867911876203495"/>
    <n v="0.10815805720785773"/>
  </r>
  <r>
    <x v="159"/>
    <s v="b3S"/>
    <x v="4"/>
    <n v="2"/>
    <x v="0"/>
    <s v="CAPANEMA"/>
    <s v="PR"/>
    <n v="5120654"/>
    <n v="3007322"/>
    <n v="1781578"/>
    <n v="4552206"/>
    <n v="3233206"/>
    <n v="568449"/>
    <n v="14813"/>
    <n v="0"/>
    <n v="48"/>
    <n v="0.58729256067681979"/>
    <n v="2.6058626191619652E-2"/>
  </r>
  <r>
    <x v="160"/>
    <s v="b3S"/>
    <x v="4"/>
    <n v="2"/>
    <x v="0"/>
    <s v="SANTA MARIA"/>
    <s v="RS"/>
    <n v="5080095"/>
    <n v="2825843"/>
    <n v="1742638"/>
    <n v="4400213"/>
    <n v="3127441"/>
    <n v="679882"/>
    <n v="39849"/>
    <n v="0"/>
    <n v="52"/>
    <n v="0.55625790462579927"/>
    <n v="5.8611641431895532E-2"/>
  </r>
  <r>
    <x v="161"/>
    <s v="b3S"/>
    <x v="4"/>
    <n v="2"/>
    <x v="0"/>
    <s v="LAJEADO"/>
    <s v="RS"/>
    <n v="5006767"/>
    <n v="2253045"/>
    <n v="1985392"/>
    <n v="4281566"/>
    <n v="3569795"/>
    <n v="725201"/>
    <n v="91288"/>
    <n v="0"/>
    <n v="42"/>
    <n v="0.44999997004054715"/>
    <n v="0.12587958372920061"/>
  </r>
  <r>
    <x v="162"/>
    <s v="b3S"/>
    <x v="5"/>
    <n v="2"/>
    <x v="0"/>
    <s v="SANTA MARIA DE JETIBA"/>
    <s v="ES"/>
    <n v="5001705"/>
    <n v="2465775"/>
    <n v="417999"/>
    <n v="4294849"/>
    <n v="3809418"/>
    <n v="706857"/>
    <n v="89771"/>
    <n v="0"/>
    <n v="26"/>
    <n v="0.49298689147000874"/>
    <n v="0.12700022776884151"/>
  </r>
  <r>
    <x v="163"/>
    <s v="b3S"/>
    <x v="4"/>
    <n v="2"/>
    <x v="0"/>
    <s v="MANDAGUARI"/>
    <s v="PR"/>
    <n v="5001481"/>
    <n v="2405513"/>
    <n v="2274203"/>
    <n v="4513039"/>
    <n v="3579169"/>
    <n v="488442"/>
    <n v="56092"/>
    <n v="0"/>
    <n v="43"/>
    <n v="0.48096013960664852"/>
    <n v="0.11483860929240319"/>
  </r>
  <r>
    <x v="164"/>
    <s v="b3S"/>
    <x v="4"/>
    <n v="2"/>
    <x v="0"/>
    <s v="SAO GABRIEL DO OESTE"/>
    <s v="MS"/>
    <n v="4955393"/>
    <n v="2543544"/>
    <n v="1776853"/>
    <n v="4170475"/>
    <n v="2524489"/>
    <n v="784918"/>
    <n v="17861"/>
    <n v="0"/>
    <n v="37"/>
    <n v="0.51328804799135008"/>
    <n v="2.2755243222858948E-2"/>
  </r>
  <r>
    <x v="165"/>
    <s v="b3S"/>
    <x v="5"/>
    <n v="2"/>
    <x v="0"/>
    <s v="ANAPOLIS"/>
    <s v="GO"/>
    <n v="4900497"/>
    <n v="2806982"/>
    <n v="64904"/>
    <n v="4355306"/>
    <n v="4069063"/>
    <n v="545191"/>
    <n v="40727"/>
    <n v="0"/>
    <n v="61"/>
    <n v="0.57279537157149574"/>
    <n v="7.4702260308772528E-2"/>
  </r>
  <r>
    <x v="166"/>
    <s v="b1"/>
    <x v="4"/>
    <n v="3"/>
    <x v="2"/>
    <s v="PORTO ALEGRE"/>
    <s v="RS"/>
    <n v="4867454"/>
    <n v="4058265"/>
    <n v="133330"/>
    <n v="4580926"/>
    <n v="4427000"/>
    <n v="286528"/>
    <n v="-15088"/>
    <n v="2"/>
    <n v="0"/>
    <n v="0.83375518289438377"/>
    <n v="-5.2658029930757203E-2"/>
  </r>
  <r>
    <x v="167"/>
    <s v="b3S"/>
    <x v="4"/>
    <n v="2"/>
    <x v="0"/>
    <s v="PORTO ALEGRE"/>
    <s v="RS"/>
    <n v="4823195"/>
    <n v="2063713"/>
    <n v="2358709"/>
    <n v="4361957"/>
    <n v="3701135"/>
    <n v="461238"/>
    <n v="35402"/>
    <n v="0"/>
    <n v="32"/>
    <n v="0.42787260311888697"/>
    <n v="7.6754300382882584E-2"/>
  </r>
  <r>
    <x v="168"/>
    <s v="b3S"/>
    <x v="4"/>
    <n v="2"/>
    <x v="0"/>
    <s v="CANARANA"/>
    <s v="MT"/>
    <n v="4809081"/>
    <n v="3029511"/>
    <n v="860496"/>
    <n v="4250410"/>
    <n v="2599551"/>
    <n v="558671"/>
    <n v="-94630"/>
    <n v="0"/>
    <n v="33"/>
    <n v="0.62995632637503918"/>
    <n v="-0.16938412768874705"/>
  </r>
  <r>
    <x v="169"/>
    <s v="b1"/>
    <x v="4"/>
    <n v="2"/>
    <x v="0"/>
    <s v="SAO PAULO"/>
    <s v="SP"/>
    <n v="4771435"/>
    <n v="519289"/>
    <n v="551149"/>
    <n v="4215511"/>
    <n v="3140110"/>
    <n v="555924"/>
    <n v="73001"/>
    <n v="14"/>
    <n v="1"/>
    <n v="0.10883287732097367"/>
    <n v="0.13131471208294659"/>
  </r>
  <r>
    <x v="170"/>
    <s v="b3S"/>
    <x v="4"/>
    <n v="2"/>
    <x v="0"/>
    <s v="CAMPO MOURAO"/>
    <s v="PR"/>
    <n v="4761886"/>
    <n v="2112846"/>
    <n v="272749"/>
    <n v="2941561"/>
    <n v="2702820"/>
    <n v="1820326"/>
    <n v="150861"/>
    <n v="0"/>
    <n v="53"/>
    <n v="0.44369940817566822"/>
    <n v="8.2875814551898949E-2"/>
  </r>
  <r>
    <x v="171"/>
    <s v="b3S"/>
    <x v="4"/>
    <n v="2"/>
    <x v="0"/>
    <s v="SARANDI"/>
    <s v="RS"/>
    <n v="4743625"/>
    <n v="2649065"/>
    <n v="1563458"/>
    <n v="4294414"/>
    <n v="3216918"/>
    <n v="449211"/>
    <n v="-21007"/>
    <n v="0"/>
    <n v="44"/>
    <n v="0.55844738991804788"/>
    <n v="-4.6764215480030541E-2"/>
  </r>
  <r>
    <x v="172"/>
    <s v="b3S"/>
    <x v="4"/>
    <n v="2"/>
    <x v="0"/>
    <s v="MARIOPOLIS"/>
    <s v="PR"/>
    <n v="4711067"/>
    <n v="2604416"/>
    <n v="1757371"/>
    <n v="4251167"/>
    <n v="3104437"/>
    <n v="459900"/>
    <n v="31316"/>
    <n v="0"/>
    <n v="48"/>
    <n v="0.55282932719912492"/>
    <n v="6.8093063709502064E-2"/>
  </r>
  <r>
    <x v="173"/>
    <s v="b3S"/>
    <x v="4"/>
    <n v="2"/>
    <x v="0"/>
    <s v="IBIRAIARAS"/>
    <s v="RS"/>
    <n v="4708756"/>
    <n v="2442816"/>
    <n v="1900759"/>
    <n v="3974929"/>
    <n v="2831124"/>
    <n v="733827"/>
    <n v="43745"/>
    <n v="0"/>
    <n v="43"/>
    <n v="0.51878160601228862"/>
    <n v="5.9612142916518472E-2"/>
  </r>
  <r>
    <x v="174"/>
    <s v="b1"/>
    <x v="4"/>
    <n v="2"/>
    <x v="0"/>
    <s v="UBERLANDIA"/>
    <s v="MG"/>
    <n v="4694166"/>
    <n v="2081191"/>
    <n v="202378"/>
    <n v="4151046"/>
    <n v="3006019"/>
    <n v="543120"/>
    <n v="6616"/>
    <n v="2"/>
    <n v="0"/>
    <n v="0.44335692431839863"/>
    <n v="1.2181470025040506E-2"/>
  </r>
  <r>
    <x v="175"/>
    <s v="n1"/>
    <x v="4"/>
    <n v="1"/>
    <x v="1"/>
    <s v="CURITIBA"/>
    <s v="PR"/>
    <n v="4693143"/>
    <n v="1705318"/>
    <n v="2877681"/>
    <n v="627711"/>
    <n v="462814"/>
    <n v="4065433"/>
    <n v="178193"/>
    <n v="2"/>
    <n v="0"/>
    <n v="0.36336374152673379"/>
    <n v="4.3831247495654216E-2"/>
  </r>
  <r>
    <x v="176"/>
    <s v="b3S"/>
    <x v="4"/>
    <n v="2"/>
    <x v="0"/>
    <s v="SAO JOAO"/>
    <s v="PR"/>
    <n v="4628457"/>
    <n v="2759911"/>
    <n v="1477685"/>
    <n v="4052907"/>
    <n v="2926934"/>
    <n v="575550"/>
    <n v="39506"/>
    <n v="0"/>
    <n v="41"/>
    <n v="0.59629180955985983"/>
    <n v="6.8640430892190074E-2"/>
  </r>
  <r>
    <x v="177"/>
    <s v="b3S"/>
    <x v="4"/>
    <n v="2"/>
    <x v="0"/>
    <s v="ITAJAI"/>
    <s v="SC"/>
    <n v="4623919"/>
    <n v="2226604"/>
    <n v="62988"/>
    <n v="4278904"/>
    <n v="4034494"/>
    <n v="345015"/>
    <n v="4137"/>
    <n v="0"/>
    <n v="33"/>
    <n v="0.48154044220930342"/>
    <n v="1.1990783009434373E-2"/>
  </r>
  <r>
    <x v="178"/>
    <s v="b3S"/>
    <x v="4"/>
    <n v="2"/>
    <x v="0"/>
    <s v="JOAO PESSOA"/>
    <s v="PB"/>
    <n v="4619477"/>
    <n v="2203747"/>
    <n v="1878095"/>
    <n v="3944573"/>
    <n v="3362668"/>
    <n v="674904"/>
    <n v="61351"/>
    <n v="0"/>
    <n v="35"/>
    <n v="0.47705551948846159"/>
    <n v="9.0903298839538654E-2"/>
  </r>
  <r>
    <x v="179"/>
    <s v="b3S"/>
    <x v="4"/>
    <n v="2"/>
    <x v="0"/>
    <s v="ARAPOTI"/>
    <s v="PR"/>
    <n v="4611344"/>
    <n v="2511048"/>
    <n v="1827077"/>
    <n v="4149322"/>
    <n v="3147337"/>
    <n v="462022"/>
    <n v="56029"/>
    <n v="0"/>
    <n v="34"/>
    <n v="0.54453712410091293"/>
    <n v="0.12126911705503202"/>
  </r>
  <r>
    <x v="180"/>
    <s v="b3S"/>
    <x v="5"/>
    <n v="2"/>
    <x v="0"/>
    <s v="FLORIANOPOLIS"/>
    <s v="SC"/>
    <n v="4592109"/>
    <n v="2119061"/>
    <n v="98016"/>
    <n v="4086659"/>
    <n v="3821250"/>
    <n v="505450"/>
    <n v="37386"/>
    <n v="0"/>
    <n v="23"/>
    <n v="0.46145703422980594"/>
    <n v="7.3965773073498858E-2"/>
  </r>
  <r>
    <x v="181"/>
    <s v="b3S"/>
    <x v="4"/>
    <n v="2"/>
    <x v="0"/>
    <s v="GOIANIA"/>
    <s v="GO"/>
    <n v="4576649"/>
    <n v="1918926"/>
    <n v="95106"/>
    <n v="3981973"/>
    <n v="3614558"/>
    <n v="594676"/>
    <n v="20745"/>
    <n v="0"/>
    <n v="13"/>
    <n v="0.41928625070439091"/>
    <n v="3.4884542170862787E-2"/>
  </r>
  <r>
    <x v="182"/>
    <s v="n1"/>
    <x v="4"/>
    <n v="2"/>
    <x v="0"/>
    <s v="SAO JOSE DOS CAMPOS"/>
    <s v="SP"/>
    <n v="4430137"/>
    <n v="3009463"/>
    <n v="304040"/>
    <n v="3791172"/>
    <n v="2097512"/>
    <n v="638966"/>
    <n v="77505"/>
    <n v="4"/>
    <n v="0"/>
    <n v="0.67931601212332715"/>
    <n v="0.12129753382809101"/>
  </r>
  <r>
    <x v="183"/>
    <s v="b3S"/>
    <x v="4"/>
    <n v="2"/>
    <x v="0"/>
    <s v="ITAQUI"/>
    <s v="RS"/>
    <n v="4396565"/>
    <n v="2418705"/>
    <n v="1725897"/>
    <n v="3713519"/>
    <n v="2413371"/>
    <n v="683045"/>
    <n v="47363"/>
    <n v="0"/>
    <n v="27"/>
    <n v="0.5501351623369608"/>
    <n v="6.934096582216398E-2"/>
  </r>
  <r>
    <x v="184"/>
    <s v="b3S"/>
    <x v="4"/>
    <n v="2"/>
    <x v="0"/>
    <s v="JUINA"/>
    <s v="MT"/>
    <n v="4353921"/>
    <n v="2093169"/>
    <n v="1630122"/>
    <n v="3728002"/>
    <n v="2693904"/>
    <n v="625919"/>
    <n v="11184"/>
    <n v="0"/>
    <n v="46"/>
    <n v="0.4807549333118355"/>
    <n v="1.7868126706490777E-2"/>
  </r>
  <r>
    <x v="185"/>
    <s v="b3S"/>
    <x v="4"/>
    <n v="2"/>
    <x v="0"/>
    <s v="CRICIUMA"/>
    <s v="SC"/>
    <n v="4293025"/>
    <n v="1931981"/>
    <n v="2082784"/>
    <n v="3926078"/>
    <n v="3248681"/>
    <n v="366947"/>
    <n v="30621"/>
    <n v="0"/>
    <n v="30"/>
    <n v="0.45002789408400834"/>
    <n v="8.3448018378675937E-2"/>
  </r>
  <r>
    <x v="186"/>
    <s v="b3S"/>
    <x v="4"/>
    <n v="2"/>
    <x v="0"/>
    <s v="CAMPO VERDE"/>
    <s v="MT"/>
    <n v="4277774"/>
    <n v="2912319"/>
    <n v="842001"/>
    <n v="3824832"/>
    <n v="2178933"/>
    <n v="452941"/>
    <n v="-47234"/>
    <n v="0"/>
    <n v="25"/>
    <n v="0.68080244538397772"/>
    <n v="-0.10428289777255757"/>
  </r>
  <r>
    <x v="187"/>
    <s v="n4"/>
    <x v="3"/>
    <n v="3"/>
    <x v="2"/>
    <s v="SAO PAULO"/>
    <s v="SP"/>
    <n v="4273032"/>
    <n v="0"/>
    <n v="10070"/>
    <n v="4054308"/>
    <n v="302882"/>
    <n v="218725"/>
    <n v="27357"/>
    <n v="1"/>
    <n v="0"/>
    <n v="0"/>
    <n v="0.12507486569893703"/>
  </r>
  <r>
    <x v="188"/>
    <s v="b3S"/>
    <x v="5"/>
    <n v="2"/>
    <x v="0"/>
    <s v="PRIMAVERA DO LESTE"/>
    <s v="MT"/>
    <n v="4220290"/>
    <n v="2838984"/>
    <n v="51013"/>
    <n v="3705206"/>
    <n v="3120122"/>
    <n v="515085"/>
    <n v="2438"/>
    <n v="0"/>
    <n v="64"/>
    <n v="0.67269879558039847"/>
    <n v="4.7331993748604599E-3"/>
  </r>
  <r>
    <x v="189"/>
    <s v="n1"/>
    <x v="4"/>
    <n v="1"/>
    <x v="1"/>
    <s v="SAO PAULO"/>
    <s v="SP"/>
    <n v="4216691"/>
    <n v="2371524"/>
    <n v="1584124"/>
    <n v="845490"/>
    <n v="628360"/>
    <n v="3371201"/>
    <n v="142709"/>
    <n v="1"/>
    <n v="0"/>
    <n v="0.56241351334494272"/>
    <n v="4.2331798074336117E-2"/>
  </r>
  <r>
    <x v="190"/>
    <s v="b1"/>
    <x v="4"/>
    <n v="3"/>
    <x v="2"/>
    <s v="SAO PAULO"/>
    <s v="SP"/>
    <n v="4210126"/>
    <n v="2847301"/>
    <n v="43125"/>
    <n v="3877707"/>
    <n v="3595866"/>
    <n v="332419"/>
    <n v="10938"/>
    <n v="2"/>
    <n v="0"/>
    <n v="0.67629828655959467"/>
    <n v="3.2904256375237279E-2"/>
  </r>
  <r>
    <x v="191"/>
    <s v="b3S"/>
    <x v="5"/>
    <n v="2"/>
    <x v="0"/>
    <s v="CONCORDIA"/>
    <s v="SC"/>
    <n v="4208943"/>
    <n v="2155418"/>
    <n v="64259"/>
    <n v="3729590"/>
    <n v="2881808"/>
    <n v="479354"/>
    <n v="33690"/>
    <n v="0"/>
    <n v="32"/>
    <n v="0.51210434543779759"/>
    <n v="7.0282087976735352E-2"/>
  </r>
  <r>
    <x v="192"/>
    <s v="b3S"/>
    <x v="4"/>
    <n v="2"/>
    <x v="0"/>
    <s v="CRISTALINA"/>
    <s v="GO"/>
    <n v="4197272"/>
    <n v="2316100"/>
    <n v="1596916"/>
    <n v="3808279"/>
    <n v="2581655"/>
    <n v="388994"/>
    <n v="-11297"/>
    <n v="0"/>
    <n v="36"/>
    <n v="0.5518107952022171"/>
    <n v="-2.9041579047491734E-2"/>
  </r>
  <r>
    <x v="193"/>
    <s v="b1"/>
    <x v="4"/>
    <n v="3"/>
    <x v="2"/>
    <s v="SAO PAULO"/>
    <s v="SP"/>
    <n v="4169757"/>
    <n v="3015052"/>
    <n v="426429"/>
    <n v="3206112"/>
    <n v="3148852"/>
    <n v="963645"/>
    <n v="36714"/>
    <n v="2"/>
    <n v="0"/>
    <n v="0.72307618885225211"/>
    <n v="3.8099092508133182E-2"/>
  </r>
  <r>
    <x v="194"/>
    <s v="b3S"/>
    <x v="5"/>
    <n v="2"/>
    <x v="0"/>
    <s v="JOAO MONLEVADE"/>
    <s v="MG"/>
    <n v="4165405"/>
    <n v="1902039"/>
    <n v="62696"/>
    <n v="3605161"/>
    <n v="3475567"/>
    <n v="560245"/>
    <n v="69149"/>
    <n v="0"/>
    <n v="33"/>
    <n v="0.45662762684540881"/>
    <n v="0.12342635811118351"/>
  </r>
  <r>
    <x v="195"/>
    <s v="b3S"/>
    <x v="5"/>
    <n v="2"/>
    <x v="0"/>
    <s v="PATOS DE MINAS"/>
    <s v="MG"/>
    <n v="4139220"/>
    <n v="2205442"/>
    <n v="71983"/>
    <n v="3767157"/>
    <n v="3072793"/>
    <n v="372063"/>
    <n v="-175224"/>
    <n v="0"/>
    <n v="57"/>
    <n v="0.53281584453109521"/>
    <n v="-0.47095249997984212"/>
  </r>
  <r>
    <x v="196"/>
    <s v="b1"/>
    <x v="4"/>
    <n v="3"/>
    <x v="2"/>
    <s v="SAO PAULO"/>
    <s v="SP"/>
    <n v="4103912"/>
    <n v="2357588"/>
    <n v="780582"/>
    <n v="3844172"/>
    <n v="3656603"/>
    <n v="259739"/>
    <n v="-13487"/>
    <n v="6"/>
    <n v="2"/>
    <n v="0.57447333178684146"/>
    <n v="-5.1925201837228908E-2"/>
  </r>
  <r>
    <x v="197"/>
    <s v="b1"/>
    <x v="4"/>
    <n v="3"/>
    <x v="2"/>
    <s v="SAO PAULO"/>
    <s v="SP"/>
    <n v="4083051"/>
    <n v="3072887"/>
    <n v="0"/>
    <n v="3586224"/>
    <n v="3290397"/>
    <n v="496827"/>
    <n v="37510"/>
    <n v="2"/>
    <n v="0"/>
    <n v="0.7525957917253544"/>
    <n v="7.5499117399014146E-2"/>
  </r>
  <r>
    <x v="198"/>
    <s v="b1"/>
    <x v="4"/>
    <n v="3"/>
    <x v="2"/>
    <s v="SAO PAULO"/>
    <s v="SP"/>
    <n v="4015478"/>
    <n v="1049271"/>
    <n v="397840"/>
    <n v="2768001"/>
    <n v="2548528"/>
    <n v="1247478"/>
    <n v="40983"/>
    <n v="2"/>
    <n v="0"/>
    <n v="0.26130662401836097"/>
    <n v="3.2852683574379669E-2"/>
  </r>
  <r>
    <x v="199"/>
    <s v="b1"/>
    <x v="4"/>
    <n v="2"/>
    <x v="0"/>
    <s v="SAO PAULO"/>
    <s v="SP"/>
    <n v="3974214"/>
    <n v="1481346"/>
    <n v="1467647"/>
    <n v="3476632"/>
    <n v="2505700"/>
    <n v="497582"/>
    <n v="178132"/>
    <n v="2"/>
    <n v="0"/>
    <n v="0.37273936431203752"/>
    <n v="0.35799526510203344"/>
  </r>
  <r>
    <x v="200"/>
    <s v="b3S"/>
    <x v="5"/>
    <n v="2"/>
    <x v="0"/>
    <s v="DOIS VIZINHOS"/>
    <s v="PR"/>
    <n v="3972475"/>
    <n v="2984261"/>
    <n v="45978"/>
    <n v="3408327"/>
    <n v="2184028"/>
    <n v="564148"/>
    <n v="54242"/>
    <n v="0"/>
    <n v="67"/>
    <n v="0.75123468366698343"/>
    <n v="9.6148528400348848E-2"/>
  </r>
  <r>
    <x v="201"/>
    <s v="b3S"/>
    <x v="5"/>
    <n v="2"/>
    <x v="0"/>
    <s v="CRICIUMA"/>
    <s v="SC"/>
    <n v="3937240"/>
    <n v="1896239"/>
    <n v="64906"/>
    <n v="3595750"/>
    <n v="3358772"/>
    <n v="341490"/>
    <n v="22200"/>
    <n v="0"/>
    <n v="20"/>
    <n v="0.48161630990236814"/>
    <n v="6.5009224281823777E-2"/>
  </r>
  <r>
    <x v="202"/>
    <s v="b3S"/>
    <x v="4"/>
    <n v="2"/>
    <x v="0"/>
    <s v="PASSO FUNDO"/>
    <s v="RS"/>
    <n v="3925612"/>
    <n v="2510069"/>
    <n v="1252624"/>
    <n v="3482422"/>
    <n v="2385515"/>
    <n v="443190"/>
    <n v="2990"/>
    <n v="0"/>
    <n v="40"/>
    <n v="0.63940832665072356"/>
    <n v="6.7465421151199261E-3"/>
  </r>
  <r>
    <x v="203"/>
    <s v="n1"/>
    <x v="4"/>
    <n v="3"/>
    <x v="2"/>
    <s v="SAO PAULO"/>
    <s v="SP"/>
    <n v="3867550"/>
    <n v="3669172"/>
    <n v="0"/>
    <n v="3108284"/>
    <n v="2897640"/>
    <n v="759267"/>
    <n v="58649"/>
    <n v="4"/>
    <n v="0"/>
    <n v="0.94870706261069671"/>
    <n v="7.7244236875828931E-2"/>
  </r>
  <r>
    <x v="204"/>
    <s v="b1"/>
    <x v="4"/>
    <n v="2"/>
    <x v="0"/>
    <s v="SAO PAULO"/>
    <s v="SP"/>
    <n v="3838853"/>
    <n v="2169339"/>
    <n v="624007"/>
    <n v="3082489"/>
    <n v="2888708"/>
    <n v="756364"/>
    <n v="63886"/>
    <n v="2"/>
    <n v="0"/>
    <n v="0.56510082568934006"/>
    <n v="8.4464622853546709E-2"/>
  </r>
  <r>
    <x v="205"/>
    <s v="b3S"/>
    <x v="4"/>
    <n v="2"/>
    <x v="0"/>
    <s v="IJUI"/>
    <s v="RS"/>
    <n v="3821907"/>
    <n v="2104047"/>
    <n v="1433561"/>
    <n v="3160085"/>
    <n v="2195942"/>
    <n v="661823"/>
    <n v="46266"/>
    <n v="0"/>
    <n v="33"/>
    <n v="0.55052281491935828"/>
    <n v="6.9906908644758486E-2"/>
  </r>
  <r>
    <x v="206"/>
    <s v="n1"/>
    <x v="4"/>
    <n v="1"/>
    <x v="1"/>
    <s v="PORTO ALEGRE"/>
    <s v="RS"/>
    <n v="3771045"/>
    <n v="2855746"/>
    <n v="659934"/>
    <n v="2600674"/>
    <n v="2530465"/>
    <n v="1170371"/>
    <n v="22439"/>
    <n v="2"/>
    <n v="0"/>
    <n v="0.7572823978499329"/>
    <n v="1.9172552976791119E-2"/>
  </r>
  <r>
    <x v="207"/>
    <s v="b3S"/>
    <x v="5"/>
    <n v="2"/>
    <x v="0"/>
    <s v="BRASILIA"/>
    <s v="DF"/>
    <n v="3697064"/>
    <n v="2359271"/>
    <n v="1298166"/>
    <n v="2958395"/>
    <n v="2895602"/>
    <n v="738669"/>
    <n v="32971"/>
    <n v="0"/>
    <n v="3"/>
    <n v="0.63814718922907476"/>
    <n v="4.4635689327696168E-2"/>
  </r>
  <r>
    <x v="208"/>
    <s v="b3S"/>
    <x v="4"/>
    <n v="2"/>
    <x v="0"/>
    <s v="CAMPO NOVO"/>
    <s v="RS"/>
    <n v="3602002"/>
    <n v="2122930"/>
    <n v="1237073"/>
    <n v="2952122"/>
    <n v="2123286"/>
    <n v="649880"/>
    <n v="49612"/>
    <n v="0"/>
    <n v="49"/>
    <n v="0.58937501978066642"/>
    <n v="7.6340247430294828E-2"/>
  </r>
  <r>
    <x v="209"/>
    <s v="b3S"/>
    <x v="5"/>
    <n v="2"/>
    <x v="0"/>
    <s v="PORTO ALEGRE"/>
    <s v="RS"/>
    <n v="3599853"/>
    <n v="1971630"/>
    <n v="67374"/>
    <n v="3204306"/>
    <n v="2928278"/>
    <n v="395546"/>
    <n v="43282"/>
    <n v="0"/>
    <n v="36"/>
    <n v="0.54769736430904259"/>
    <n v="0.1094234298918457"/>
  </r>
  <r>
    <x v="210"/>
    <s v="b3S"/>
    <x v="5"/>
    <n v="2"/>
    <x v="0"/>
    <s v="CACHOEIRO DE ITAPEMIRIM"/>
    <s v="ES"/>
    <n v="3594753"/>
    <n v="1704360"/>
    <n v="69573"/>
    <n v="3222508"/>
    <n v="3063219"/>
    <n v="372246"/>
    <n v="40028"/>
    <n v="0"/>
    <n v="31"/>
    <n v="0.47412436960202831"/>
    <n v="0.10753104130064527"/>
  </r>
  <r>
    <x v="211"/>
    <s v="n1"/>
    <x v="4"/>
    <n v="2"/>
    <x v="0"/>
    <s v="SAO PAULO"/>
    <s v="SP"/>
    <n v="3581979"/>
    <n v="0"/>
    <n v="32840"/>
    <n v="3456968"/>
    <n v="3343316"/>
    <n v="125012"/>
    <n v="36457"/>
    <n v="7"/>
    <n v="0"/>
    <n v="0"/>
    <n v="0.29162800371164366"/>
  </r>
  <r>
    <x v="212"/>
    <s v="b3S"/>
    <x v="4"/>
    <n v="2"/>
    <x v="0"/>
    <s v="PRUDENTOPOLIS"/>
    <s v="PR"/>
    <n v="3580369"/>
    <n v="2026537"/>
    <n v="1263909"/>
    <n v="3099759"/>
    <n v="2053088"/>
    <n v="480609"/>
    <n v="50518"/>
    <n v="0"/>
    <n v="37"/>
    <n v="0.56601344721731195"/>
    <n v="0.10511247188462972"/>
  </r>
  <r>
    <x v="213"/>
    <s v="b3S"/>
    <x v="4"/>
    <n v="2"/>
    <x v="0"/>
    <s v="GUAXUPE"/>
    <s v="MG"/>
    <n v="3560020"/>
    <n v="844153"/>
    <n v="93547"/>
    <n v="2777495"/>
    <n v="2443413"/>
    <n v="782524"/>
    <n v="81923"/>
    <n v="0"/>
    <n v="27"/>
    <n v="0.23712029707698271"/>
    <n v="0.10469071875111817"/>
  </r>
  <r>
    <x v="214"/>
    <s v="b3S"/>
    <x v="5"/>
    <n v="2"/>
    <x v="0"/>
    <s v="VARGINHA"/>
    <s v="MG"/>
    <n v="3536882"/>
    <n v="1947393"/>
    <n v="76531"/>
    <n v="3036157"/>
    <n v="2486501"/>
    <n v="500725"/>
    <n v="35360"/>
    <n v="0"/>
    <n v="31"/>
    <n v="0.55059597690847473"/>
    <n v="7.061760447351341E-2"/>
  </r>
  <r>
    <x v="215"/>
    <s v="b3S"/>
    <x v="4"/>
    <n v="2"/>
    <x v="0"/>
    <s v="SOLEDADE"/>
    <s v="RS"/>
    <n v="3533412"/>
    <n v="2440661"/>
    <n v="811287"/>
    <n v="3050255"/>
    <n v="2070676"/>
    <n v="483158"/>
    <n v="38049"/>
    <n v="0"/>
    <n v="39"/>
    <n v="0.69073773451836351"/>
    <n v="7.8750636437769833E-2"/>
  </r>
  <r>
    <x v="216"/>
    <s v="b3S"/>
    <x v="5"/>
    <n v="2"/>
    <x v="0"/>
    <s v="FRANCISCO BELTRAO"/>
    <s v="PR"/>
    <n v="3521401"/>
    <n v="2227237"/>
    <n v="42278"/>
    <n v="3165067"/>
    <n v="2107401"/>
    <n v="356334"/>
    <n v="40869"/>
    <n v="0"/>
    <n v="50"/>
    <n v="0.63248604745667991"/>
    <n v="0.11469295660812609"/>
  </r>
  <r>
    <x v="217"/>
    <s v="b3S"/>
    <x v="4"/>
    <n v="2"/>
    <x v="0"/>
    <s v="TOLEDO"/>
    <s v="PR"/>
    <n v="3496717"/>
    <n v="2183195"/>
    <n v="912950"/>
    <n v="3107808"/>
    <n v="2122143"/>
    <n v="388909"/>
    <n v="11385"/>
    <n v="0"/>
    <n v="26"/>
    <n v="0.62435564559556866"/>
    <n v="2.9274200391351191E-2"/>
  </r>
  <r>
    <x v="218"/>
    <s v="n4"/>
    <x v="4"/>
    <n v="2"/>
    <x v="0"/>
    <s v="BARUERI"/>
    <s v="SP"/>
    <n v="3489800"/>
    <n v="2651603"/>
    <n v="245350"/>
    <n v="2961442"/>
    <n v="486"/>
    <n v="528358"/>
    <n v="54923"/>
    <n v="1"/>
    <n v="0"/>
    <n v="0.75981517565476531"/>
    <n v="0.10395035184477192"/>
  </r>
  <r>
    <x v="219"/>
    <s v="b3S"/>
    <x v="4"/>
    <n v="2"/>
    <x v="0"/>
    <s v="CAMPO GRANDE"/>
    <s v="MS"/>
    <n v="3371023"/>
    <n v="2347045"/>
    <n v="736496"/>
    <n v="2951300"/>
    <n v="1711448"/>
    <n v="419723"/>
    <n v="-17502"/>
    <n v="0"/>
    <n v="27"/>
    <n v="0.69624117070693381"/>
    <n v="-4.1698930008600914E-2"/>
  </r>
  <r>
    <x v="220"/>
    <s v="n4"/>
    <x v="5"/>
    <n v="3"/>
    <x v="2"/>
    <s v="SAO PAULO"/>
    <s v="SP"/>
    <n v="3355480"/>
    <n v="0"/>
    <n v="1496805"/>
    <n v="3246587"/>
    <n v="2817398"/>
    <n v="108894"/>
    <n v="-21401"/>
    <n v="1"/>
    <n v="0"/>
    <n v="0"/>
    <n v="-0.19653057101401364"/>
  </r>
  <r>
    <x v="221"/>
    <s v="b2"/>
    <x v="4"/>
    <n v="3"/>
    <x v="2"/>
    <s v="SAO PAULO"/>
    <s v="SP"/>
    <n v="3349114"/>
    <n v="981286"/>
    <n v="1176251"/>
    <n v="1492807"/>
    <n v="1195424"/>
    <n v="1856308"/>
    <n v="-6861"/>
    <n v="2"/>
    <n v="0"/>
    <n v="0.29299868562252585"/>
    <n v="-3.6960461302757946E-3"/>
  </r>
  <r>
    <x v="222"/>
    <s v="b3S"/>
    <x v="4"/>
    <n v="2"/>
    <x v="0"/>
    <s v="RONDONOPOLIS"/>
    <s v="MT"/>
    <n v="3298316"/>
    <n v="1553691"/>
    <n v="1127300"/>
    <n v="2879989"/>
    <n v="2043465"/>
    <n v="418327"/>
    <n v="14758"/>
    <n v="0"/>
    <n v="23"/>
    <n v="0.47105583576588783"/>
    <n v="3.5278621748058341E-2"/>
  </r>
  <r>
    <x v="223"/>
    <s v="b3S"/>
    <x v="4"/>
    <n v="2"/>
    <x v="0"/>
    <s v="ROLANTE"/>
    <s v="RS"/>
    <n v="3236571"/>
    <n v="1774848"/>
    <n v="1187747"/>
    <n v="2994341"/>
    <n v="2307741"/>
    <n v="242230"/>
    <n v="9280"/>
    <n v="0"/>
    <n v="27"/>
    <n v="0.54837295396887631"/>
    <n v="3.8310696445526982E-2"/>
  </r>
  <r>
    <x v="224"/>
    <s v="b3S"/>
    <x v="4"/>
    <n v="2"/>
    <x v="0"/>
    <s v="GOIANIA"/>
    <s v="GO"/>
    <n v="3204041"/>
    <n v="1899727"/>
    <n v="920292"/>
    <n v="2966229"/>
    <n v="1898859"/>
    <n v="237812"/>
    <n v="-36780"/>
    <n v="0"/>
    <n v="30"/>
    <n v="0.59291594583215379"/>
    <n v="-0.1546599835163911"/>
  </r>
  <r>
    <x v="225"/>
    <s v="n4"/>
    <x v="3"/>
    <n v="3"/>
    <x v="2"/>
    <s v="SAO PAULO"/>
    <s v="SP"/>
    <n v="3178633"/>
    <n v="0"/>
    <n v="188807"/>
    <n v="2314513"/>
    <n v="187079"/>
    <n v="864120"/>
    <n v="85921"/>
    <n v="1"/>
    <n v="0"/>
    <n v="0"/>
    <n v="9.9431791880757306E-2"/>
  </r>
  <r>
    <x v="226"/>
    <s v="b3S"/>
    <x v="4"/>
    <n v="2"/>
    <x v="0"/>
    <s v="CAMBARA"/>
    <s v="PR"/>
    <n v="3177885"/>
    <n v="1903319"/>
    <n v="755974"/>
    <n v="2922736"/>
    <n v="1989157"/>
    <n v="255149"/>
    <n v="10379"/>
    <n v="0"/>
    <n v="50"/>
    <n v="0.59892632993327322"/>
    <n v="4.0678191958424294E-2"/>
  </r>
  <r>
    <x v="227"/>
    <s v="b3S"/>
    <x v="5"/>
    <n v="2"/>
    <x v="0"/>
    <s v="TURVO"/>
    <s v="SC"/>
    <n v="3170210"/>
    <n v="1332748"/>
    <n v="50225"/>
    <n v="2691774"/>
    <n v="2343824"/>
    <n v="478436"/>
    <n v="61354"/>
    <n v="0"/>
    <n v="30"/>
    <n v="0.42039738692389461"/>
    <n v="0.12823867769147806"/>
  </r>
  <r>
    <x v="228"/>
    <s v="b3S"/>
    <x v="4"/>
    <n v="2"/>
    <x v="0"/>
    <s v="NOVA LONDRINA"/>
    <s v="PR"/>
    <n v="3164020"/>
    <n v="1893982"/>
    <n v="1038960"/>
    <n v="2694342"/>
    <n v="1921903"/>
    <n v="469678"/>
    <n v="54084"/>
    <n v="0"/>
    <n v="37"/>
    <n v="0.5985998824280504"/>
    <n v="0.11515123126908222"/>
  </r>
  <r>
    <x v="229"/>
    <s v="b3C"/>
    <x v="4"/>
    <n v="2"/>
    <x v="0"/>
    <s v="JI-PARANA"/>
    <s v="RO"/>
    <n v="3149260"/>
    <n v="97703"/>
    <n v="1887129"/>
    <n v="2981880"/>
    <n v="579566"/>
    <n v="167380"/>
    <n v="7765"/>
    <n v="0"/>
    <n v="0"/>
    <n v="3.1024113601290461E-2"/>
    <n v="4.639144461703907E-2"/>
  </r>
  <r>
    <x v="230"/>
    <s v="b3S"/>
    <x v="5"/>
    <n v="2"/>
    <x v="0"/>
    <s v="SAO GONCALO DO SAPUCAI"/>
    <s v="MG"/>
    <n v="3148823"/>
    <n v="1137840"/>
    <n v="63353"/>
    <n v="2750332"/>
    <n v="2423788"/>
    <n v="398491"/>
    <n v="46430"/>
    <n v="0"/>
    <n v="44"/>
    <n v="0.36135406785328994"/>
    <n v="0.11651455114419146"/>
  </r>
  <r>
    <x v="231"/>
    <s v="n1"/>
    <x v="5"/>
    <n v="2"/>
    <x v="0"/>
    <s v="SAO PAULO"/>
    <s v="SP"/>
    <n v="3121461"/>
    <n v="322716"/>
    <n v="2041911"/>
    <n v="2869313"/>
    <n v="2551067"/>
    <n v="252148"/>
    <n v="26784"/>
    <n v="2"/>
    <n v="0"/>
    <n v="0.10338620280695482"/>
    <n v="0.10622332915589257"/>
  </r>
  <r>
    <x v="232"/>
    <s v="b3S"/>
    <x v="5"/>
    <n v="2"/>
    <x v="0"/>
    <s v="LONDRINA"/>
    <s v="PR"/>
    <n v="3110902"/>
    <n v="2060713"/>
    <n v="47999"/>
    <n v="2795236"/>
    <n v="2444801"/>
    <n v="315666"/>
    <n v="32434"/>
    <n v="0"/>
    <n v="52"/>
    <n v="0.66241655957018253"/>
    <n v="0.10274784107252602"/>
  </r>
  <r>
    <x v="233"/>
    <s v="b3S"/>
    <x v="5"/>
    <n v="2"/>
    <x v="0"/>
    <s v="ITUIUTABA"/>
    <s v="MG"/>
    <n v="3090901"/>
    <n v="2018252"/>
    <n v="37393"/>
    <n v="2788780"/>
    <n v="1804363"/>
    <n v="302121"/>
    <n v="-799"/>
    <n v="0"/>
    <n v="10"/>
    <n v="0.65296559158640155"/>
    <n v="-2.6446357585205929E-3"/>
  </r>
  <r>
    <x v="234"/>
    <s v="b1"/>
    <x v="4"/>
    <n v="3"/>
    <x v="2"/>
    <s v="SAO PAULO"/>
    <s v="SP"/>
    <n v="3085035"/>
    <n v="734757"/>
    <n v="2187944"/>
    <n v="2533960"/>
    <n v="2490162"/>
    <n v="551075"/>
    <n v="25874"/>
    <n v="2"/>
    <n v="0"/>
    <n v="0.23816812451074298"/>
    <n v="4.6951866805788688E-2"/>
  </r>
  <r>
    <x v="235"/>
    <s v="b3S"/>
    <x v="4"/>
    <n v="2"/>
    <x v="0"/>
    <s v="TAPERA"/>
    <s v="RS"/>
    <n v="3075343"/>
    <n v="1963579"/>
    <n v="949187"/>
    <n v="2718927"/>
    <n v="1417754"/>
    <n v="356416"/>
    <n v="-15714"/>
    <n v="0"/>
    <n v="28"/>
    <n v="0.63849105611959378"/>
    <n v="-4.4088929789908422E-2"/>
  </r>
  <r>
    <x v="236"/>
    <s v="n1"/>
    <x v="4"/>
    <n v="2"/>
    <x v="0"/>
    <s v="SAO PAULO"/>
    <s v="SP"/>
    <n v="3071149"/>
    <n v="1390480"/>
    <n v="1128868"/>
    <n v="2772448"/>
    <n v="2703027"/>
    <n v="298701"/>
    <n v="-90661"/>
    <n v="3"/>
    <n v="0"/>
    <n v="0.45275562989617241"/>
    <n v="-0.30351756438712962"/>
  </r>
  <r>
    <x v="237"/>
    <s v="b3S"/>
    <x v="5"/>
    <n v="2"/>
    <x v="0"/>
    <s v="VIDEIRA"/>
    <s v="SC"/>
    <n v="3053784"/>
    <n v="1519889"/>
    <n v="62371"/>
    <n v="2744119"/>
    <n v="2156800"/>
    <n v="309665"/>
    <n v="18876"/>
    <n v="0"/>
    <n v="34"/>
    <n v="0.49770677952337167"/>
    <n v="6.0956194597387499E-2"/>
  </r>
  <r>
    <x v="238"/>
    <s v="b3S"/>
    <x v="4"/>
    <n v="2"/>
    <x v="0"/>
    <s v="GUARAPUAVA"/>
    <s v="PR"/>
    <n v="3018003"/>
    <n v="1804806"/>
    <n v="924481"/>
    <n v="2721527"/>
    <n v="1772512"/>
    <n v="296475"/>
    <n v="19315"/>
    <n v="0"/>
    <n v="29"/>
    <n v="0.59801332205435187"/>
    <n v="6.514883211063327E-2"/>
  </r>
  <r>
    <x v="239"/>
    <s v="n4"/>
    <x v="4"/>
    <n v="2"/>
    <x v="0"/>
    <s v="JOINVILLE"/>
    <s v="SC"/>
    <n v="3015510"/>
    <n v="6614"/>
    <n v="1125884"/>
    <n v="2635750"/>
    <n v="1368331"/>
    <n v="379760"/>
    <n v="2595"/>
    <n v="1"/>
    <n v="0"/>
    <n v="2.1933271652224665E-3"/>
    <n v="6.8332631135453971E-3"/>
  </r>
  <r>
    <x v="240"/>
    <s v="b1"/>
    <x v="4"/>
    <n v="2"/>
    <x v="0"/>
    <s v="SAO PAULO"/>
    <s v="SP"/>
    <n v="3005856"/>
    <n v="2535614"/>
    <n v="108991"/>
    <n v="2696251"/>
    <n v="2618378"/>
    <n v="309605"/>
    <n v="-461"/>
    <n v="2"/>
    <n v="0"/>
    <n v="0.84355804136991264"/>
    <n v="-1.4889940407939149E-3"/>
  </r>
  <r>
    <x v="241"/>
    <s v="b3S"/>
    <x v="4"/>
    <n v="2"/>
    <x v="0"/>
    <s v="SANTO ANTONIO DA PLATINA"/>
    <s v="PR"/>
    <n v="2993490"/>
    <n v="1648008"/>
    <n v="1102377"/>
    <n v="2692303"/>
    <n v="1735557"/>
    <n v="301188"/>
    <n v="15025"/>
    <n v="0"/>
    <n v="34"/>
    <n v="0.55053065151378489"/>
    <n v="4.9885785622269148E-2"/>
  </r>
  <r>
    <x v="242"/>
    <s v="b3S"/>
    <x v="5"/>
    <n v="2"/>
    <x v="0"/>
    <s v="REALEZA"/>
    <s v="PR"/>
    <n v="2993218"/>
    <n v="2281185"/>
    <n v="44989"/>
    <n v="2614757"/>
    <n v="1502417"/>
    <n v="378462"/>
    <n v="25738"/>
    <n v="0"/>
    <n v="45"/>
    <n v="0.76211789452021206"/>
    <n v="6.8006827633950037E-2"/>
  </r>
  <r>
    <x v="243"/>
    <s v="b3S"/>
    <x v="4"/>
    <n v="2"/>
    <x v="0"/>
    <s v="ESTACAO"/>
    <s v="RS"/>
    <n v="2993188"/>
    <n v="1911625"/>
    <n v="917059"/>
    <n v="2678647"/>
    <n v="1640215"/>
    <n v="314541"/>
    <n v="10536"/>
    <n v="0"/>
    <n v="30"/>
    <n v="0.63865851393230233"/>
    <n v="3.3496428128606447E-2"/>
  </r>
  <r>
    <x v="244"/>
    <s v="b3S"/>
    <x v="4"/>
    <n v="2"/>
    <x v="0"/>
    <s v="CAFELANDIA"/>
    <s v="PR"/>
    <n v="2991757"/>
    <n v="1775079"/>
    <n v="852922"/>
    <n v="2703702"/>
    <n v="1769851"/>
    <n v="288055"/>
    <n v="12753"/>
    <n v="0"/>
    <n v="31"/>
    <n v="0.59332325452902757"/>
    <n v="4.4272795125930811E-2"/>
  </r>
  <r>
    <x v="245"/>
    <s v="b3C"/>
    <x v="4"/>
    <n v="2"/>
    <x v="0"/>
    <s v="RIO DE JANEIRO"/>
    <s v="RJ"/>
    <n v="2971468"/>
    <n v="29298"/>
    <n v="1141543"/>
    <n v="2706428"/>
    <n v="0"/>
    <n v="265040"/>
    <n v="12663"/>
    <n v="0"/>
    <n v="2"/>
    <n v="9.859773014550384E-3"/>
    <n v="4.777769393299125E-2"/>
  </r>
  <r>
    <x v="246"/>
    <s v="b3S"/>
    <x v="4"/>
    <n v="2"/>
    <x v="0"/>
    <s v="ARAPUTANGA"/>
    <s v="MT"/>
    <n v="2951598"/>
    <n v="1955613"/>
    <n v="671335"/>
    <n v="2623867"/>
    <n v="1681986"/>
    <n v="327731"/>
    <n v="-37367"/>
    <n v="0"/>
    <n v="36"/>
    <n v="0.66256075522479685"/>
    <n v="-0.11401728856897883"/>
  </r>
  <r>
    <x v="247"/>
    <s v="b3S"/>
    <x v="4"/>
    <n v="2"/>
    <x v="0"/>
    <s v="TRES DE MAIO"/>
    <s v="RS"/>
    <n v="2947863"/>
    <n v="1604471"/>
    <n v="993446"/>
    <n v="2278328"/>
    <n v="1726406"/>
    <n v="669535"/>
    <n v="54027"/>
    <n v="0"/>
    <n v="26"/>
    <n v="0.54428275669527382"/>
    <n v="8.0693317003592044E-2"/>
  </r>
  <r>
    <x v="248"/>
    <s v="b3S"/>
    <x v="5"/>
    <n v="2"/>
    <x v="0"/>
    <s v="FREDERICO WESTPHALEN"/>
    <s v="RS"/>
    <n v="2938079"/>
    <n v="2219286"/>
    <n v="45272"/>
    <n v="2608497"/>
    <n v="1646343"/>
    <n v="329581"/>
    <n v="24151"/>
    <n v="0"/>
    <n v="56"/>
    <n v="0.75535273217636423"/>
    <n v="7.3277889198709881E-2"/>
  </r>
  <r>
    <x v="249"/>
    <s v="n4"/>
    <x v="2"/>
    <n v="2"/>
    <x v="0"/>
    <s v="BELO HORIZONTE"/>
    <s v="MG"/>
    <n v="2922091"/>
    <n v="0"/>
    <n v="1906534"/>
    <n v="748459"/>
    <n v="0"/>
    <n v="2173632"/>
    <n v="54400"/>
    <n v="1"/>
    <n v="0"/>
    <n v="0"/>
    <n v="2.5027235521008155E-2"/>
  </r>
  <r>
    <x v="250"/>
    <s v="b3S"/>
    <x v="4"/>
    <n v="2"/>
    <x v="0"/>
    <s v="SANTA CRUZ DO SUL"/>
    <s v="RS"/>
    <n v="2892572"/>
    <n v="1467305"/>
    <n v="1305144"/>
    <n v="2366108"/>
    <n v="1829174"/>
    <n v="526464"/>
    <n v="59805"/>
    <n v="0"/>
    <n v="16"/>
    <n v="0.50726654340842681"/>
    <n v="0.11359751094091904"/>
  </r>
  <r>
    <x v="251"/>
    <s v="b3S"/>
    <x v="5"/>
    <n v="2"/>
    <x v="0"/>
    <s v="CUNHA PORA"/>
    <s v="SC"/>
    <n v="2884727"/>
    <n v="941675"/>
    <n v="58242"/>
    <n v="2391918"/>
    <n v="2062380"/>
    <n v="492808"/>
    <n v="50411"/>
    <n v="0"/>
    <n v="18"/>
    <n v="0.32643470248657847"/>
    <n v="0.10229338809434911"/>
  </r>
  <r>
    <x v="252"/>
    <s v="b1"/>
    <x v="4"/>
    <n v="3"/>
    <x v="2"/>
    <s v="SAO PAULO"/>
    <s v="SP"/>
    <n v="2882367"/>
    <n v="0"/>
    <n v="853000"/>
    <n v="2251420"/>
    <n v="1286551"/>
    <n v="630947"/>
    <n v="22996"/>
    <n v="4"/>
    <n v="0"/>
    <n v="0"/>
    <n v="3.6446801395362841E-2"/>
  </r>
  <r>
    <x v="253"/>
    <s v="b3S"/>
    <x v="5"/>
    <n v="2"/>
    <x v="0"/>
    <s v="PINHALZINHO"/>
    <s v="SC"/>
    <n v="2859377"/>
    <n v="1693198"/>
    <n v="68685"/>
    <n v="2504354"/>
    <n v="1873543"/>
    <n v="355023"/>
    <n v="-4365"/>
    <n v="0"/>
    <n v="25"/>
    <n v="0.59215626340982663"/>
    <n v="-1.2294978071843233E-2"/>
  </r>
  <r>
    <x v="254"/>
    <s v="b3S"/>
    <x v="4"/>
    <n v="2"/>
    <x v="0"/>
    <s v="CACHOEIRA DO SUL"/>
    <s v="RS"/>
    <n v="2849993"/>
    <n v="1774617"/>
    <n v="869357"/>
    <n v="2461494"/>
    <n v="1703255"/>
    <n v="388499"/>
    <n v="15172"/>
    <n v="0"/>
    <n v="32"/>
    <n v="0.62267416095407957"/>
    <n v="3.9052867574948712E-2"/>
  </r>
  <r>
    <x v="255"/>
    <s v="n4"/>
    <x v="4"/>
    <n v="3"/>
    <x v="2"/>
    <s v="SAO PAULO"/>
    <s v="SP"/>
    <n v="2843510"/>
    <n v="0"/>
    <n v="103148"/>
    <n v="2446895"/>
    <n v="129821"/>
    <n v="396615"/>
    <n v="-20852"/>
    <n v="1"/>
    <n v="0"/>
    <n v="0"/>
    <n v="-5.2574915220049673E-2"/>
  </r>
  <r>
    <x v="256"/>
    <s v="b3S"/>
    <x v="5"/>
    <n v="2"/>
    <x v="0"/>
    <s v="JACINTO MACHADO"/>
    <s v="SC"/>
    <n v="2842196"/>
    <n v="1409928"/>
    <n v="47374"/>
    <n v="2432868"/>
    <n v="2141787"/>
    <n v="409328"/>
    <n v="45634"/>
    <n v="0"/>
    <n v="16"/>
    <n v="0.49606994028561013"/>
    <n v="0.11148516593050073"/>
  </r>
  <r>
    <x v="257"/>
    <s v="b3C"/>
    <x v="4"/>
    <n v="2"/>
    <x v="0"/>
    <s v="PORTO ALEGRE"/>
    <s v="RS"/>
    <n v="2830096"/>
    <n v="0"/>
    <n v="1231343"/>
    <n v="194399"/>
    <n v="8323"/>
    <n v="2635697"/>
    <n v="0"/>
    <n v="0"/>
    <n v="0"/>
    <n v="0"/>
    <n v="0"/>
  </r>
  <r>
    <x v="258"/>
    <s v="b3S"/>
    <x v="5"/>
    <n v="2"/>
    <x v="0"/>
    <s v="CURITIBA"/>
    <s v="PR"/>
    <n v="2820180"/>
    <n v="1978185"/>
    <n v="39165"/>
    <n v="2491590"/>
    <n v="2191877"/>
    <n v="328590"/>
    <n v="16282"/>
    <n v="0"/>
    <n v="35"/>
    <n v="0.70143926983384042"/>
    <n v="4.9551112328433608E-2"/>
  </r>
  <r>
    <x v="259"/>
    <s v="n4"/>
    <x v="3"/>
    <n v="3"/>
    <x v="2"/>
    <s v="SAO PAULO"/>
    <s v="SP"/>
    <n v="2784825"/>
    <n v="0"/>
    <n v="759910"/>
    <n v="2204104"/>
    <n v="164004"/>
    <n v="580721"/>
    <n v="2655"/>
    <n v="1"/>
    <n v="0"/>
    <n v="0"/>
    <n v="4.5719028586877347E-3"/>
  </r>
  <r>
    <x v="260"/>
    <s v="b1"/>
    <x v="4"/>
    <n v="2"/>
    <x v="0"/>
    <s v="SOROCABA"/>
    <s v="SP"/>
    <n v="2761341"/>
    <n v="585802"/>
    <n v="220620"/>
    <n v="2660329"/>
    <n v="2503073"/>
    <n v="101012"/>
    <n v="-93370"/>
    <n v="2"/>
    <n v="1"/>
    <n v="0.21214402712305361"/>
    <n v="-0.92434562230230066"/>
  </r>
  <r>
    <x v="261"/>
    <s v="b3S"/>
    <x v="4"/>
    <n v="2"/>
    <x v="0"/>
    <s v="ESPUMOSO"/>
    <s v="RS"/>
    <n v="2712139"/>
    <n v="1726546"/>
    <n v="730847"/>
    <n v="2095842"/>
    <n v="1162949"/>
    <n v="616297"/>
    <n v="39535"/>
    <n v="0"/>
    <n v="25"/>
    <n v="0.63659937783424814"/>
    <n v="6.4149265694949026E-2"/>
  </r>
  <r>
    <x v="262"/>
    <s v="b3S"/>
    <x v="5"/>
    <n v="2"/>
    <x v="0"/>
    <s v="FLORIANOPOLIS"/>
    <s v="SC"/>
    <n v="2709123"/>
    <n v="2112291"/>
    <n v="58893"/>
    <n v="2436185"/>
    <n v="1538624"/>
    <n v="272937"/>
    <n v="-20418"/>
    <n v="0"/>
    <n v="58"/>
    <n v="0.77969549555335804"/>
    <n v="-7.480847228481298E-2"/>
  </r>
  <r>
    <x v="263"/>
    <s v="b3S"/>
    <x v="4"/>
    <n v="2"/>
    <x v="0"/>
    <s v="GUARIBA"/>
    <s v="SP"/>
    <n v="2699917"/>
    <n v="1228232"/>
    <n v="567867"/>
    <n v="2252595"/>
    <n v="2086202"/>
    <n v="447322"/>
    <n v="27160"/>
    <n v="0"/>
    <n v="12"/>
    <n v="0.45491472515636594"/>
    <n v="6.071688850537197E-2"/>
  </r>
  <r>
    <x v="264"/>
    <s v="b3S"/>
    <x v="4"/>
    <n v="2"/>
    <x v="0"/>
    <s v="AGUDO"/>
    <s v="RS"/>
    <n v="2687885"/>
    <n v="1032474"/>
    <n v="1410801"/>
    <n v="1953115"/>
    <n v="1439093"/>
    <n v="734770"/>
    <n v="87876"/>
    <n v="0"/>
    <n v="16"/>
    <n v="0.38412134447716328"/>
    <n v="0.11959660846251208"/>
  </r>
  <r>
    <x v="265"/>
    <s v="b3S"/>
    <x v="5"/>
    <n v="2"/>
    <x v="0"/>
    <s v="CONCORDIA"/>
    <s v="SC"/>
    <n v="2683747"/>
    <n v="1477434"/>
    <n v="152665"/>
    <n v="2229397"/>
    <n v="2177736"/>
    <n v="454350"/>
    <n v="50795"/>
    <n v="0"/>
    <n v="5"/>
    <n v="0.55051165404190483"/>
    <n v="0.11179707274127874"/>
  </r>
  <r>
    <x v="266"/>
    <s v="b2"/>
    <x v="4"/>
    <n v="2"/>
    <x v="0"/>
    <s v="CAXIAS DO SUL"/>
    <s v="RS"/>
    <n v="2683741"/>
    <n v="1855948"/>
    <n v="691465"/>
    <n v="2313489"/>
    <n v="2283402"/>
    <n v="370253"/>
    <n v="2800"/>
    <n v="2"/>
    <n v="0"/>
    <n v="0.69155257530439784"/>
    <n v="7.5623965234582835E-3"/>
  </r>
  <r>
    <x v="267"/>
    <s v="b3S"/>
    <x v="5"/>
    <n v="2"/>
    <x v="0"/>
    <s v="AGUAS MORNAS"/>
    <s v="SC"/>
    <n v="2644860"/>
    <n v="1667503"/>
    <n v="24872"/>
    <n v="2229886"/>
    <n v="1565678"/>
    <n v="414974"/>
    <n v="43121"/>
    <n v="0"/>
    <n v="51"/>
    <n v="0.63046928759934362"/>
    <n v="0.10391253427925605"/>
  </r>
  <r>
    <x v="268"/>
    <s v="n4"/>
    <x v="3"/>
    <n v="2"/>
    <x v="0"/>
    <s v="BARUERI"/>
    <s v="SP"/>
    <n v="2609955"/>
    <n v="28813"/>
    <n v="121960"/>
    <n v="2403804"/>
    <n v="1997771"/>
    <n v="206151"/>
    <n v="5611"/>
    <n v="1"/>
    <n v="0"/>
    <n v="1.1039653940393608E-2"/>
    <n v="2.7217913083128386E-2"/>
  </r>
  <r>
    <x v="269"/>
    <s v="b1"/>
    <x v="4"/>
    <n v="2"/>
    <x v="0"/>
    <s v="CURITIBA"/>
    <s v="PR"/>
    <n v="2589248"/>
    <n v="2113637"/>
    <n v="156700"/>
    <n v="2368458"/>
    <n v="2226374"/>
    <n v="220790"/>
    <n v="29995"/>
    <n v="4"/>
    <n v="0"/>
    <n v="0.81631307622908278"/>
    <n v="0.13585307305584493"/>
  </r>
  <r>
    <x v="270"/>
    <s v="b3S"/>
    <x v="5"/>
    <n v="2"/>
    <x v="0"/>
    <s v="BRACO DO NORTE"/>
    <s v="SC"/>
    <n v="2582546"/>
    <n v="1456062"/>
    <n v="47444"/>
    <n v="2276988"/>
    <n v="1775019"/>
    <n v="305558"/>
    <n v="32759"/>
    <n v="0"/>
    <n v="17"/>
    <n v="0.56380873757911765"/>
    <n v="0.10721041504395237"/>
  </r>
  <r>
    <x v="271"/>
    <s v="b3S"/>
    <x v="5"/>
    <n v="2"/>
    <x v="0"/>
    <s v="DIVINOPOLIS"/>
    <s v="MG"/>
    <n v="2581413"/>
    <n v="1006062"/>
    <n v="33971"/>
    <n v="2275400"/>
    <n v="2218641"/>
    <n v="306013"/>
    <n v="28714"/>
    <n v="0"/>
    <n v="30"/>
    <n v="0.38973306479823261"/>
    <n v="9.3832614954266647E-2"/>
  </r>
  <r>
    <x v="272"/>
    <s v="b3S"/>
    <x v="5"/>
    <n v="2"/>
    <x v="0"/>
    <s v="ALFREDO CHAVES"/>
    <s v="ES"/>
    <n v="2565709"/>
    <n v="852440"/>
    <n v="245472"/>
    <n v="2252233"/>
    <n v="2101242"/>
    <n v="313476"/>
    <n v="33701"/>
    <n v="0"/>
    <n v="18"/>
    <n v="0.33224344615854723"/>
    <n v="0.10750743278592301"/>
  </r>
  <r>
    <x v="273"/>
    <s v="n2"/>
    <x v="4"/>
    <n v="3"/>
    <x v="2"/>
    <s v="SAO PAULO"/>
    <s v="SP"/>
    <n v="2556127"/>
    <n v="0"/>
    <n v="0"/>
    <n v="1523948"/>
    <n v="844082"/>
    <n v="1032179"/>
    <n v="110535"/>
    <n v="2"/>
    <n v="0"/>
    <n v="0"/>
    <n v="0.10708898359683737"/>
  </r>
  <r>
    <x v="274"/>
    <s v="n4"/>
    <x v="4"/>
    <n v="2"/>
    <x v="0"/>
    <s v="MONTE BELO"/>
    <s v="MG"/>
    <n v="2550498"/>
    <n v="1820620"/>
    <n v="163929"/>
    <n v="2536690"/>
    <n v="11306"/>
    <n v="13808"/>
    <n v="2751"/>
    <n v="1"/>
    <n v="0"/>
    <n v="0.71382922080315292"/>
    <n v="0.19923232908458866"/>
  </r>
  <r>
    <x v="275"/>
    <s v="b3C"/>
    <x v="4"/>
    <n v="2"/>
    <x v="0"/>
    <s v="CUIABA"/>
    <s v="MT"/>
    <n v="2547146"/>
    <n v="0"/>
    <n v="1076493"/>
    <n v="2392156"/>
    <n v="114"/>
    <n v="154990"/>
    <n v="7"/>
    <n v="0"/>
    <n v="2"/>
    <n v="0"/>
    <n v="4.5164204142202725E-5"/>
  </r>
  <r>
    <x v="276"/>
    <s v="b3S"/>
    <x v="5"/>
    <n v="2"/>
    <x v="0"/>
    <s v="RAUL SOARES"/>
    <s v="MG"/>
    <n v="2545639"/>
    <n v="1156977"/>
    <n v="140122"/>
    <n v="2297964"/>
    <n v="1961793"/>
    <n v="247675"/>
    <n v="24925"/>
    <n v="0"/>
    <n v="39"/>
    <n v="0.45449374400690751"/>
    <n v="0.10063591400020187"/>
  </r>
  <r>
    <x v="277"/>
    <s v="b3S"/>
    <x v="4"/>
    <n v="2"/>
    <x v="0"/>
    <s v="MARILIA"/>
    <s v="SP"/>
    <n v="2532712"/>
    <n v="1240905"/>
    <n v="1052135"/>
    <n v="2333190"/>
    <n v="1879980"/>
    <n v="199521"/>
    <n v="12411"/>
    <n v="0"/>
    <n v="27"/>
    <n v="0.48995108800368931"/>
    <n v="6.220397852857594E-2"/>
  </r>
  <r>
    <x v="278"/>
    <s v="b3S"/>
    <x v="4"/>
    <n v="2"/>
    <x v="0"/>
    <s v="LARANJEIRAS DO SUL"/>
    <s v="PR"/>
    <n v="2527552"/>
    <n v="1272254"/>
    <n v="1018048"/>
    <n v="2249685"/>
    <n v="1607688"/>
    <n v="277867"/>
    <n v="21764"/>
    <n v="0"/>
    <n v="32"/>
    <n v="0.50335423366166154"/>
    <n v="7.8325241932291345E-2"/>
  </r>
  <r>
    <x v="279"/>
    <s v="n4"/>
    <x v="3"/>
    <n v="2"/>
    <x v="0"/>
    <s v="SAO PAULO"/>
    <s v="SP"/>
    <n v="2526252"/>
    <n v="42895"/>
    <n v="795215"/>
    <n v="2309334"/>
    <n v="2057307"/>
    <n v="216918"/>
    <n v="-10480"/>
    <n v="1"/>
    <n v="0"/>
    <n v="1.6979699570747495E-2"/>
    <n v="-4.8313187471763525E-2"/>
  </r>
  <r>
    <x v="280"/>
    <s v="b3S"/>
    <x v="5"/>
    <n v="2"/>
    <x v="0"/>
    <s v="CUIABA"/>
    <s v="MT"/>
    <n v="2513608"/>
    <n v="1473829"/>
    <n v="48762"/>
    <n v="2197581"/>
    <n v="1956777"/>
    <n v="316027"/>
    <n v="49074"/>
    <n v="0"/>
    <n v="17"/>
    <n v="0.58634003392732681"/>
    <n v="0.15528420040059868"/>
  </r>
  <r>
    <x v="281"/>
    <s v="b3S"/>
    <x v="5"/>
    <n v="2"/>
    <x v="0"/>
    <s v="MANHUACU"/>
    <s v="MG"/>
    <n v="2504298"/>
    <n v="1240718"/>
    <n v="70894"/>
    <n v="2048043"/>
    <n v="1671013"/>
    <n v="456255"/>
    <n v="62457"/>
    <n v="0"/>
    <n v="21"/>
    <n v="0.49543544737886624"/>
    <n v="0.13689055462405891"/>
  </r>
  <r>
    <x v="282"/>
    <s v="b3S"/>
    <x v="5"/>
    <n v="2"/>
    <x v="0"/>
    <s v="FRANCISCO BELTRAO"/>
    <s v="PR"/>
    <n v="2500478"/>
    <n v="1874468"/>
    <n v="31799"/>
    <n v="2216045"/>
    <n v="1465486"/>
    <n v="284432"/>
    <n v="17762"/>
    <n v="0"/>
    <n v="31"/>
    <n v="0.74964386809242078"/>
    <n v="6.2447263317770153E-2"/>
  </r>
  <r>
    <x v="283"/>
    <s v="b3S"/>
    <x v="4"/>
    <n v="2"/>
    <x v="0"/>
    <s v="MACEIO"/>
    <s v="AL"/>
    <n v="2470718"/>
    <n v="1338222"/>
    <n v="876931"/>
    <n v="2086388"/>
    <n v="1760768"/>
    <n v="384330"/>
    <n v="25852"/>
    <n v="0"/>
    <n v="26"/>
    <n v="0.54163283709431831"/>
    <n v="6.7265110712148413E-2"/>
  </r>
  <r>
    <x v="284"/>
    <s v="b3S"/>
    <x v="4"/>
    <n v="2"/>
    <x v="0"/>
    <s v="NATAL"/>
    <s v="RN"/>
    <n v="2470180"/>
    <n v="1244845"/>
    <n v="978749"/>
    <n v="2219218"/>
    <n v="1925836"/>
    <n v="250962"/>
    <n v="30536"/>
    <n v="0"/>
    <n v="13"/>
    <n v="0.50394910492352785"/>
    <n v="0.12167579155409983"/>
  </r>
  <r>
    <x v="285"/>
    <s v="b3S"/>
    <x v="5"/>
    <n v="2"/>
    <x v="0"/>
    <s v="CHAPECO"/>
    <s v="SC"/>
    <n v="2400761"/>
    <n v="1472935"/>
    <n v="41200"/>
    <n v="2151024"/>
    <n v="1972144"/>
    <n v="249737"/>
    <n v="5057"/>
    <n v="0"/>
    <n v="21"/>
    <n v="0.61352837704377905"/>
    <n v="2.0249302265983815E-2"/>
  </r>
  <r>
    <x v="286"/>
    <s v="b3S"/>
    <x v="4"/>
    <n v="2"/>
    <x v="0"/>
    <s v="LAPA"/>
    <s v="PR"/>
    <n v="2395591"/>
    <n v="939204"/>
    <n v="1363712"/>
    <n v="2108049"/>
    <n v="1581778"/>
    <n v="287542"/>
    <n v="27251"/>
    <n v="0"/>
    <n v="29"/>
    <n v="0.39205523814373988"/>
    <n v="9.4772241968129875E-2"/>
  </r>
  <r>
    <x v="287"/>
    <s v="b3S"/>
    <x v="5"/>
    <n v="2"/>
    <x v="0"/>
    <s v="PALMITOS"/>
    <s v="SC"/>
    <n v="2386724"/>
    <n v="1321009"/>
    <n v="32932"/>
    <n v="2115838"/>
    <n v="1538494"/>
    <n v="270886"/>
    <n v="18848"/>
    <n v="0"/>
    <n v="20"/>
    <n v="0.55348209512285462"/>
    <n v="6.9579084928715396E-2"/>
  </r>
  <r>
    <x v="288"/>
    <s v="b3S"/>
    <x v="5"/>
    <n v="2"/>
    <x v="0"/>
    <s v="TOLEDO"/>
    <s v="PR"/>
    <n v="2351386"/>
    <n v="1390245"/>
    <n v="35829"/>
    <n v="2072730"/>
    <n v="1819690"/>
    <n v="278656"/>
    <n v="16574"/>
    <n v="0"/>
    <n v="33"/>
    <n v="0.59124490832215548"/>
    <n v="5.947835323840147E-2"/>
  </r>
  <r>
    <x v="289"/>
    <s v="b3S"/>
    <x v="5"/>
    <n v="2"/>
    <x v="0"/>
    <s v="CLAUDIO"/>
    <s v="MG"/>
    <n v="2341529"/>
    <n v="1060266"/>
    <n v="34400"/>
    <n v="2027118"/>
    <n v="1931440"/>
    <n v="314411"/>
    <n v="28647"/>
    <n v="0"/>
    <n v="22"/>
    <n v="0.45280925412412149"/>
    <n v="9.1113224410087429E-2"/>
  </r>
  <r>
    <x v="290"/>
    <s v="b3S"/>
    <x v="5"/>
    <n v="2"/>
    <x v="0"/>
    <s v="MAFRA"/>
    <s v="SC"/>
    <n v="2327551"/>
    <n v="1092203"/>
    <n v="82735"/>
    <n v="2029272"/>
    <n v="1641386"/>
    <n v="298279"/>
    <n v="39255"/>
    <n v="0"/>
    <n v="17"/>
    <n v="0.46924986820911763"/>
    <n v="0.13160497386674891"/>
  </r>
  <r>
    <x v="291"/>
    <s v="b3S"/>
    <x v="4"/>
    <n v="2"/>
    <x v="0"/>
    <s v="JANDAIA DO SUL"/>
    <s v="PR"/>
    <n v="2314818"/>
    <n v="1483649"/>
    <n v="521534"/>
    <n v="2095905"/>
    <n v="1174030"/>
    <n v="218913"/>
    <n v="-11002"/>
    <n v="0"/>
    <n v="23"/>
    <n v="0.64093548607277118"/>
    <n v="-5.0257408194122777E-2"/>
  </r>
  <r>
    <x v="292"/>
    <s v="b3S"/>
    <x v="5"/>
    <n v="2"/>
    <x v="0"/>
    <s v="CATAGUASES"/>
    <s v="MG"/>
    <n v="2313137"/>
    <n v="1320071"/>
    <n v="38127"/>
    <n v="1984668"/>
    <n v="1870558"/>
    <n v="328469"/>
    <n v="18195"/>
    <n v="0"/>
    <n v="32"/>
    <n v="0.57068431312109913"/>
    <n v="5.5393355232913916E-2"/>
  </r>
  <r>
    <x v="293"/>
    <s v="n4"/>
    <x v="5"/>
    <n v="2"/>
    <x v="0"/>
    <s v="BARUERI"/>
    <s v="SP"/>
    <n v="2308204"/>
    <n v="325"/>
    <n v="339013"/>
    <n v="1802752"/>
    <n v="166161"/>
    <n v="505452"/>
    <n v="18736"/>
    <n v="1"/>
    <n v="0"/>
    <n v="1.4080211281151925E-4"/>
    <n v="3.7067812571717984E-2"/>
  </r>
  <r>
    <x v="294"/>
    <s v="b3S"/>
    <x v="5"/>
    <n v="2"/>
    <x v="0"/>
    <s v="IBIRAMA"/>
    <s v="SC"/>
    <n v="2289822"/>
    <n v="1424209"/>
    <n v="61725"/>
    <n v="1975018"/>
    <n v="1803113"/>
    <n v="314804"/>
    <n v="26702"/>
    <n v="0"/>
    <n v="30"/>
    <n v="0.62197367306279705"/>
    <n v="8.482103149896443E-2"/>
  </r>
  <r>
    <x v="295"/>
    <s v="b3S"/>
    <x v="5"/>
    <n v="2"/>
    <x v="0"/>
    <s v="ERECHIM"/>
    <s v="RS"/>
    <n v="2283067"/>
    <n v="1608355"/>
    <n v="30799"/>
    <n v="1979853"/>
    <n v="1393677"/>
    <n v="303215"/>
    <n v="11248"/>
    <n v="0"/>
    <n v="33"/>
    <n v="0.7044712222637356"/>
    <n v="3.7095790115924343E-2"/>
  </r>
  <r>
    <x v="296"/>
    <s v="b3S"/>
    <x v="5"/>
    <n v="2"/>
    <x v="0"/>
    <s v="IVAIPORA"/>
    <s v="PR"/>
    <n v="2280870"/>
    <n v="1826565"/>
    <n v="34231"/>
    <n v="1979290"/>
    <n v="1221507"/>
    <n v="301580"/>
    <n v="37591"/>
    <n v="0"/>
    <n v="45"/>
    <n v="0.80081942416709417"/>
    <n v="0.12464685987134426"/>
  </r>
  <r>
    <x v="297"/>
    <s v="b3C"/>
    <x v="4"/>
    <n v="2"/>
    <x v="0"/>
    <s v="SAO PAULO"/>
    <s v="SP"/>
    <n v="2256755"/>
    <n v="11504"/>
    <n v="1499713"/>
    <n v="1859368"/>
    <n v="1685651"/>
    <n v="397387"/>
    <n v="28518"/>
    <n v="0"/>
    <n v="0"/>
    <n v="5.0975848065031425E-3"/>
    <n v="7.1763797003928168E-2"/>
  </r>
  <r>
    <x v="298"/>
    <s v="b3S"/>
    <x v="5"/>
    <n v="2"/>
    <x v="0"/>
    <s v="CONSTANTINA"/>
    <s v="RS"/>
    <n v="2231709"/>
    <n v="1632367"/>
    <n v="88927"/>
    <n v="1917925"/>
    <n v="1007012"/>
    <n v="313783"/>
    <n v="17332"/>
    <n v="0"/>
    <n v="37"/>
    <n v="0.73144258503236759"/>
    <n v="5.5235624619561927E-2"/>
  </r>
  <r>
    <x v="299"/>
    <s v="b3S"/>
    <x v="4"/>
    <n v="2"/>
    <x v="0"/>
    <s v="PIRACICABA"/>
    <s v="SP"/>
    <n v="2214149"/>
    <n v="782752"/>
    <n v="198782"/>
    <n v="1956886"/>
    <n v="1776842"/>
    <n v="257262"/>
    <n v="19165"/>
    <n v="0"/>
    <n v="26"/>
    <n v="0.35352273040341908"/>
    <n v="7.4496039057458927E-2"/>
  </r>
  <r>
    <x v="300"/>
    <s v="b4"/>
    <x v="4"/>
    <n v="1"/>
    <x v="1"/>
    <s v="VITORIA"/>
    <s v="ES"/>
    <n v="2204638"/>
    <n v="651323"/>
    <n v="825977"/>
    <n v="1601581"/>
    <n v="748010"/>
    <n v="603057"/>
    <n v="8425"/>
    <n v="2"/>
    <n v="0"/>
    <n v="0.29543308243802385"/>
    <n v="1.3970487035222209E-2"/>
  </r>
  <r>
    <x v="301"/>
    <s v="n1"/>
    <x v="4"/>
    <n v="1"/>
    <x v="1"/>
    <s v="FLORIANOPOLIS"/>
    <s v="SC"/>
    <n v="2183080"/>
    <n v="1582014"/>
    <n v="512239"/>
    <n v="994503"/>
    <n v="848911"/>
    <n v="1188577"/>
    <n v="41517"/>
    <n v="2"/>
    <n v="0"/>
    <n v="0.72467064880810594"/>
    <n v="3.4930004534834511E-2"/>
  </r>
  <r>
    <x v="302"/>
    <s v="b3S"/>
    <x v="4"/>
    <n v="2"/>
    <x v="0"/>
    <s v="SANTIAGO"/>
    <s v="RS"/>
    <n v="2176444"/>
    <n v="1313914"/>
    <n v="787211"/>
    <n v="1726805"/>
    <n v="1112519"/>
    <n v="449638"/>
    <n v="31026"/>
    <n v="0"/>
    <n v="29"/>
    <n v="0.60369759111651855"/>
    <n v="6.9002175083066816E-2"/>
  </r>
  <r>
    <x v="303"/>
    <s v="b1"/>
    <x v="4"/>
    <n v="2"/>
    <x v="0"/>
    <s v="SAO PAULO"/>
    <s v="SP"/>
    <n v="2170003"/>
    <n v="1045362"/>
    <n v="545564"/>
    <n v="2052908"/>
    <n v="1839582"/>
    <n v="117095"/>
    <n v="-27383"/>
    <n v="2"/>
    <n v="0"/>
    <n v="0.48173297456270797"/>
    <n v="-0.23385285451983431"/>
  </r>
  <r>
    <x v="304"/>
    <s v="n1"/>
    <x v="5"/>
    <n v="2"/>
    <x v="0"/>
    <s v="SAO PAULO"/>
    <s v="SP"/>
    <n v="2167801"/>
    <n v="147722"/>
    <n v="0"/>
    <n v="1914518"/>
    <n v="1486139"/>
    <n v="253284"/>
    <n v="21066"/>
    <n v="4"/>
    <n v="0"/>
    <n v="6.8143708762935337E-2"/>
    <n v="8.3171459705311035E-2"/>
  </r>
  <r>
    <x v="305"/>
    <s v="n4"/>
    <x v="3"/>
    <n v="2"/>
    <x v="0"/>
    <s v="CURITIBA"/>
    <s v="PR"/>
    <n v="2157397"/>
    <n v="0"/>
    <n v="0"/>
    <n v="1996003"/>
    <n v="1964375"/>
    <n v="161393"/>
    <n v="59138"/>
    <n v="1"/>
    <n v="0"/>
    <n v="0"/>
    <n v="0.36642233554119447"/>
  </r>
  <r>
    <x v="306"/>
    <s v="b3S"/>
    <x v="5"/>
    <n v="2"/>
    <x v="0"/>
    <s v="RIO DO SUL"/>
    <s v="SC"/>
    <n v="2154951"/>
    <n v="974601"/>
    <n v="47390"/>
    <n v="1892976"/>
    <n v="1562785"/>
    <n v="261975"/>
    <n v="28866"/>
    <n v="0"/>
    <n v="29"/>
    <n v="0.45226132751974407"/>
    <n v="0.11018608645863155"/>
  </r>
  <r>
    <x v="307"/>
    <s v="b3S"/>
    <x v="4"/>
    <n v="2"/>
    <x v="0"/>
    <s v="ITAI"/>
    <s v="SP"/>
    <n v="2125774"/>
    <n v="904589"/>
    <n v="71693"/>
    <n v="1857684"/>
    <n v="1745211"/>
    <n v="268090"/>
    <n v="16434"/>
    <n v="0"/>
    <n v="33"/>
    <n v="0.42553394669423938"/>
    <n v="6.1300309597523223E-2"/>
  </r>
  <r>
    <x v="308"/>
    <s v="b3S"/>
    <x v="5"/>
    <n v="2"/>
    <x v="0"/>
    <s v="LAJEADO"/>
    <s v="RS"/>
    <n v="2124274"/>
    <n v="1147812"/>
    <n v="43818"/>
    <n v="1882619"/>
    <n v="1717917"/>
    <n v="241655"/>
    <n v="4580"/>
    <n v="0"/>
    <n v="29"/>
    <n v="0.54033142617195329"/>
    <n v="1.8952639092921726E-2"/>
  </r>
  <r>
    <x v="309"/>
    <s v="b3S"/>
    <x v="5"/>
    <n v="2"/>
    <x v="0"/>
    <s v="TAUBATE"/>
    <s v="SP"/>
    <n v="2112327"/>
    <n v="1324407"/>
    <n v="46547"/>
    <n v="1877460"/>
    <n v="1800369"/>
    <n v="234867"/>
    <n v="17951"/>
    <n v="0"/>
    <n v="34"/>
    <n v="0.62698957121695642"/>
    <n v="7.643049044778534E-2"/>
  </r>
  <r>
    <x v="310"/>
    <s v="n4"/>
    <x v="3"/>
    <n v="3"/>
    <x v="2"/>
    <s v="BLUMENAU"/>
    <s v="SC"/>
    <n v="2109510"/>
    <n v="0"/>
    <n v="191164"/>
    <n v="2045068"/>
    <n v="124953"/>
    <n v="64442"/>
    <n v="-35742"/>
    <n v="1"/>
    <n v="0"/>
    <n v="0"/>
    <n v="-0.55463827938301113"/>
  </r>
  <r>
    <x v="311"/>
    <s v="b3C"/>
    <x v="4"/>
    <n v="2"/>
    <x v="0"/>
    <s v="CURITIBA"/>
    <s v="PR"/>
    <n v="2094137"/>
    <n v="0"/>
    <n v="794279"/>
    <n v="169540"/>
    <n v="16615"/>
    <n v="1924597"/>
    <n v="0"/>
    <n v="0"/>
    <n v="0"/>
    <n v="0"/>
    <n v="0"/>
  </r>
  <r>
    <x v="312"/>
    <s v="b3S"/>
    <x v="4"/>
    <n v="2"/>
    <x v="0"/>
    <s v="FORTALEZA"/>
    <s v="CE"/>
    <n v="2090920"/>
    <n v="698461"/>
    <n v="1113732"/>
    <n v="1815428"/>
    <n v="1553714"/>
    <n v="275492"/>
    <n v="32069"/>
    <n v="0"/>
    <n v="26"/>
    <n v="0.33404482237483979"/>
    <n v="0.11640628403002629"/>
  </r>
  <r>
    <x v="313"/>
    <s v="b3C"/>
    <x v="4"/>
    <n v="2"/>
    <x v="0"/>
    <s v="SALVADOR"/>
    <s v="BA"/>
    <n v="2085622"/>
    <n v="15897"/>
    <n v="526181"/>
    <n v="1902551"/>
    <n v="115098"/>
    <n v="183070"/>
    <n v="8344"/>
    <n v="0"/>
    <n v="0"/>
    <n v="7.6221865707208685E-3"/>
    <n v="4.5578194133391599E-2"/>
  </r>
  <r>
    <x v="314"/>
    <s v="b3S"/>
    <x v="4"/>
    <n v="2"/>
    <x v="0"/>
    <s v="DESCALVADO"/>
    <s v="SP"/>
    <n v="2084882"/>
    <n v="800711"/>
    <n v="48694"/>
    <n v="1790686"/>
    <n v="1747783"/>
    <n v="294196"/>
    <n v="21287"/>
    <n v="0"/>
    <n v="36"/>
    <n v="0.38405578828921733"/>
    <n v="7.2356524221947272E-2"/>
  </r>
  <r>
    <x v="315"/>
    <s v="b1"/>
    <x v="4"/>
    <n v="3"/>
    <x v="2"/>
    <s v="PORTO ALEGRE"/>
    <s v="RS"/>
    <n v="2041569"/>
    <n v="99971"/>
    <n v="569662"/>
    <n v="1761464"/>
    <n v="1582068"/>
    <n v="280104"/>
    <n v="-4355"/>
    <n v="2"/>
    <n v="0"/>
    <n v="4.8967730211420729E-2"/>
    <n v="-1.554779653271642E-2"/>
  </r>
  <r>
    <x v="316"/>
    <s v="b3S"/>
    <x v="5"/>
    <n v="2"/>
    <x v="0"/>
    <s v="PRIMAVERA DO LESTE"/>
    <s v="MT"/>
    <n v="2020337"/>
    <n v="1277414"/>
    <n v="43494"/>
    <n v="1857732"/>
    <n v="1687754"/>
    <n v="162605"/>
    <n v="-48290"/>
    <n v="0"/>
    <n v="9"/>
    <n v="0.6322776843665191"/>
    <n v="-0.29697733772024232"/>
  </r>
  <r>
    <x v="317"/>
    <s v="n1"/>
    <x v="4"/>
    <n v="3"/>
    <x v="2"/>
    <s v="BARUERI"/>
    <s v="SP"/>
    <n v="1988447"/>
    <n v="1820850"/>
    <n v="0"/>
    <n v="701935"/>
    <n v="474956"/>
    <n v="1286512"/>
    <n v="54470"/>
    <n v="4"/>
    <n v="0"/>
    <n v="0.91571462553439942"/>
    <n v="4.2339286380539007E-2"/>
  </r>
  <r>
    <x v="318"/>
    <s v="b3S"/>
    <x v="5"/>
    <n v="2"/>
    <x v="0"/>
    <s v="GOIANIA"/>
    <s v="GO"/>
    <n v="1987950"/>
    <n v="1051520"/>
    <n v="129461"/>
    <n v="1513968"/>
    <n v="1324346"/>
    <n v="473983"/>
    <n v="-4291"/>
    <n v="0"/>
    <n v="12"/>
    <n v="0.52894690510324704"/>
    <n v="-9.0530673041016238E-3"/>
  </r>
  <r>
    <x v="319"/>
    <s v="b3S"/>
    <x v="5"/>
    <n v="2"/>
    <x v="0"/>
    <s v="PAPANDUVA"/>
    <s v="SC"/>
    <n v="1983926"/>
    <n v="1276631"/>
    <n v="24275"/>
    <n v="1748496"/>
    <n v="1562308"/>
    <n v="235430"/>
    <n v="16104"/>
    <n v="0"/>
    <n v="20"/>
    <n v="0.64348720668008785"/>
    <n v="6.8402497557660452E-2"/>
  </r>
  <r>
    <x v="320"/>
    <s v="b3S"/>
    <x v="5"/>
    <n v="2"/>
    <x v="0"/>
    <s v="PATOS DE MINAS"/>
    <s v="MG"/>
    <n v="1950115"/>
    <n v="1050789"/>
    <n v="27203"/>
    <n v="1781924"/>
    <n v="1582661"/>
    <n v="168191"/>
    <n v="10364"/>
    <n v="0"/>
    <n v="32"/>
    <n v="0.53883437643421028"/>
    <n v="6.162041964195468E-2"/>
  </r>
  <r>
    <x v="321"/>
    <s v="b3S"/>
    <x v="5"/>
    <n v="2"/>
    <x v="0"/>
    <s v="UMUARAMA"/>
    <s v="PR"/>
    <n v="1931470"/>
    <n v="976152"/>
    <n v="22857"/>
    <n v="1755857"/>
    <n v="1438595"/>
    <n v="175613"/>
    <n v="17017"/>
    <n v="0"/>
    <n v="38"/>
    <n v="0.50539330147504236"/>
    <n v="9.6900571142227512E-2"/>
  </r>
  <r>
    <x v="322"/>
    <s v="b3S"/>
    <x v="4"/>
    <n v="2"/>
    <x v="0"/>
    <s v="BAGE"/>
    <s v="RS"/>
    <n v="1920158"/>
    <n v="1032279"/>
    <n v="761400"/>
    <n v="1567765"/>
    <n v="1023463"/>
    <n v="352393"/>
    <n v="27996"/>
    <n v="0"/>
    <n v="22"/>
    <n v="0.53760107241174948"/>
    <n v="7.9445391934573048E-2"/>
  </r>
  <r>
    <x v="323"/>
    <s v="b3S"/>
    <x v="5"/>
    <n v="2"/>
    <x v="0"/>
    <s v="CAMPINA GRANDE"/>
    <s v="PB"/>
    <n v="1919248"/>
    <n v="1101589"/>
    <n v="65476"/>
    <n v="1576509"/>
    <n v="1507797"/>
    <n v="342739"/>
    <n v="47236"/>
    <n v="0"/>
    <n v="12"/>
    <n v="0.57396907538786024"/>
    <n v="0.13781915685113161"/>
  </r>
  <r>
    <x v="324"/>
    <s v="b3S"/>
    <x v="5"/>
    <n v="2"/>
    <x v="0"/>
    <s v="BURITIS"/>
    <s v="RO"/>
    <n v="1909871"/>
    <n v="1323118"/>
    <n v="45500"/>
    <n v="1645453"/>
    <n v="1348266"/>
    <n v="264418"/>
    <n v="14542"/>
    <n v="0"/>
    <n v="28"/>
    <n v="0.69277872694019649"/>
    <n v="5.4996255928113823E-2"/>
  </r>
  <r>
    <x v="325"/>
    <s v="n1"/>
    <x v="4"/>
    <n v="3"/>
    <x v="2"/>
    <s v="SAO PAULO"/>
    <s v="SP"/>
    <n v="1884262"/>
    <n v="0"/>
    <n v="0"/>
    <n v="1436895"/>
    <n v="1099664"/>
    <n v="447366"/>
    <n v="32457"/>
    <n v="2"/>
    <n v="0"/>
    <n v="0"/>
    <n v="7.2551333807218246E-2"/>
  </r>
  <r>
    <x v="326"/>
    <s v="n1"/>
    <x v="4"/>
    <n v="2"/>
    <x v="0"/>
    <s v="SAO PAULO"/>
    <s v="SP"/>
    <n v="1880154"/>
    <n v="939743"/>
    <n v="0"/>
    <n v="1716306"/>
    <n v="1686875"/>
    <n v="163848"/>
    <n v="72848"/>
    <n v="1"/>
    <n v="0"/>
    <n v="0.49982235497730504"/>
    <n v="0.44460719691421319"/>
  </r>
  <r>
    <x v="327"/>
    <s v="n4"/>
    <x v="4"/>
    <n v="2"/>
    <x v="0"/>
    <s v="SOROCABA"/>
    <s v="SP"/>
    <n v="1876614"/>
    <n v="797733"/>
    <n v="165008"/>
    <n v="1738664"/>
    <n v="19550"/>
    <n v="137950"/>
    <n v="-5519"/>
    <n v="1"/>
    <n v="0"/>
    <n v="0.42509168108092554"/>
    <n v="-4.0007249003262052E-2"/>
  </r>
  <r>
    <x v="328"/>
    <s v="b3S"/>
    <x v="5"/>
    <n v="2"/>
    <x v="0"/>
    <s v="CORONEL VIVIDA"/>
    <s v="PR"/>
    <n v="1858371"/>
    <n v="1474932"/>
    <n v="29646"/>
    <n v="1632797"/>
    <n v="959657"/>
    <n v="225575"/>
    <n v="4150"/>
    <n v="0"/>
    <n v="21"/>
    <n v="0.79366929423672672"/>
    <n v="1.8397428793084342E-2"/>
  </r>
  <r>
    <x v="329"/>
    <s v="b1"/>
    <x v="4"/>
    <n v="3"/>
    <x v="2"/>
    <s v="SAO PAULO"/>
    <s v="SP"/>
    <n v="1856689"/>
    <n v="0"/>
    <n v="784562"/>
    <n v="1129581"/>
    <n v="1107638"/>
    <n v="727108"/>
    <n v="6628"/>
    <n v="2"/>
    <n v="0"/>
    <n v="0"/>
    <n v="9.1155646753989777E-3"/>
  </r>
  <r>
    <x v="330"/>
    <s v="b3S"/>
    <x v="5"/>
    <n v="2"/>
    <x v="0"/>
    <s v="CAMPINAS"/>
    <s v="SP"/>
    <n v="1856652"/>
    <n v="970657"/>
    <n v="40498"/>
    <n v="1599120"/>
    <n v="1488444"/>
    <n v="257532"/>
    <n v="14546"/>
    <n v="0"/>
    <n v="33"/>
    <n v="0.52279964150524705"/>
    <n v="5.6482301228585184E-2"/>
  </r>
  <r>
    <x v="331"/>
    <s v="b3S"/>
    <x v="5"/>
    <n v="2"/>
    <x v="0"/>
    <s v="CAXIAS DO SUL"/>
    <s v="RS"/>
    <n v="1849777"/>
    <n v="904650"/>
    <n v="36306"/>
    <n v="1697403"/>
    <n v="1571797"/>
    <n v="152374"/>
    <n v="-5225"/>
    <n v="0"/>
    <n v="21"/>
    <n v="0.4890589514303616"/>
    <n v="-3.4290627009857327E-2"/>
  </r>
  <r>
    <x v="332"/>
    <s v="b1"/>
    <x v="4"/>
    <n v="3"/>
    <x v="2"/>
    <s v="SAO PAULO"/>
    <s v="SP"/>
    <n v="1848462"/>
    <n v="754120"/>
    <n v="632120"/>
    <n v="1557306"/>
    <n v="1531880"/>
    <n v="291156"/>
    <n v="-10819"/>
    <n v="4"/>
    <n v="0"/>
    <n v="0.40797160017354966"/>
    <n v="-3.7158773990575496E-2"/>
  </r>
  <r>
    <x v="333"/>
    <s v="n4"/>
    <x v="4"/>
    <n v="3"/>
    <x v="2"/>
    <s v="SAO PAULO"/>
    <s v="SP"/>
    <n v="1835153"/>
    <n v="134848"/>
    <n v="858240"/>
    <n v="1648017"/>
    <n v="308638"/>
    <n v="187135"/>
    <n v="12331"/>
    <n v="1"/>
    <n v="0"/>
    <n v="7.348052178755668E-2"/>
    <n v="6.589360622010848E-2"/>
  </r>
  <r>
    <x v="334"/>
    <s v="b3S"/>
    <x v="5"/>
    <n v="2"/>
    <x v="0"/>
    <s v="SAO ROQUE DE MINAS"/>
    <s v="MG"/>
    <n v="1829415"/>
    <n v="815624"/>
    <n v="22089"/>
    <n v="1631385"/>
    <n v="1343043"/>
    <n v="198030"/>
    <n v="6548"/>
    <n v="0"/>
    <n v="30"/>
    <n v="0.44583869706982832"/>
    <n v="3.3065697116598493E-2"/>
  </r>
  <r>
    <x v="335"/>
    <s v="b3S"/>
    <x v="4"/>
    <n v="2"/>
    <x v="0"/>
    <s v="FRANCA"/>
    <s v="SP"/>
    <n v="1817948"/>
    <n v="1006356"/>
    <n v="62014"/>
    <n v="1487168"/>
    <n v="1222806"/>
    <n v="330780"/>
    <n v="24708"/>
    <n v="0"/>
    <n v="10"/>
    <n v="0.55356698871474874"/>
    <n v="7.4696172682749862E-2"/>
  </r>
  <r>
    <x v="336"/>
    <s v="b1"/>
    <x v="4"/>
    <n v="3"/>
    <x v="2"/>
    <s v="RIBEIRAO PRETO"/>
    <s v="SP"/>
    <n v="1816104"/>
    <n v="988469"/>
    <n v="661894"/>
    <n v="1581844"/>
    <n v="1546101"/>
    <n v="234260"/>
    <n v="17941"/>
    <n v="2"/>
    <n v="0"/>
    <n v="0.54427995313043742"/>
    <n v="7.6585844787842569E-2"/>
  </r>
  <r>
    <x v="337"/>
    <s v="b3S"/>
    <x v="5"/>
    <n v="2"/>
    <x v="0"/>
    <s v="JI-PARANA"/>
    <s v="RO"/>
    <n v="1802269"/>
    <n v="911911"/>
    <n v="46008"/>
    <n v="1534288"/>
    <n v="1178232"/>
    <n v="267980"/>
    <n v="22687"/>
    <n v="0"/>
    <n v="21"/>
    <n v="0.50597940706964384"/>
    <n v="8.4659302933054709E-2"/>
  </r>
  <r>
    <x v="338"/>
    <s v="b3S"/>
    <x v="5"/>
    <n v="2"/>
    <x v="0"/>
    <s v="BLUMENAU"/>
    <s v="SC"/>
    <n v="1800537"/>
    <n v="980067"/>
    <n v="33604"/>
    <n v="1658265"/>
    <n v="1534833"/>
    <n v="142271"/>
    <n v="-29252"/>
    <n v="0"/>
    <n v="18"/>
    <n v="0.54431927808203884"/>
    <n v="-0.20560760801568836"/>
  </r>
  <r>
    <x v="339"/>
    <s v="b3S"/>
    <x v="5"/>
    <n v="2"/>
    <x v="0"/>
    <s v="PATROCINIO"/>
    <s v="MG"/>
    <n v="1798727"/>
    <n v="1019635"/>
    <n v="61070"/>
    <n v="1478698"/>
    <n v="1136674"/>
    <n v="320029"/>
    <n v="22596"/>
    <n v="0"/>
    <n v="21"/>
    <n v="0.56686478826414455"/>
    <n v="7.0606101322067683E-2"/>
  </r>
  <r>
    <x v="340"/>
    <s v="b3S"/>
    <x v="5"/>
    <n v="2"/>
    <x v="0"/>
    <s v="PATO BRANCO"/>
    <s v="PR"/>
    <n v="1791827"/>
    <n v="1006869"/>
    <n v="20630"/>
    <n v="1629656"/>
    <n v="1443643"/>
    <n v="162171"/>
    <n v="7176"/>
    <n v="0"/>
    <n v="44"/>
    <n v="0.56192310976450288"/>
    <n v="4.4249588397432343E-2"/>
  </r>
  <r>
    <x v="341"/>
    <s v="n1"/>
    <x v="4"/>
    <n v="2"/>
    <x v="0"/>
    <s v="SAO PAULO"/>
    <s v="SP"/>
    <n v="1786244"/>
    <n v="447567"/>
    <n v="1137341"/>
    <n v="1467784"/>
    <n v="1369833"/>
    <n v="318460"/>
    <n v="-40407"/>
    <n v="2"/>
    <n v="0"/>
    <n v="0.2505631929344479"/>
    <n v="-0.1268824970168938"/>
  </r>
  <r>
    <x v="342"/>
    <s v="b1"/>
    <x v="4"/>
    <n v="3"/>
    <x v="2"/>
    <s v="SAO PAULO"/>
    <s v="SP"/>
    <n v="1762078"/>
    <n v="186377"/>
    <n v="1087542"/>
    <n v="1615926"/>
    <n v="1335545"/>
    <n v="146151"/>
    <n v="-13525"/>
    <n v="2"/>
    <n v="0"/>
    <n v="0.10577114066460168"/>
    <n v="-9.254127580379197E-2"/>
  </r>
  <r>
    <x v="343"/>
    <s v="b3C"/>
    <x v="4"/>
    <n v="2"/>
    <x v="0"/>
    <s v="JOAO PESSOA"/>
    <s v="PB"/>
    <n v="1761631"/>
    <n v="31198"/>
    <n v="554121"/>
    <n v="1662150"/>
    <n v="117336"/>
    <n v="99481"/>
    <n v="6727"/>
    <n v="0"/>
    <n v="2"/>
    <n v="1.7709724681275477E-2"/>
    <n v="6.7620952744745222E-2"/>
  </r>
  <r>
    <x v="344"/>
    <s v="b2"/>
    <x v="4"/>
    <n v="2"/>
    <x v="0"/>
    <s v="CAXIAS DO SUL"/>
    <s v="RS"/>
    <n v="1745748"/>
    <n v="1678657"/>
    <n v="1175"/>
    <n v="1401751"/>
    <n v="1369838"/>
    <n v="343997"/>
    <n v="23573"/>
    <n v="2"/>
    <n v="0"/>
    <n v="0.96156890914381687"/>
    <n v="6.8526760407794249E-2"/>
  </r>
  <r>
    <x v="345"/>
    <s v="b3S"/>
    <x v="4"/>
    <n v="2"/>
    <x v="0"/>
    <s v="NAO-ME-TOQUE"/>
    <s v="RS"/>
    <n v="1745735"/>
    <n v="978353"/>
    <n v="691308"/>
    <n v="1387668"/>
    <n v="952643"/>
    <n v="358067"/>
    <n v="28130"/>
    <n v="0"/>
    <n v="27"/>
    <n v="0.5604246921783661"/>
    <n v="7.8560716290526633E-2"/>
  </r>
  <r>
    <x v="346"/>
    <s v="b3S"/>
    <x v="5"/>
    <n v="2"/>
    <x v="0"/>
    <s v="SANTO ANGELO"/>
    <s v="RS"/>
    <n v="1730664"/>
    <n v="938416"/>
    <n v="30624"/>
    <n v="1578294"/>
    <n v="1461230"/>
    <n v="152371"/>
    <n v="85"/>
    <n v="0"/>
    <n v="18"/>
    <n v="0.54222887862693159"/>
    <n v="5.5784893450853512E-4"/>
  </r>
  <r>
    <x v="347"/>
    <s v="b3S"/>
    <x v="5"/>
    <n v="2"/>
    <x v="0"/>
    <s v="MURIAE"/>
    <s v="MG"/>
    <n v="1721434"/>
    <n v="757798"/>
    <n v="53462"/>
    <n v="1548808"/>
    <n v="1165440"/>
    <n v="172626"/>
    <n v="6809"/>
    <n v="0"/>
    <n v="26"/>
    <n v="0.44021321758487403"/>
    <n v="3.9443652752192603E-2"/>
  </r>
  <r>
    <x v="348"/>
    <s v="b3S"/>
    <x v="5"/>
    <n v="2"/>
    <x v="0"/>
    <s v="ITAUNA"/>
    <s v="MG"/>
    <n v="1702159"/>
    <n v="821410"/>
    <n v="26536"/>
    <n v="1487011"/>
    <n v="1450720"/>
    <n v="215148"/>
    <n v="19097"/>
    <n v="0"/>
    <n v="9"/>
    <n v="0.4825694896892711"/>
    <n v="8.8762154423931428E-2"/>
  </r>
  <r>
    <x v="349"/>
    <s v="b3S"/>
    <x v="5"/>
    <n v="2"/>
    <x v="0"/>
    <s v="JI-PARANA"/>
    <s v="RO"/>
    <n v="1693136"/>
    <n v="1323243"/>
    <n v="31823"/>
    <n v="1476608"/>
    <n v="641190"/>
    <n v="216528"/>
    <n v="19737"/>
    <n v="0"/>
    <n v="22"/>
    <n v="0.78153379291444991"/>
    <n v="9.1152183551319002E-2"/>
  </r>
  <r>
    <x v="350"/>
    <s v="b3S"/>
    <x v="5"/>
    <n v="2"/>
    <x v="0"/>
    <s v="SAO TIAGO"/>
    <s v="MG"/>
    <n v="1681904"/>
    <n v="628222"/>
    <n v="26159"/>
    <n v="1424090"/>
    <n v="1368890"/>
    <n v="257814"/>
    <n v="20705"/>
    <n v="0"/>
    <n v="22"/>
    <n v="0.37351834587467536"/>
    <n v="8.030983577307671E-2"/>
  </r>
  <r>
    <x v="351"/>
    <s v="b3S"/>
    <x v="5"/>
    <n v="2"/>
    <x v="0"/>
    <s v="TOLEDO"/>
    <s v="PR"/>
    <n v="1672088"/>
    <n v="1216772"/>
    <n v="23228"/>
    <n v="1454213"/>
    <n v="874601"/>
    <n v="217875"/>
    <n v="12298"/>
    <n v="0"/>
    <n v="31"/>
    <n v="0.72769614996339904"/>
    <n v="5.6445209409064834E-2"/>
  </r>
  <r>
    <x v="352"/>
    <s v="b3S"/>
    <x v="5"/>
    <n v="2"/>
    <x v="0"/>
    <s v="CASCAVEL"/>
    <s v="PR"/>
    <n v="1670825"/>
    <n v="983243"/>
    <n v="36524"/>
    <n v="1492294"/>
    <n v="1222162"/>
    <n v="178532"/>
    <n v="9144"/>
    <n v="0"/>
    <n v="25"/>
    <n v="0.5884775485164514"/>
    <n v="5.121770887011852E-2"/>
  </r>
  <r>
    <x v="353"/>
    <s v="b3S"/>
    <x v="5"/>
    <n v="2"/>
    <x v="0"/>
    <s v="MONTES CLAROS"/>
    <s v="MG"/>
    <n v="1669355"/>
    <n v="731713"/>
    <n v="31195"/>
    <n v="1425370"/>
    <n v="1289864"/>
    <n v="243985"/>
    <n v="27873"/>
    <n v="0"/>
    <n v="33"/>
    <n v="0.43832078856803974"/>
    <n v="0.11424062954689837"/>
  </r>
  <r>
    <x v="354"/>
    <s v="b3S"/>
    <x v="5"/>
    <n v="2"/>
    <x v="0"/>
    <s v="LAJINHA"/>
    <s v="MG"/>
    <n v="1657422"/>
    <n v="817459"/>
    <n v="77650"/>
    <n v="1410423"/>
    <n v="1058012"/>
    <n v="246999"/>
    <n v="16881"/>
    <n v="0"/>
    <n v="20"/>
    <n v="0.49321114357116053"/>
    <n v="6.8344406252656892E-2"/>
  </r>
  <r>
    <x v="355"/>
    <s v="b3S"/>
    <x v="5"/>
    <n v="2"/>
    <x v="0"/>
    <s v="SAO JOSE DO CERRITO"/>
    <s v="SC"/>
    <n v="1624558"/>
    <n v="1023198"/>
    <n v="30484"/>
    <n v="1342956"/>
    <n v="884793"/>
    <n v="281602"/>
    <n v="21808"/>
    <n v="0"/>
    <n v="16"/>
    <n v="0.62983162189346276"/>
    <n v="7.7442631799490055E-2"/>
  </r>
  <r>
    <x v="356"/>
    <s v="n1"/>
    <x v="4"/>
    <n v="3"/>
    <x v="2"/>
    <s v="BARUERI"/>
    <s v="SP"/>
    <n v="1608279"/>
    <n v="242680"/>
    <n v="0"/>
    <n v="1419794"/>
    <n v="1015276"/>
    <n v="188485"/>
    <n v="8874"/>
    <n v="2"/>
    <n v="0"/>
    <n v="0.15089421673727008"/>
    <n v="4.7080669549301006E-2"/>
  </r>
  <r>
    <x v="357"/>
    <s v="n1"/>
    <x v="4"/>
    <n v="2"/>
    <x v="0"/>
    <s v="NAO-ME-TOQUE"/>
    <s v="RS"/>
    <n v="1592151"/>
    <n v="1371961"/>
    <n v="190571"/>
    <n v="1326848"/>
    <n v="1309191"/>
    <n v="265302"/>
    <n v="10434"/>
    <n v="2"/>
    <n v="0"/>
    <n v="0.8617028158761324"/>
    <n v="3.9328764954655447E-2"/>
  </r>
  <r>
    <x v="358"/>
    <s v="b3S"/>
    <x v="5"/>
    <n v="2"/>
    <x v="0"/>
    <s v="GUARANESIA"/>
    <s v="MG"/>
    <n v="1589987"/>
    <n v="901034"/>
    <n v="43167"/>
    <n v="1379821"/>
    <n v="1189256"/>
    <n v="210166"/>
    <n v="197"/>
    <n v="0"/>
    <n v="19"/>
    <n v="0.56669268365087266"/>
    <n v="9.3735428185339213E-4"/>
  </r>
  <r>
    <x v="359"/>
    <s v="b3S"/>
    <x v="5"/>
    <n v="2"/>
    <x v="0"/>
    <s v="CHAPECO"/>
    <s v="SC"/>
    <n v="1588362"/>
    <n v="1234363"/>
    <n v="24953"/>
    <n v="1438507"/>
    <n v="870431"/>
    <n v="149855"/>
    <n v="4228"/>
    <n v="0"/>
    <n v="24"/>
    <n v="0.77712952085229936"/>
    <n v="2.8213940142137399E-2"/>
  </r>
  <r>
    <x v="360"/>
    <s v="b3S"/>
    <x v="5"/>
    <n v="2"/>
    <x v="0"/>
    <s v="SINOP"/>
    <s v="MT"/>
    <n v="1575452"/>
    <n v="972364"/>
    <n v="38784"/>
    <n v="1389027"/>
    <n v="1274923"/>
    <n v="186425"/>
    <n v="25589"/>
    <n v="0"/>
    <n v="27"/>
    <n v="0.61719684255692975"/>
    <n v="0.13726163336462385"/>
  </r>
  <r>
    <x v="361"/>
    <s v="b3S"/>
    <x v="5"/>
    <n v="2"/>
    <x v="0"/>
    <s v="GOVERNADOR VALADARES"/>
    <s v="MG"/>
    <n v="1568007"/>
    <n v="490907"/>
    <n v="28509"/>
    <n v="1377728"/>
    <n v="1277536"/>
    <n v="190279"/>
    <n v="19690"/>
    <n v="0"/>
    <n v="28"/>
    <n v="0.31307704621216614"/>
    <n v="0.10347962728414591"/>
  </r>
  <r>
    <x v="362"/>
    <s v="b3S"/>
    <x v="5"/>
    <n v="2"/>
    <x v="0"/>
    <s v="CARATINGA"/>
    <s v="MG"/>
    <n v="1524046"/>
    <n v="670864"/>
    <n v="45569"/>
    <n v="1305880"/>
    <n v="995237"/>
    <n v="218166"/>
    <n v="15942"/>
    <n v="0"/>
    <n v="11"/>
    <n v="0.44018618860585573"/>
    <n v="7.3072797777838899E-2"/>
  </r>
  <r>
    <x v="363"/>
    <s v="n4"/>
    <x v="4"/>
    <n v="3"/>
    <x v="2"/>
    <s v="SAO PAULO"/>
    <s v="SP"/>
    <n v="1520686"/>
    <n v="0"/>
    <n v="4828"/>
    <n v="1500625"/>
    <n v="1048077"/>
    <n v="20062"/>
    <n v="4018"/>
    <n v="1"/>
    <n v="0"/>
    <n v="0"/>
    <n v="0.20027913468248429"/>
  </r>
  <r>
    <x v="364"/>
    <s v="b2"/>
    <x v="4"/>
    <n v="3"/>
    <x v="2"/>
    <s v="SAO PAULO"/>
    <s v="SP"/>
    <n v="1513067"/>
    <n v="1238079"/>
    <n v="205966"/>
    <n v="1050087"/>
    <n v="882157"/>
    <n v="462981"/>
    <n v="19733"/>
    <n v="2"/>
    <n v="0"/>
    <n v="0.81825788283003986"/>
    <n v="4.262161946170577E-2"/>
  </r>
  <r>
    <x v="365"/>
    <s v="b3S"/>
    <x v="4"/>
    <n v="2"/>
    <x v="0"/>
    <s v="SAO JOSE DO RIO PRETO"/>
    <s v="SP"/>
    <n v="1510770"/>
    <n v="705477"/>
    <n v="662007"/>
    <n v="1362896"/>
    <n v="1012348"/>
    <n v="147875"/>
    <n v="19587"/>
    <n v="0"/>
    <n v="20"/>
    <n v="0.46696518993625769"/>
    <n v="0.13245646661031277"/>
  </r>
  <r>
    <x v="366"/>
    <s v="b3S"/>
    <x v="5"/>
    <n v="2"/>
    <x v="0"/>
    <s v="FOZ DO IGUACU"/>
    <s v="PR"/>
    <n v="1505398"/>
    <n v="859572"/>
    <n v="18515"/>
    <n v="1353143"/>
    <n v="1135535"/>
    <n v="152255"/>
    <n v="12234"/>
    <n v="0"/>
    <n v="21"/>
    <n v="0.57099318585516923"/>
    <n v="8.035204098387573E-2"/>
  </r>
  <r>
    <x v="367"/>
    <s v="b1"/>
    <x v="4"/>
    <n v="3"/>
    <x v="2"/>
    <s v="SAO PAULO"/>
    <s v="SP"/>
    <n v="1505221"/>
    <n v="172690"/>
    <n v="330361"/>
    <n v="1295003"/>
    <n v="1267972"/>
    <n v="210219"/>
    <n v="3040"/>
    <n v="2"/>
    <n v="0"/>
    <n v="0.11472733904190813"/>
    <n v="1.4461109604745528E-2"/>
  </r>
  <r>
    <x v="368"/>
    <s v="b3S"/>
    <x v="5"/>
    <n v="2"/>
    <x v="0"/>
    <s v="ITAPIRANGA"/>
    <s v="SC"/>
    <n v="1501097"/>
    <n v="847365"/>
    <n v="21335"/>
    <n v="1346821"/>
    <n v="854731"/>
    <n v="154276"/>
    <n v="9636"/>
    <n v="0"/>
    <n v="11"/>
    <n v="0.56449716440709696"/>
    <n v="6.245948818999715E-2"/>
  </r>
  <r>
    <x v="369"/>
    <s v="b1"/>
    <x v="4"/>
    <n v="2"/>
    <x v="0"/>
    <s v="RIO DE JANEIRO"/>
    <s v="RJ"/>
    <n v="1500558"/>
    <n v="450758"/>
    <n v="200106"/>
    <n v="1402059"/>
    <n v="1360818"/>
    <n v="98499"/>
    <n v="-6808"/>
    <n v="5"/>
    <n v="0"/>
    <n v="0.30039358691899948"/>
    <n v="-6.9117452969065671E-2"/>
  </r>
  <r>
    <x v="370"/>
    <s v="b3S"/>
    <x v="5"/>
    <n v="2"/>
    <x v="0"/>
    <s v="PASSOS MAIA"/>
    <s v="SC"/>
    <n v="1494354"/>
    <n v="1010283"/>
    <n v="22071"/>
    <n v="1351516"/>
    <n v="1098960"/>
    <n v="142838"/>
    <n v="7338"/>
    <n v="0"/>
    <n v="19"/>
    <n v="0.67606671511569549"/>
    <n v="5.1372883966451503E-2"/>
  </r>
  <r>
    <x v="371"/>
    <s v="b3S"/>
    <x v="5"/>
    <n v="2"/>
    <x v="0"/>
    <s v="SAO SEBASTIAO DO PARAISO"/>
    <s v="MG"/>
    <n v="1478240"/>
    <n v="755817"/>
    <n v="27121"/>
    <n v="1248432"/>
    <n v="1107060"/>
    <n v="229808"/>
    <n v="21931"/>
    <n v="0"/>
    <n v="11"/>
    <n v="0.51129518887325465"/>
    <n v="9.5431838752349785E-2"/>
  </r>
  <r>
    <x v="372"/>
    <s v="n1"/>
    <x v="5"/>
    <n v="2"/>
    <x v="0"/>
    <s v="SAO PAULO"/>
    <s v="SP"/>
    <n v="1476596"/>
    <n v="593370"/>
    <n v="848230"/>
    <n v="931262"/>
    <n v="921250"/>
    <n v="545334"/>
    <n v="43178"/>
    <n v="2"/>
    <n v="0"/>
    <n v="0.40184993051586215"/>
    <n v="7.9177164820091905E-2"/>
  </r>
  <r>
    <x v="373"/>
    <s v="b3S"/>
    <x v="5"/>
    <n v="2"/>
    <x v="0"/>
    <s v="NOVA TRENTO"/>
    <s v="SC"/>
    <n v="1471954"/>
    <n v="772601"/>
    <n v="128847"/>
    <n v="1208709"/>
    <n v="1181969"/>
    <n v="263245"/>
    <n v="31253"/>
    <n v="0"/>
    <n v="17"/>
    <n v="0.52488121232049367"/>
    <n v="0.11872210298391232"/>
  </r>
  <r>
    <x v="374"/>
    <s v="b3S"/>
    <x v="5"/>
    <n v="2"/>
    <x v="0"/>
    <s v="SANANDUVA"/>
    <s v="RS"/>
    <n v="1471806"/>
    <n v="998896"/>
    <n v="46101"/>
    <n v="1309420"/>
    <n v="844009"/>
    <n v="162386"/>
    <n v="9516"/>
    <n v="0"/>
    <n v="29"/>
    <n v="0.67868727264326956"/>
    <n v="5.8601110933208529E-2"/>
  </r>
  <r>
    <x v="375"/>
    <s v="b1"/>
    <x v="4"/>
    <n v="2"/>
    <x v="0"/>
    <s v="SAO PAULO"/>
    <s v="SP"/>
    <n v="1459235"/>
    <n v="0"/>
    <n v="211097"/>
    <n v="1256919"/>
    <n v="1162782"/>
    <n v="202316"/>
    <n v="38823"/>
    <n v="2"/>
    <n v="0"/>
    <n v="0"/>
    <n v="0.19189288044445324"/>
  </r>
  <r>
    <x v="376"/>
    <s v="b3S"/>
    <x v="5"/>
    <n v="2"/>
    <x v="0"/>
    <s v="SAO JOAO DO TRIUNFO"/>
    <s v="PR"/>
    <n v="1438349"/>
    <n v="985857"/>
    <n v="17526"/>
    <n v="1292353"/>
    <n v="945541"/>
    <n v="145995"/>
    <n v="14508"/>
    <n v="0"/>
    <n v="15"/>
    <n v="0.68540875684552216"/>
    <n v="9.9373266207746835E-2"/>
  </r>
  <r>
    <x v="377"/>
    <s v="b3S"/>
    <x v="5"/>
    <n v="2"/>
    <x v="0"/>
    <s v="ITAUNA"/>
    <s v="MG"/>
    <n v="1437606"/>
    <n v="521657"/>
    <n v="30173"/>
    <n v="1186812"/>
    <n v="1080592"/>
    <n v="250794"/>
    <n v="33202"/>
    <n v="0"/>
    <n v="10"/>
    <n v="0.36286506873232305"/>
    <n v="0.13238753718191026"/>
  </r>
  <r>
    <x v="378"/>
    <s v="b3S"/>
    <x v="5"/>
    <n v="2"/>
    <x v="0"/>
    <s v="MURIAE"/>
    <s v="MG"/>
    <n v="1437278"/>
    <n v="1048192"/>
    <n v="21830"/>
    <n v="1279130"/>
    <n v="869470"/>
    <n v="158148"/>
    <n v="9894"/>
    <n v="0"/>
    <n v="31"/>
    <n v="0.72928967117008681"/>
    <n v="6.2561651111616962E-2"/>
  </r>
  <r>
    <x v="379"/>
    <s v="n4"/>
    <x v="3"/>
    <n v="2"/>
    <x v="0"/>
    <s v="SAO PAULO"/>
    <s v="SP"/>
    <n v="1435335"/>
    <n v="28962"/>
    <n v="1317631"/>
    <n v="1365667"/>
    <n v="571257"/>
    <n v="69668"/>
    <n v="-3190"/>
    <n v="1"/>
    <n v="0"/>
    <n v="2.0177867884500832E-2"/>
    <n v="-4.5788597347419191E-2"/>
  </r>
  <r>
    <x v="380"/>
    <s v="b3S"/>
    <x v="5"/>
    <n v="2"/>
    <x v="0"/>
    <s v="CAPIVARI"/>
    <s v="SP"/>
    <n v="1434578"/>
    <n v="666768"/>
    <n v="49647"/>
    <n v="1247973"/>
    <n v="1128385"/>
    <n v="186605"/>
    <n v="12781"/>
    <n v="0"/>
    <n v="21"/>
    <n v="0.46478337183478347"/>
    <n v="6.8492269767691114E-2"/>
  </r>
  <r>
    <x v="381"/>
    <s v="b3S"/>
    <x v="5"/>
    <n v="2"/>
    <x v="0"/>
    <s v="UBERLANDIA"/>
    <s v="MG"/>
    <n v="1406046"/>
    <n v="813634"/>
    <n v="24751"/>
    <n v="1275825"/>
    <n v="1147635"/>
    <n v="130221"/>
    <n v="14696"/>
    <n v="0"/>
    <n v="27"/>
    <n v="0.57866812323352157"/>
    <n v="0.11285430153354682"/>
  </r>
  <r>
    <x v="382"/>
    <s v="b3C"/>
    <x v="4"/>
    <n v="2"/>
    <x v="0"/>
    <s v="CUIABA"/>
    <s v="MT"/>
    <n v="1399122"/>
    <n v="0"/>
    <n v="471356"/>
    <n v="129846"/>
    <n v="0"/>
    <n v="1269276"/>
    <n v="9699"/>
    <n v="0"/>
    <n v="0"/>
    <n v="0"/>
    <n v="7.6413640532082853E-3"/>
  </r>
  <r>
    <x v="383"/>
    <s v="b3S"/>
    <x v="5"/>
    <n v="2"/>
    <x v="0"/>
    <s v="SETE LAGOAS"/>
    <s v="MG"/>
    <n v="1368933"/>
    <n v="459019"/>
    <n v="23283"/>
    <n v="1213771"/>
    <n v="1172945"/>
    <n v="155162"/>
    <n v="6529"/>
    <n v="0"/>
    <n v="15"/>
    <n v="0.33531151634155942"/>
    <n v="4.2078601719493174E-2"/>
  </r>
  <r>
    <x v="384"/>
    <s v="b3S"/>
    <x v="5"/>
    <n v="2"/>
    <x v="0"/>
    <s v="SANTO CRISTO"/>
    <s v="RS"/>
    <n v="1363081"/>
    <n v="914876"/>
    <n v="25326"/>
    <n v="1214076"/>
    <n v="791302"/>
    <n v="149005"/>
    <n v="5743"/>
    <n v="0"/>
    <n v="23"/>
    <n v="0.67118241689231972"/>
    <n v="3.854233079426865E-2"/>
  </r>
  <r>
    <x v="385"/>
    <s v="n1"/>
    <x v="5"/>
    <n v="3"/>
    <x v="2"/>
    <s v="SAO PAULO"/>
    <s v="SP"/>
    <n v="1332663"/>
    <n v="0"/>
    <n v="27491"/>
    <n v="1306507"/>
    <n v="1302541"/>
    <n v="26156"/>
    <n v="866"/>
    <n v="2"/>
    <n v="0"/>
    <n v="0"/>
    <n v="3.3109038079217008E-2"/>
  </r>
  <r>
    <x v="386"/>
    <s v="b3S"/>
    <x v="5"/>
    <n v="2"/>
    <x v="0"/>
    <s v="PRESIDENTE PRUDENTE"/>
    <s v="SP"/>
    <n v="1332295"/>
    <n v="852010"/>
    <n v="28784"/>
    <n v="1196336"/>
    <n v="1106512"/>
    <n v="135959"/>
    <n v="15686"/>
    <n v="0"/>
    <n v="22"/>
    <n v="0.63950551491974372"/>
    <n v="0.11537301686537853"/>
  </r>
  <r>
    <x v="387"/>
    <s v="b3S"/>
    <x v="5"/>
    <n v="2"/>
    <x v="0"/>
    <s v="ITAJAI"/>
    <s v="SC"/>
    <n v="1329147"/>
    <n v="979796"/>
    <n v="44629"/>
    <n v="1103127"/>
    <n v="930015"/>
    <n v="226019"/>
    <n v="12224"/>
    <n v="0"/>
    <n v="26"/>
    <n v="0.73716150282850579"/>
    <n v="5.4083948694578776E-2"/>
  </r>
  <r>
    <x v="388"/>
    <s v="b1"/>
    <x v="4"/>
    <n v="2"/>
    <x v="0"/>
    <s v="CURITIBA"/>
    <s v="PR"/>
    <n v="1325349"/>
    <n v="989412"/>
    <n v="96641"/>
    <n v="1167776"/>
    <n v="1135374"/>
    <n v="157573"/>
    <n v="12532"/>
    <n v="2"/>
    <n v="0"/>
    <n v="0.7465294047077411"/>
    <n v="7.9531391799356491E-2"/>
  </r>
  <r>
    <x v="389"/>
    <s v="n4"/>
    <x v="3"/>
    <n v="3"/>
    <x v="2"/>
    <s v="SAO PAULO"/>
    <s v="SP"/>
    <n v="1320401"/>
    <n v="60742"/>
    <n v="186971"/>
    <n v="1213925"/>
    <n v="650545"/>
    <n v="106477"/>
    <n v="8395"/>
    <n v="1"/>
    <n v="0"/>
    <n v="4.6002691606564977E-2"/>
    <n v="7.8843318275308286E-2"/>
  </r>
  <r>
    <x v="390"/>
    <s v="b3S"/>
    <x v="4"/>
    <n v="2"/>
    <x v="0"/>
    <s v="ARARAQUARA"/>
    <s v="SP"/>
    <n v="1315747"/>
    <n v="713183"/>
    <n v="525132"/>
    <n v="1202027"/>
    <n v="921306"/>
    <n v="113720"/>
    <n v="7058"/>
    <n v="0"/>
    <n v="11"/>
    <n v="0.54203657694070362"/>
    <n v="6.206472036581076E-2"/>
  </r>
  <r>
    <x v="391"/>
    <s v="b3S"/>
    <x v="5"/>
    <n v="2"/>
    <x v="0"/>
    <s v="JI-PARANA"/>
    <s v="RO"/>
    <n v="1311054"/>
    <n v="706068"/>
    <n v="42107"/>
    <n v="1097271"/>
    <n v="942525"/>
    <n v="213783"/>
    <n v="14733"/>
    <n v="0"/>
    <n v="26"/>
    <n v="0.53854989954647181"/>
    <n v="6.8915676176309629E-2"/>
  </r>
  <r>
    <x v="392"/>
    <s v="b3S"/>
    <x v="5"/>
    <n v="2"/>
    <x v="0"/>
    <s v="CARMO DO PARANAIBA"/>
    <s v="MG"/>
    <n v="1310490"/>
    <n v="680818"/>
    <n v="39289"/>
    <n v="1079225"/>
    <n v="802076"/>
    <n v="231264"/>
    <n v="5665"/>
    <n v="0"/>
    <n v="5"/>
    <n v="0.51951407488801904"/>
    <n v="2.4495814307458143E-2"/>
  </r>
  <r>
    <x v="393"/>
    <s v="b3S"/>
    <x v="5"/>
    <n v="2"/>
    <x v="0"/>
    <s v="DONA EMMA"/>
    <s v="SC"/>
    <n v="1296552"/>
    <n v="892658"/>
    <n v="21399"/>
    <n v="1147954"/>
    <n v="781016"/>
    <n v="148599"/>
    <n v="1631"/>
    <n v="0"/>
    <n v="30"/>
    <n v="0.68848607691785602"/>
    <n v="1.0975847751330762E-2"/>
  </r>
  <r>
    <x v="394"/>
    <s v="b3S"/>
    <x v="5"/>
    <n v="2"/>
    <x v="0"/>
    <s v="BOM DESPACHO"/>
    <s v="MG"/>
    <n v="1291374"/>
    <n v="463429"/>
    <n v="29633"/>
    <n v="1102048"/>
    <n v="1017855"/>
    <n v="189326"/>
    <n v="20339"/>
    <n v="0"/>
    <n v="7"/>
    <n v="0.35886505381090217"/>
    <n v="0.10742845673600034"/>
  </r>
  <r>
    <x v="395"/>
    <s v="b3S"/>
    <x v="5"/>
    <n v="2"/>
    <x v="0"/>
    <s v="JOACABA"/>
    <s v="SC"/>
    <n v="1280529"/>
    <n v="597926"/>
    <n v="17868"/>
    <n v="1165763"/>
    <n v="981581"/>
    <n v="114766"/>
    <n v="-1292"/>
    <n v="0"/>
    <n v="10"/>
    <n v="0.46693671131227799"/>
    <n v="-1.1257689559625673E-2"/>
  </r>
  <r>
    <x v="396"/>
    <s v="b3S"/>
    <x v="5"/>
    <n v="2"/>
    <x v="0"/>
    <s v="ARIQUEMES"/>
    <s v="RO"/>
    <n v="1278284"/>
    <n v="750136"/>
    <n v="61828"/>
    <n v="917890"/>
    <n v="848366"/>
    <n v="360394"/>
    <n v="10167"/>
    <n v="0"/>
    <n v="18"/>
    <n v="0.5868304695983052"/>
    <n v="2.8210791522611363E-2"/>
  </r>
  <r>
    <x v="397"/>
    <s v="n4"/>
    <x v="3"/>
    <n v="2"/>
    <x v="0"/>
    <s v="SAO PAULO"/>
    <s v="SP"/>
    <n v="1273180"/>
    <n v="0"/>
    <n v="57555"/>
    <n v="1223611"/>
    <n v="420849"/>
    <n v="49569"/>
    <n v="-9329"/>
    <n v="1"/>
    <n v="0"/>
    <n v="0"/>
    <n v="-0.18820230385926687"/>
  </r>
  <r>
    <x v="398"/>
    <s v="b3S"/>
    <x v="5"/>
    <n v="2"/>
    <x v="0"/>
    <s v="SAO JOSE DO EGITO"/>
    <s v="PE"/>
    <n v="1270991"/>
    <n v="910200"/>
    <n v="42408"/>
    <n v="1118569"/>
    <n v="989949"/>
    <n v="152421"/>
    <n v="16707"/>
    <n v="0"/>
    <n v="44"/>
    <n v="0.71613410323125815"/>
    <n v="0.10961088039049738"/>
  </r>
  <r>
    <x v="399"/>
    <s v="b3S"/>
    <x v="5"/>
    <n v="2"/>
    <x v="0"/>
    <s v="FORMIGA"/>
    <s v="MG"/>
    <n v="1268291"/>
    <n v="425273"/>
    <n v="228234"/>
    <n v="1155215"/>
    <n v="1068279"/>
    <n v="113075"/>
    <n v="6438"/>
    <n v="0"/>
    <n v="8"/>
    <n v="0.33531184877918396"/>
    <n v="5.6935662171125362E-2"/>
  </r>
  <r>
    <x v="400"/>
    <s v="b3S"/>
    <x v="5"/>
    <n v="2"/>
    <x v="0"/>
    <s v="CASCAVEL"/>
    <s v="PR"/>
    <n v="1261589"/>
    <n v="988692"/>
    <n v="16720"/>
    <n v="1108259"/>
    <n v="693066"/>
    <n v="153330"/>
    <n v="7521"/>
    <n v="0"/>
    <n v="17"/>
    <n v="0.78368787299191733"/>
    <n v="4.9051066327528862E-2"/>
  </r>
  <r>
    <x v="401"/>
    <s v="b3S"/>
    <x v="5"/>
    <n v="2"/>
    <x v="0"/>
    <s v="CUIABA"/>
    <s v="MT"/>
    <n v="1258416"/>
    <n v="793839"/>
    <n v="21570"/>
    <n v="1128225"/>
    <n v="1027809"/>
    <n v="130191"/>
    <n v="1457"/>
    <n v="0"/>
    <n v="25"/>
    <n v="0.63082398825189767"/>
    <n v="1.1191249779170603E-2"/>
  </r>
  <r>
    <x v="402"/>
    <s v="b3S"/>
    <x v="5"/>
    <n v="2"/>
    <x v="0"/>
    <s v="SAO GOTARDO"/>
    <s v="MG"/>
    <n v="1239176"/>
    <n v="695948"/>
    <n v="44507"/>
    <n v="1000901"/>
    <n v="630409"/>
    <n v="238275"/>
    <n v="5325"/>
    <n v="0"/>
    <n v="2"/>
    <n v="0.56162159370420339"/>
    <n v="2.2348127163991188E-2"/>
  </r>
  <r>
    <x v="403"/>
    <s v="b3S"/>
    <x v="5"/>
    <n v="2"/>
    <x v="0"/>
    <s v="TEOFILO OTONI"/>
    <s v="MG"/>
    <n v="1231700"/>
    <n v="383346"/>
    <n v="27483"/>
    <n v="1055346"/>
    <n v="958917"/>
    <n v="176354"/>
    <n v="19046"/>
    <n v="0"/>
    <n v="28"/>
    <n v="0.31123325485101894"/>
    <n v="0.10799868446420269"/>
  </r>
  <r>
    <x v="404"/>
    <s v="n1"/>
    <x v="4"/>
    <n v="3"/>
    <x v="2"/>
    <s v="BARUERI"/>
    <s v="SP"/>
    <n v="1228780"/>
    <n v="981109"/>
    <n v="193485"/>
    <n v="928467"/>
    <n v="795774"/>
    <n v="300314"/>
    <n v="-1005"/>
    <n v="2"/>
    <n v="0"/>
    <n v="0.79844154364491604"/>
    <n v="-3.3464973327916783E-3"/>
  </r>
  <r>
    <x v="405"/>
    <s v="n4"/>
    <x v="2"/>
    <n v="2"/>
    <x v="0"/>
    <s v="BELO HORIZONTE"/>
    <s v="MG"/>
    <n v="1226884"/>
    <n v="0"/>
    <n v="88993"/>
    <n v="833159"/>
    <n v="59563"/>
    <n v="393725"/>
    <n v="-2841"/>
    <n v="1"/>
    <n v="0"/>
    <n v="0"/>
    <n v="-7.2156962346815673E-3"/>
  </r>
  <r>
    <x v="406"/>
    <s v="b2"/>
    <x v="4"/>
    <n v="2"/>
    <x v="0"/>
    <s v="RIO DE JANEIRO"/>
    <s v="RJ"/>
    <n v="1225612"/>
    <n v="577335"/>
    <n v="0"/>
    <n v="698625"/>
    <n v="387309"/>
    <n v="526987"/>
    <n v="11933"/>
    <n v="2"/>
    <n v="0"/>
    <n v="0.47105854054953772"/>
    <n v="2.2643822333378243E-2"/>
  </r>
  <r>
    <x v="407"/>
    <s v="b3S"/>
    <x v="4"/>
    <n v="2"/>
    <x v="0"/>
    <s v="ARACAJU"/>
    <s v="SE"/>
    <n v="1215106"/>
    <n v="420988"/>
    <n v="647927"/>
    <n v="1084696"/>
    <n v="957034"/>
    <n v="130411"/>
    <n v="9850"/>
    <n v="0"/>
    <n v="13"/>
    <n v="0.34646195475950248"/>
    <n v="7.5530438383265217E-2"/>
  </r>
  <r>
    <x v="408"/>
    <s v="n1"/>
    <x v="4"/>
    <n v="1"/>
    <x v="1"/>
    <s v="SALVADOR"/>
    <s v="BA"/>
    <n v="1197219"/>
    <n v="624999"/>
    <n v="432741"/>
    <n v="330226"/>
    <n v="217963"/>
    <n v="866993"/>
    <n v="26004"/>
    <n v="2"/>
    <n v="0"/>
    <n v="0.52204233310697545"/>
    <n v="2.9993321745388948E-2"/>
  </r>
  <r>
    <x v="409"/>
    <s v="b3S"/>
    <x v="4"/>
    <n v="2"/>
    <x v="0"/>
    <s v="BIRIGUI"/>
    <s v="SP"/>
    <n v="1187220"/>
    <n v="587888"/>
    <n v="501541"/>
    <n v="1093652"/>
    <n v="909812"/>
    <n v="93568"/>
    <n v="-2348"/>
    <n v="0"/>
    <n v="13"/>
    <n v="0.49518033725846938"/>
    <n v="-2.5094049247606019E-2"/>
  </r>
  <r>
    <x v="410"/>
    <s v="b3S"/>
    <x v="5"/>
    <n v="2"/>
    <x v="0"/>
    <s v="ADAMANTINA"/>
    <s v="SP"/>
    <n v="1179966"/>
    <n v="431164"/>
    <n v="37581"/>
    <n v="1043208"/>
    <n v="945011"/>
    <n v="136759"/>
    <n v="5561"/>
    <n v="0"/>
    <n v="19"/>
    <n v="0.36540374892157912"/>
    <n v="4.0662771737143444E-2"/>
  </r>
  <r>
    <x v="411"/>
    <s v="n4"/>
    <x v="4"/>
    <n v="2"/>
    <x v="0"/>
    <s v="SAO PAULO"/>
    <s v="SP"/>
    <n v="1176868"/>
    <n v="42392"/>
    <n v="36589"/>
    <n v="1044753"/>
    <n v="931490"/>
    <n v="132115"/>
    <n v="-13961"/>
    <n v="1"/>
    <n v="0"/>
    <n v="3.6021032095358188E-2"/>
    <n v="-0.10567308784013928"/>
  </r>
  <r>
    <x v="412"/>
    <s v="b3S"/>
    <x v="5"/>
    <n v="2"/>
    <x v="0"/>
    <s v="LONDRINA"/>
    <s v="PR"/>
    <n v="1174152"/>
    <n v="861470"/>
    <n v="11890"/>
    <n v="1035222"/>
    <n v="783904"/>
    <n v="138930"/>
    <n v="6145"/>
    <n v="0"/>
    <n v="20"/>
    <n v="0.73369546702641564"/>
    <n v="4.4230907651335208E-2"/>
  </r>
  <r>
    <x v="413"/>
    <s v="b3S"/>
    <x v="5"/>
    <n v="2"/>
    <x v="0"/>
    <s v="PRESIDENTE PRUDENTE"/>
    <s v="SP"/>
    <n v="1158420"/>
    <n v="332423"/>
    <n v="63990"/>
    <n v="989483"/>
    <n v="906480"/>
    <n v="168937"/>
    <n v="10043"/>
    <n v="0"/>
    <n v="15"/>
    <n v="0.2869624143229571"/>
    <n v="5.9448196665028978E-2"/>
  </r>
  <r>
    <x v="414"/>
    <s v="b3S"/>
    <x v="5"/>
    <n v="2"/>
    <x v="0"/>
    <s v="FRANCISCO BELTRAO"/>
    <s v="PR"/>
    <n v="1157884"/>
    <n v="900280"/>
    <n v="28837"/>
    <n v="1015601"/>
    <n v="673997"/>
    <n v="142283"/>
    <n v="-4098"/>
    <n v="0"/>
    <n v="20"/>
    <n v="0.77752175520173006"/>
    <n v="-2.8801754250332084E-2"/>
  </r>
  <r>
    <x v="415"/>
    <s v="n4"/>
    <x v="3"/>
    <n v="3"/>
    <x v="2"/>
    <s v="SAO PAULO"/>
    <s v="SP"/>
    <n v="1157797"/>
    <n v="0"/>
    <n v="94315"/>
    <n v="830408"/>
    <n v="0"/>
    <n v="327389"/>
    <n v="27167"/>
    <n v="1"/>
    <n v="0"/>
    <n v="0"/>
    <n v="8.2980796544783117E-2"/>
  </r>
  <r>
    <x v="416"/>
    <s v="b3S"/>
    <x v="5"/>
    <n v="2"/>
    <x v="0"/>
    <s v="FRANCA"/>
    <s v="SP"/>
    <n v="1155752"/>
    <n v="805851"/>
    <n v="245330"/>
    <n v="1033047"/>
    <n v="934036"/>
    <n v="122705"/>
    <n v="-3005"/>
    <n v="0"/>
    <n v="9"/>
    <n v="0.69725252476309796"/>
    <n v="-2.4489629599445825E-2"/>
  </r>
  <r>
    <x v="417"/>
    <s v="n1"/>
    <x v="4"/>
    <n v="2"/>
    <x v="0"/>
    <s v="SAO PAULO"/>
    <s v="SP"/>
    <n v="1152355"/>
    <n v="848535"/>
    <n v="19582"/>
    <n v="1017141"/>
    <n v="1006711"/>
    <n v="135213"/>
    <n v="6354"/>
    <n v="2"/>
    <n v="0"/>
    <n v="0.7363486078508793"/>
    <n v="4.6992522908300235E-2"/>
  </r>
  <r>
    <x v="418"/>
    <s v="n4"/>
    <x v="3"/>
    <n v="3"/>
    <x v="2"/>
    <s v="BARUERI"/>
    <s v="SP"/>
    <n v="1151799"/>
    <n v="693580"/>
    <n v="6246"/>
    <n v="1014838"/>
    <n v="113836"/>
    <n v="136961"/>
    <n v="4062"/>
    <n v="1"/>
    <n v="0"/>
    <n v="0.60217103852321452"/>
    <n v="2.9658077846978336E-2"/>
  </r>
  <r>
    <x v="419"/>
    <s v="b3S"/>
    <x v="5"/>
    <n v="2"/>
    <x v="0"/>
    <s v="UNAI"/>
    <s v="MG"/>
    <n v="1149220"/>
    <n v="664273"/>
    <n v="64458"/>
    <n v="991732"/>
    <n v="784342"/>
    <n v="157488"/>
    <n v="15869"/>
    <n v="0"/>
    <n v="6"/>
    <n v="0.57802074450496854"/>
    <n v="0.10076323275424159"/>
  </r>
  <r>
    <x v="420"/>
    <s v="b3S"/>
    <x v="5"/>
    <n v="2"/>
    <x v="0"/>
    <s v="GUARAPUAVA"/>
    <s v="PR"/>
    <n v="1145826"/>
    <n v="853478"/>
    <n v="15981"/>
    <n v="1020288"/>
    <n v="687189"/>
    <n v="125538"/>
    <n v="5895"/>
    <n v="0"/>
    <n v="18"/>
    <n v="0.74485829436581119"/>
    <n v="4.6957893227548633E-2"/>
  </r>
  <r>
    <x v="421"/>
    <s v="b3S"/>
    <x v="5"/>
    <n v="2"/>
    <x v="0"/>
    <s v="SAO BERNARDO DO CAMPO"/>
    <s v="SP"/>
    <n v="1145772"/>
    <n v="658943"/>
    <n v="475642"/>
    <n v="939373"/>
    <n v="924247"/>
    <n v="206398"/>
    <n v="25614"/>
    <n v="0"/>
    <n v="2"/>
    <n v="0.57510831125215134"/>
    <n v="0.12410003972906714"/>
  </r>
  <r>
    <x v="422"/>
    <s v="b3S"/>
    <x v="5"/>
    <n v="2"/>
    <x v="0"/>
    <s v="FRUTAL"/>
    <s v="MG"/>
    <n v="1144431"/>
    <n v="746640"/>
    <n v="41707"/>
    <n v="954224"/>
    <n v="682872"/>
    <n v="190207"/>
    <n v="14651"/>
    <n v="0"/>
    <n v="8"/>
    <n v="0.65241154774730847"/>
    <n v="7.7026607853549034E-2"/>
  </r>
  <r>
    <x v="423"/>
    <s v="b3S"/>
    <x v="5"/>
    <n v="2"/>
    <x v="0"/>
    <s v="GUANHAES"/>
    <s v="MG"/>
    <n v="1143250"/>
    <n v="378598"/>
    <n v="14238"/>
    <n v="1005020"/>
    <n v="977179"/>
    <n v="138230"/>
    <n v="14844"/>
    <n v="0"/>
    <n v="25"/>
    <n v="0.33115941395145421"/>
    <n v="0.10738624032409752"/>
  </r>
  <r>
    <x v="424"/>
    <s v="n1"/>
    <x v="5"/>
    <n v="3"/>
    <x v="2"/>
    <s v="SAO PAULO"/>
    <s v="SP"/>
    <n v="1120777"/>
    <n v="156003"/>
    <n v="824700"/>
    <n v="26080"/>
    <n v="0"/>
    <n v="1094698"/>
    <n v="4396"/>
    <n v="2"/>
    <n v="0"/>
    <n v="0.13919182852610287"/>
    <n v="4.0157194038903882E-3"/>
  </r>
  <r>
    <x v="425"/>
    <s v="n4"/>
    <x v="4"/>
    <n v="1"/>
    <x v="1"/>
    <s v="ARACAJU"/>
    <s v="SE"/>
    <n v="1115323"/>
    <n v="590507"/>
    <n v="52918"/>
    <n v="1051267"/>
    <n v="8642"/>
    <n v="64056"/>
    <n v="-11436"/>
    <n v="1"/>
    <n v="0"/>
    <n v="0.52944931647603433"/>
    <n v="-0.17853128512551517"/>
  </r>
  <r>
    <x v="426"/>
    <s v="b3S"/>
    <x v="5"/>
    <n v="2"/>
    <x v="0"/>
    <s v="UNIAO DA VITORIA"/>
    <s v="PR"/>
    <n v="1111763"/>
    <n v="801767"/>
    <n v="12612"/>
    <n v="969690"/>
    <n v="688578"/>
    <n v="142072"/>
    <n v="3882"/>
    <n v="0"/>
    <n v="23"/>
    <n v="0.7211671912089177"/>
    <n v="2.7324173658426713E-2"/>
  </r>
  <r>
    <x v="427"/>
    <s v="b3S"/>
    <x v="4"/>
    <n v="2"/>
    <x v="0"/>
    <s v="RECIFE"/>
    <s v="PE"/>
    <n v="1109120"/>
    <n v="472544"/>
    <n v="510415"/>
    <n v="1003872"/>
    <n v="817657"/>
    <n v="105247"/>
    <n v="1606"/>
    <n v="0"/>
    <n v="6"/>
    <n v="0.4260530871321408"/>
    <n v="1.5259342309044438E-2"/>
  </r>
  <r>
    <x v="428"/>
    <s v="b3S"/>
    <x v="5"/>
    <n v="2"/>
    <x v="0"/>
    <s v="CHOPINZINHO"/>
    <s v="PR"/>
    <n v="1106286"/>
    <n v="828544"/>
    <n v="20396"/>
    <n v="935176"/>
    <n v="522857"/>
    <n v="171110"/>
    <n v="2309"/>
    <n v="0"/>
    <n v="19"/>
    <n v="0.74894195533523877"/>
    <n v="1.3494243469113435E-2"/>
  </r>
  <r>
    <x v="429"/>
    <s v="b1"/>
    <x v="4"/>
    <n v="2"/>
    <x v="0"/>
    <s v="BELO HORIZONTE"/>
    <s v="MG"/>
    <n v="1105535"/>
    <n v="621055"/>
    <n v="105529"/>
    <n v="996547"/>
    <n v="961953"/>
    <n v="108988"/>
    <n v="-1585"/>
    <n v="2"/>
    <n v="0"/>
    <n v="0.56176873640364167"/>
    <n v="-1.4542885455279481E-2"/>
  </r>
  <r>
    <x v="430"/>
    <s v="b3S"/>
    <x v="5"/>
    <n v="2"/>
    <x v="0"/>
    <s v="CAMPO GRANDE"/>
    <s v="MS"/>
    <n v="1104137"/>
    <n v="696570"/>
    <n v="12464"/>
    <n v="937111"/>
    <n v="887169"/>
    <n v="167026"/>
    <n v="912"/>
    <n v="0"/>
    <n v="14"/>
    <n v="0.63087279929936235"/>
    <n v="5.460227748973214E-3"/>
  </r>
  <r>
    <x v="431"/>
    <s v="b3S"/>
    <x v="5"/>
    <n v="2"/>
    <x v="0"/>
    <s v="JOINVILLE"/>
    <s v="SC"/>
    <n v="1091799"/>
    <n v="846434"/>
    <n v="27277"/>
    <n v="972867"/>
    <n v="819612"/>
    <n v="118932"/>
    <n v="-13566"/>
    <n v="0"/>
    <n v="23"/>
    <n v="0.77526541057465703"/>
    <n v="-0.11406518010291596"/>
  </r>
  <r>
    <x v="432"/>
    <s v="b3S"/>
    <x v="5"/>
    <n v="2"/>
    <x v="0"/>
    <s v="FLORIANOPOLIS"/>
    <s v="SC"/>
    <n v="1086832"/>
    <n v="580652"/>
    <n v="30058"/>
    <n v="936029"/>
    <n v="877374"/>
    <n v="150803"/>
    <n v="866"/>
    <n v="0"/>
    <n v="24"/>
    <n v="0.5342610449453089"/>
    <n v="5.7425913277587316E-3"/>
  </r>
  <r>
    <x v="433"/>
    <s v="b3S"/>
    <x v="5"/>
    <n v="2"/>
    <x v="0"/>
    <s v="LAGOA DA PRATA"/>
    <s v="MG"/>
    <n v="1085260"/>
    <n v="477658"/>
    <n v="21038"/>
    <n v="886306"/>
    <n v="785713"/>
    <n v="198954"/>
    <n v="19758"/>
    <n v="0"/>
    <n v="3"/>
    <n v="0.44013231852275031"/>
    <n v="9.9309388099761753E-2"/>
  </r>
  <r>
    <x v="434"/>
    <s v="b1"/>
    <x v="4"/>
    <n v="3"/>
    <x v="2"/>
    <s v="RIO DE JANEIRO"/>
    <s v="RJ"/>
    <n v="1084654"/>
    <n v="0"/>
    <n v="199977"/>
    <n v="729158"/>
    <n v="339660"/>
    <n v="355496"/>
    <n v="-210572"/>
    <n v="5"/>
    <n v="0"/>
    <n v="0"/>
    <n v="-0.59233296577176675"/>
  </r>
  <r>
    <x v="435"/>
    <s v="b3S"/>
    <x v="5"/>
    <n v="2"/>
    <x v="0"/>
    <s v="CONSELHEIRO PENA"/>
    <s v="MG"/>
    <n v="1082237"/>
    <n v="363187"/>
    <n v="28355"/>
    <n v="930177"/>
    <n v="820108"/>
    <n v="152061"/>
    <n v="14911"/>
    <n v="0"/>
    <n v="19"/>
    <n v="0.33558915468608075"/>
    <n v="9.8059331452509196E-2"/>
  </r>
  <r>
    <x v="436"/>
    <s v="n1"/>
    <x v="5"/>
    <n v="2"/>
    <x v="0"/>
    <s v="SAO PAULO"/>
    <s v="SP"/>
    <n v="1078720"/>
    <n v="740040"/>
    <n v="215745"/>
    <n v="455462"/>
    <n v="0"/>
    <n v="623258"/>
    <n v="18431"/>
    <n v="2"/>
    <n v="0"/>
    <n v="0.68603530109759714"/>
    <n v="2.9572023142903903E-2"/>
  </r>
  <r>
    <x v="437"/>
    <s v="b3S"/>
    <x v="5"/>
    <n v="2"/>
    <x v="0"/>
    <s v="SAO LOURENCO D'OESTE"/>
    <s v="SC"/>
    <n v="1074172"/>
    <n v="529828"/>
    <n v="21896"/>
    <n v="865845"/>
    <n v="686844"/>
    <n v="208326"/>
    <n v="17123"/>
    <n v="0"/>
    <n v="13"/>
    <n v="0.49324316776084276"/>
    <n v="8.2193293203920784E-2"/>
  </r>
  <r>
    <x v="438"/>
    <s v="b3S"/>
    <x v="5"/>
    <n v="2"/>
    <x v="0"/>
    <s v="PARA DE MINAS"/>
    <s v="MG"/>
    <n v="1063913"/>
    <n v="422888"/>
    <n v="13521"/>
    <n v="941846"/>
    <n v="920327"/>
    <n v="122067"/>
    <n v="15303"/>
    <n v="0"/>
    <n v="7"/>
    <n v="0.39748362883055288"/>
    <n v="0.12536557792032244"/>
  </r>
  <r>
    <x v="439"/>
    <s v="b3S"/>
    <x v="5"/>
    <n v="2"/>
    <x v="0"/>
    <s v="UBERLANDIA"/>
    <s v="MG"/>
    <n v="1060576"/>
    <n v="270529"/>
    <n v="61435"/>
    <n v="863941"/>
    <n v="845970"/>
    <n v="196635"/>
    <n v="18113"/>
    <n v="0"/>
    <n v="9"/>
    <n v="0.25507742962314817"/>
    <n v="9.2114832049228268E-2"/>
  </r>
  <r>
    <x v="440"/>
    <s v="n1"/>
    <x v="4"/>
    <n v="3"/>
    <x v="2"/>
    <s v="SAO PAULO"/>
    <s v="SP"/>
    <n v="1046795"/>
    <n v="782055"/>
    <n v="35652"/>
    <n v="870345"/>
    <n v="861272"/>
    <n v="176450"/>
    <n v="10194"/>
    <n v="2"/>
    <n v="0"/>
    <n v="0.74709470335643557"/>
    <n v="5.7772740153017851E-2"/>
  </r>
  <r>
    <x v="441"/>
    <s v="b3S"/>
    <x v="5"/>
    <n v="2"/>
    <x v="0"/>
    <s v="BENTO GONCALVES"/>
    <s v="RS"/>
    <n v="1045667"/>
    <n v="791425"/>
    <n v="16542"/>
    <n v="916279"/>
    <n v="616008"/>
    <n v="129388"/>
    <n v="4560"/>
    <n v="0"/>
    <n v="23"/>
    <n v="0.7568614099899873"/>
    <n v="3.5242835502519554E-2"/>
  </r>
  <r>
    <x v="442"/>
    <s v="b3S"/>
    <x v="5"/>
    <n v="2"/>
    <x v="0"/>
    <s v="RIO VERDE"/>
    <s v="GO"/>
    <n v="1042247"/>
    <n v="569978"/>
    <n v="11624"/>
    <n v="884370"/>
    <n v="699541"/>
    <n v="157876"/>
    <n v="-8044"/>
    <n v="0"/>
    <n v="13"/>
    <n v="0.54687420544266374"/>
    <n v="-5.0951379563708224E-2"/>
  </r>
  <r>
    <x v="443"/>
    <s v="n2"/>
    <x v="4"/>
    <n v="2"/>
    <x v="0"/>
    <s v="RIO DE JANEIRO"/>
    <s v="RJ"/>
    <n v="1026358"/>
    <n v="0"/>
    <n v="597689"/>
    <n v="906929"/>
    <n v="783607"/>
    <n v="119429"/>
    <n v="51312"/>
    <n v="3"/>
    <n v="0"/>
    <n v="0"/>
    <n v="0.42964439122826115"/>
  </r>
  <r>
    <x v="444"/>
    <s v="b3S"/>
    <x v="5"/>
    <n v="2"/>
    <x v="0"/>
    <s v="QUIRINOPOLIS"/>
    <s v="GO"/>
    <n v="1012361"/>
    <n v="591960"/>
    <n v="84705"/>
    <n v="749388"/>
    <n v="617346"/>
    <n v="262973"/>
    <n v="-3579"/>
    <n v="0"/>
    <n v="16"/>
    <n v="0.58473212618818782"/>
    <n v="-1.3609762218935024E-2"/>
  </r>
  <r>
    <x v="445"/>
    <s v="b3S"/>
    <x v="5"/>
    <n v="2"/>
    <x v="0"/>
    <s v="SARANDI"/>
    <s v="RS"/>
    <n v="1005454"/>
    <n v="782087"/>
    <n v="13004"/>
    <n v="896509"/>
    <n v="645396"/>
    <n v="108945"/>
    <n v="7340"/>
    <n v="0"/>
    <n v="18"/>
    <n v="0.77784463535875337"/>
    <n v="6.7373445316444083E-2"/>
  </r>
  <r>
    <x v="446"/>
    <s v="b3S"/>
    <x v="5"/>
    <n v="2"/>
    <x v="0"/>
    <s v="SANTOS"/>
    <s v="SP"/>
    <n v="1005391"/>
    <n v="742911"/>
    <n v="29853"/>
    <n v="875300"/>
    <n v="847127"/>
    <n v="130091"/>
    <n v="6264"/>
    <n v="0"/>
    <n v="23"/>
    <n v="0.73892744215931916"/>
    <n v="4.8150909747791931E-2"/>
  </r>
  <r>
    <x v="447"/>
    <s v="b3S"/>
    <x v="5"/>
    <n v="2"/>
    <x v="0"/>
    <s v="GOIANIA"/>
    <s v="GO"/>
    <n v="995199"/>
    <n v="393219"/>
    <n v="24309"/>
    <n v="765554"/>
    <n v="710123"/>
    <n v="229645"/>
    <n v="-145"/>
    <n v="0"/>
    <n v="11"/>
    <n v="0.39511595168403507"/>
    <n v="-6.3140934921291562E-4"/>
  </r>
  <r>
    <x v="448"/>
    <s v="b3S"/>
    <x v="5"/>
    <n v="2"/>
    <x v="0"/>
    <s v="NOVA SERRANA"/>
    <s v="MG"/>
    <n v="983845"/>
    <n v="360619"/>
    <n v="15303"/>
    <n v="844666"/>
    <n v="766276"/>
    <n v="139179"/>
    <n v="11059"/>
    <n v="0"/>
    <n v="9"/>
    <n v="0.36654046114987626"/>
    <n v="7.9458826403408567E-2"/>
  </r>
  <r>
    <x v="449"/>
    <s v="b3S"/>
    <x v="5"/>
    <n v="2"/>
    <x v="0"/>
    <s v="SAO JOSE"/>
    <s v="SC"/>
    <n v="981826"/>
    <n v="295790"/>
    <n v="27832"/>
    <n v="856615"/>
    <n v="839094"/>
    <n v="125211"/>
    <n v="10141"/>
    <n v="0"/>
    <n v="15"/>
    <n v="0.30126519362901372"/>
    <n v="8.0991286708036833E-2"/>
  </r>
  <r>
    <x v="450"/>
    <s v="b3S"/>
    <x v="5"/>
    <n v="2"/>
    <x v="0"/>
    <s v="IPATINGA"/>
    <s v="MG"/>
    <n v="981415"/>
    <n v="326943"/>
    <n v="29037"/>
    <n v="841451"/>
    <n v="809736"/>
    <n v="139964"/>
    <n v="7141"/>
    <n v="0"/>
    <n v="24"/>
    <n v="0.3331343009837836"/>
    <n v="5.1020262353176533E-2"/>
  </r>
  <r>
    <x v="451"/>
    <s v="b3S"/>
    <x v="5"/>
    <n v="2"/>
    <x v="0"/>
    <s v="POMPEU"/>
    <s v="MG"/>
    <n v="975165"/>
    <n v="355070"/>
    <n v="32206"/>
    <n v="828440"/>
    <n v="697658"/>
    <n v="146725"/>
    <n v="17963"/>
    <n v="0"/>
    <n v="2"/>
    <n v="0.3641127398952998"/>
    <n v="0.12242630771852105"/>
  </r>
  <r>
    <x v="452"/>
    <s v="b3S"/>
    <x v="5"/>
    <n v="2"/>
    <x v="0"/>
    <s v="TEIXEIRA DE FREITAS"/>
    <s v="BA"/>
    <n v="973474"/>
    <n v="348738"/>
    <n v="147716"/>
    <n v="751358"/>
    <n v="668221"/>
    <n v="222116"/>
    <n v="22671"/>
    <n v="0"/>
    <n v="11"/>
    <n v="0.35824069261223207"/>
    <n v="0.10206828864197086"/>
  </r>
  <r>
    <x v="453"/>
    <s v="b3S"/>
    <x v="5"/>
    <n v="2"/>
    <x v="0"/>
    <s v="RIO CLARO"/>
    <s v="SP"/>
    <n v="959998"/>
    <n v="643694"/>
    <n v="27761"/>
    <n v="828369"/>
    <n v="809469"/>
    <n v="131629"/>
    <n v="7336"/>
    <n v="0"/>
    <n v="12"/>
    <n v="0.67051598024162551"/>
    <n v="5.5732399395270041E-2"/>
  </r>
  <r>
    <x v="454"/>
    <s v="b3S"/>
    <x v="5"/>
    <n v="2"/>
    <x v="0"/>
    <s v="CARATINGA"/>
    <s v="MG"/>
    <n v="956240"/>
    <n v="612156"/>
    <n v="16139"/>
    <n v="810589"/>
    <n v="747215"/>
    <n v="145651"/>
    <n v="14315"/>
    <n v="0"/>
    <n v="5"/>
    <n v="0.64016983184137877"/>
    <n v="9.8282881682926995E-2"/>
  </r>
  <r>
    <x v="455"/>
    <s v="b3S"/>
    <x v="5"/>
    <n v="2"/>
    <x v="0"/>
    <s v="BELO HORIZONTE"/>
    <s v="MG"/>
    <n v="953164"/>
    <n v="564494"/>
    <n v="18455"/>
    <n v="845950"/>
    <n v="818649"/>
    <n v="107213"/>
    <n v="4102"/>
    <n v="0"/>
    <n v="32"/>
    <n v="0.59223176704113878"/>
    <n v="3.826028559969407E-2"/>
  </r>
  <r>
    <x v="456"/>
    <s v="b3S"/>
    <x v="5"/>
    <n v="2"/>
    <x v="0"/>
    <s v="SAO JOSE DOS CAMPOS"/>
    <s v="SP"/>
    <n v="947329"/>
    <n v="537941"/>
    <n v="377480"/>
    <n v="482719"/>
    <n v="443595"/>
    <n v="464609"/>
    <n v="19955"/>
    <n v="0"/>
    <n v="27"/>
    <n v="0.56785023999054185"/>
    <n v="4.2950093519497037E-2"/>
  </r>
  <r>
    <x v="457"/>
    <s v="b3S"/>
    <x v="5"/>
    <n v="2"/>
    <x v="0"/>
    <s v="LUZ"/>
    <s v="MG"/>
    <n v="947321"/>
    <n v="439753"/>
    <n v="70798"/>
    <n v="840408"/>
    <n v="800061"/>
    <n v="106913"/>
    <n v="9446"/>
    <n v="0"/>
    <n v="18"/>
    <n v="0.46420695835941567"/>
    <n v="8.8352211611310127E-2"/>
  </r>
  <r>
    <x v="458"/>
    <s v="n4"/>
    <x v="4"/>
    <n v="2"/>
    <x v="0"/>
    <s v="SAO PAULO"/>
    <s v="SP"/>
    <n v="943218"/>
    <n v="105732"/>
    <n v="203601"/>
    <n v="675581"/>
    <n v="397008"/>
    <n v="267637"/>
    <n v="51793"/>
    <n v="1"/>
    <n v="0"/>
    <n v="0.11209709738363771"/>
    <n v="0.19351958062599714"/>
  </r>
  <r>
    <x v="459"/>
    <s v="b3S"/>
    <x v="5"/>
    <n v="2"/>
    <x v="0"/>
    <s v="MINEIROS"/>
    <s v="GO"/>
    <n v="941722"/>
    <n v="402614"/>
    <n v="20608"/>
    <n v="576020"/>
    <n v="542483"/>
    <n v="365703"/>
    <n v="24960"/>
    <n v="0"/>
    <n v="4"/>
    <n v="0.42752956817404714"/>
    <n v="6.8252106217340305E-2"/>
  </r>
  <r>
    <x v="460"/>
    <s v="b3S"/>
    <x v="5"/>
    <n v="2"/>
    <x v="0"/>
    <s v="LAGOA DA PRATA"/>
    <s v="MG"/>
    <n v="939792"/>
    <n v="343944"/>
    <n v="21854"/>
    <n v="778978"/>
    <n v="688254"/>
    <n v="160814"/>
    <n v="8338"/>
    <n v="0"/>
    <n v="6"/>
    <n v="0.36597885489555138"/>
    <n v="5.1848719638837415E-2"/>
  </r>
  <r>
    <x v="461"/>
    <s v="b3S"/>
    <x v="5"/>
    <n v="2"/>
    <x v="0"/>
    <s v="CARMOPOLIS DE MINAS"/>
    <s v="MG"/>
    <n v="937029"/>
    <n v="387340"/>
    <n v="120213"/>
    <n v="774654"/>
    <n v="684123"/>
    <n v="162375"/>
    <n v="23053"/>
    <n v="0"/>
    <n v="14"/>
    <n v="0.41337034392745581"/>
    <n v="0.1419738260200154"/>
  </r>
  <r>
    <x v="462"/>
    <s v="n1"/>
    <x v="4"/>
    <n v="3"/>
    <x v="2"/>
    <s v="BARUERI"/>
    <s v="SP"/>
    <n v="936459"/>
    <n v="513699"/>
    <n v="130"/>
    <n v="781251"/>
    <n v="500877"/>
    <n v="155207"/>
    <n v="25386"/>
    <n v="2"/>
    <n v="0"/>
    <n v="0.54855471515570886"/>
    <n v="0.1635622104673114"/>
  </r>
  <r>
    <x v="463"/>
    <s v="n4"/>
    <x v="3"/>
    <n v="3"/>
    <x v="2"/>
    <s v="SAO PAULO"/>
    <s v="SP"/>
    <n v="935604"/>
    <n v="0"/>
    <n v="71302"/>
    <n v="856291"/>
    <n v="0"/>
    <n v="79313"/>
    <n v="4938"/>
    <n v="1"/>
    <n v="0"/>
    <n v="0"/>
    <n v="6.2259654785470228E-2"/>
  </r>
  <r>
    <x v="464"/>
    <s v="b3S"/>
    <x v="5"/>
    <n v="2"/>
    <x v="0"/>
    <s v="CASCAVEL"/>
    <s v="PR"/>
    <n v="919995"/>
    <n v="449858"/>
    <n v="420136"/>
    <n v="625255"/>
    <n v="601883"/>
    <n v="294739"/>
    <n v="21476"/>
    <n v="0"/>
    <n v="2"/>
    <n v="0.48897874444969808"/>
    <n v="7.2864466528012914E-2"/>
  </r>
  <r>
    <x v="465"/>
    <s v="b3S"/>
    <x v="5"/>
    <n v="2"/>
    <x v="0"/>
    <s v="SAO BENTO DO SUL"/>
    <s v="SC"/>
    <n v="919638"/>
    <n v="675720"/>
    <n v="23417"/>
    <n v="803468"/>
    <n v="677792"/>
    <n v="116170"/>
    <n v="4470"/>
    <n v="0"/>
    <n v="20"/>
    <n v="0.73476737585876184"/>
    <n v="3.8478092450718773E-2"/>
  </r>
  <r>
    <x v="466"/>
    <s v="b3S"/>
    <x v="5"/>
    <n v="2"/>
    <x v="0"/>
    <s v="MEDIANEIRA"/>
    <s v="PR"/>
    <n v="918101"/>
    <n v="683744"/>
    <n v="13330"/>
    <n v="812471"/>
    <n v="504888"/>
    <n v="105630"/>
    <n v="-1196"/>
    <n v="0"/>
    <n v="17"/>
    <n v="0.74473723479225051"/>
    <n v="-1.1322540944807346E-2"/>
  </r>
  <r>
    <x v="467"/>
    <s v="b3S"/>
    <x v="5"/>
    <n v="2"/>
    <x v="0"/>
    <s v="GRAJAU"/>
    <s v="MA"/>
    <n v="908447"/>
    <n v="642823"/>
    <n v="28657"/>
    <n v="761271"/>
    <n v="570821"/>
    <n v="147175"/>
    <n v="-2595"/>
    <n v="0"/>
    <n v="26"/>
    <n v="0.70760649768230843"/>
    <n v="-1.7632070664175301E-2"/>
  </r>
  <r>
    <x v="468"/>
    <s v="b3S"/>
    <x v="5"/>
    <n v="2"/>
    <x v="0"/>
    <s v="UBA"/>
    <s v="MG"/>
    <n v="904147"/>
    <n v="395074"/>
    <n v="24782"/>
    <n v="819220"/>
    <n v="771304"/>
    <n v="84927"/>
    <n v="-1573"/>
    <n v="0"/>
    <n v="31"/>
    <n v="0.43695770709851384"/>
    <n v="-1.8521789301400027E-2"/>
  </r>
  <r>
    <x v="469"/>
    <s v="b3S"/>
    <x v="5"/>
    <n v="2"/>
    <x v="0"/>
    <s v="PARAISO DO NORTE DO TOCANTINS"/>
    <s v="TO"/>
    <n v="903959"/>
    <n v="439439"/>
    <n v="25554"/>
    <n v="771559"/>
    <n v="688227"/>
    <n v="132400"/>
    <n v="10991"/>
    <n v="0"/>
    <n v="17"/>
    <n v="0.4861271362971108"/>
    <n v="8.3013595166163148E-2"/>
  </r>
  <r>
    <x v="470"/>
    <s v="b2"/>
    <x v="4"/>
    <n v="3"/>
    <x v="2"/>
    <s v="POUSO ALEGRE"/>
    <s v="MG"/>
    <n v="900852"/>
    <n v="828395"/>
    <n v="31617"/>
    <n v="628163"/>
    <n v="569682"/>
    <n v="272689"/>
    <n v="8897"/>
    <n v="2"/>
    <n v="0"/>
    <n v="0.91956836417080723"/>
    <n v="3.2626911976647389E-2"/>
  </r>
  <r>
    <x v="471"/>
    <s v="b3S"/>
    <x v="5"/>
    <n v="2"/>
    <x v="0"/>
    <s v="FRANCA"/>
    <s v="SP"/>
    <n v="897475"/>
    <n v="514939"/>
    <n v="159765"/>
    <n v="808472"/>
    <n v="746847"/>
    <n v="89003"/>
    <n v="-174"/>
    <n v="0"/>
    <n v="11"/>
    <n v="0.57376417170394722"/>
    <n v="-1.9549902812264755E-3"/>
  </r>
  <r>
    <x v="472"/>
    <s v="b3S"/>
    <x v="5"/>
    <n v="2"/>
    <x v="0"/>
    <s v="GOVERNADOR VALADARES"/>
    <s v="MG"/>
    <n v="896171"/>
    <n v="302241"/>
    <n v="24535"/>
    <n v="775065"/>
    <n v="725714"/>
    <n v="121105"/>
    <n v="16184"/>
    <n v="0"/>
    <n v="19"/>
    <n v="0.33725817952154219"/>
    <n v="0.13363610090417408"/>
  </r>
  <r>
    <x v="473"/>
    <s v="b3S"/>
    <x v="5"/>
    <n v="2"/>
    <x v="0"/>
    <s v="TOLEDO"/>
    <s v="PR"/>
    <n v="892378"/>
    <n v="524002"/>
    <n v="9398"/>
    <n v="823567"/>
    <n v="811224"/>
    <n v="68811"/>
    <n v="-18798"/>
    <n v="0"/>
    <n v="18"/>
    <n v="0.58719735358782932"/>
    <n v="-0.27318306666085362"/>
  </r>
  <r>
    <x v="474"/>
    <s v="b3S"/>
    <x v="4"/>
    <n v="2"/>
    <x v="0"/>
    <s v="ORLANDIA"/>
    <s v="SP"/>
    <n v="890785"/>
    <n v="269069"/>
    <n v="48726"/>
    <n v="600783"/>
    <n v="548688"/>
    <n v="290002"/>
    <n v="16907"/>
    <n v="0"/>
    <n v="13"/>
    <n v="0.30205829689543495"/>
    <n v="5.8299597933807353E-2"/>
  </r>
  <r>
    <x v="475"/>
    <s v="b3S"/>
    <x v="5"/>
    <n v="2"/>
    <x v="0"/>
    <s v="VOLTA GRANDE"/>
    <s v="MG"/>
    <n v="890567"/>
    <n v="354928"/>
    <n v="20513"/>
    <n v="768801"/>
    <n v="677626"/>
    <n v="121766"/>
    <n v="5299"/>
    <n v="0"/>
    <n v="19"/>
    <n v="0.3985416032707253"/>
    <n v="4.3517894978893946E-2"/>
  </r>
  <r>
    <x v="476"/>
    <s v="b3S"/>
    <x v="5"/>
    <n v="2"/>
    <x v="0"/>
    <s v="CAPELINHA"/>
    <s v="MG"/>
    <n v="881780"/>
    <n v="276402"/>
    <n v="16382"/>
    <n v="714246"/>
    <n v="646955"/>
    <n v="167534"/>
    <n v="14266"/>
    <n v="0"/>
    <n v="26"/>
    <n v="0.3134591394678945"/>
    <n v="8.5152864493177507E-2"/>
  </r>
  <r>
    <x v="477"/>
    <s v="n2"/>
    <x v="4"/>
    <n v="3"/>
    <x v="2"/>
    <s v="SAO PAULO"/>
    <s v="SP"/>
    <n v="873478"/>
    <n v="0"/>
    <n v="392215"/>
    <n v="472658"/>
    <n v="174584"/>
    <n v="400820"/>
    <n v="9853"/>
    <n v="2"/>
    <n v="0"/>
    <n v="0"/>
    <n v="2.4582106681303329E-2"/>
  </r>
  <r>
    <x v="478"/>
    <s v="b3S"/>
    <x v="5"/>
    <n v="2"/>
    <x v="0"/>
    <s v="BELO HORIZONTE"/>
    <s v="MG"/>
    <n v="870252"/>
    <n v="254668"/>
    <n v="12702"/>
    <n v="750063"/>
    <n v="740631"/>
    <n v="120189"/>
    <n v="10769"/>
    <n v="0"/>
    <n v="0"/>
    <n v="0.29263707523797705"/>
    <n v="8.9600545807020607E-2"/>
  </r>
  <r>
    <x v="479"/>
    <s v="b3S"/>
    <x v="5"/>
    <n v="2"/>
    <x v="0"/>
    <s v="PARA DE MINAS"/>
    <s v="MG"/>
    <n v="864128"/>
    <n v="254444"/>
    <n v="11977"/>
    <n v="772144"/>
    <n v="750266"/>
    <n v="91984"/>
    <n v="12534"/>
    <n v="0"/>
    <n v="4"/>
    <n v="0.29445174788920159"/>
    <n v="0.13626282831796835"/>
  </r>
  <r>
    <x v="480"/>
    <s v="b3S"/>
    <x v="5"/>
    <n v="2"/>
    <x v="0"/>
    <s v="XANXERE"/>
    <s v="SC"/>
    <n v="860468"/>
    <n v="617651"/>
    <n v="35207"/>
    <n v="726360"/>
    <n v="474788"/>
    <n v="134108"/>
    <n v="8198"/>
    <n v="0"/>
    <n v="16"/>
    <n v="0.71780821599408695"/>
    <n v="6.1129835654845352E-2"/>
  </r>
  <r>
    <x v="481"/>
    <s v="n4"/>
    <x v="4"/>
    <n v="2"/>
    <x v="0"/>
    <s v="CURITIBA"/>
    <s v="PR"/>
    <n v="846527"/>
    <n v="428653"/>
    <n v="149714"/>
    <n v="753892"/>
    <n v="137651"/>
    <n v="92635"/>
    <n v="3411"/>
    <n v="1"/>
    <n v="0"/>
    <n v="0.50636660141968304"/>
    <n v="3.682193555351649E-2"/>
  </r>
  <r>
    <x v="482"/>
    <s v="b3S"/>
    <x v="5"/>
    <n v="2"/>
    <x v="0"/>
    <s v="CAMPOS NOVOS"/>
    <s v="SC"/>
    <n v="837101"/>
    <n v="537962"/>
    <n v="23814"/>
    <n v="724243"/>
    <n v="578850"/>
    <n v="112858"/>
    <n v="5870"/>
    <n v="0"/>
    <n v="13"/>
    <n v="0.64264885599228772"/>
    <n v="5.2012263198001028E-2"/>
  </r>
  <r>
    <x v="483"/>
    <s v="b3C"/>
    <x v="4"/>
    <n v="2"/>
    <x v="0"/>
    <s v="LONDRINA"/>
    <s v="PR"/>
    <n v="829065"/>
    <n v="0"/>
    <n v="666217"/>
    <n v="799689"/>
    <n v="2068"/>
    <n v="29376"/>
    <n v="-737"/>
    <n v="0"/>
    <n v="3"/>
    <n v="0"/>
    <n v="-2.508850762527233E-2"/>
  </r>
  <r>
    <x v="484"/>
    <s v="n1"/>
    <x v="4"/>
    <n v="1"/>
    <x v="1"/>
    <s v="RIO DE JANEIRO"/>
    <s v="RJ"/>
    <n v="828891"/>
    <n v="282939"/>
    <n v="475746"/>
    <n v="227641"/>
    <n v="104153"/>
    <n v="601250"/>
    <n v="6693"/>
    <n v="1"/>
    <n v="0"/>
    <n v="0.34134644965381455"/>
    <n v="1.1131808731808732E-2"/>
  </r>
  <r>
    <x v="485"/>
    <s v="b3C"/>
    <x v="3"/>
    <n v="2"/>
    <x v="0"/>
    <s v="BRASILIA"/>
    <s v="DF"/>
    <n v="825404"/>
    <n v="0"/>
    <n v="142923"/>
    <n v="251583"/>
    <n v="0"/>
    <n v="573821"/>
    <n v="106258"/>
    <n v="0"/>
    <n v="0"/>
    <n v="0"/>
    <n v="0.18517621348817837"/>
  </r>
  <r>
    <x v="486"/>
    <s v="n4"/>
    <x v="4"/>
    <n v="2"/>
    <x v="0"/>
    <s v="SAO JOSE DOS CAMPOS"/>
    <s v="SP"/>
    <n v="824327"/>
    <n v="529943"/>
    <n v="19419"/>
    <n v="661419"/>
    <n v="60000"/>
    <n v="162908"/>
    <n v="-31519"/>
    <n v="1"/>
    <n v="0"/>
    <n v="0.64287958540724732"/>
    <n v="-0.19347730007120584"/>
  </r>
  <r>
    <x v="487"/>
    <s v="n1"/>
    <x v="4"/>
    <n v="2"/>
    <x v="0"/>
    <s v="PORTO ALEGRE"/>
    <s v="RS"/>
    <n v="817931"/>
    <n v="272774"/>
    <n v="113193"/>
    <n v="717467"/>
    <n v="682359"/>
    <n v="100463"/>
    <n v="14318"/>
    <n v="2"/>
    <n v="0"/>
    <n v="0.33349267847776892"/>
    <n v="0.14252013178981315"/>
  </r>
  <r>
    <x v="488"/>
    <s v="b3S"/>
    <x v="5"/>
    <n v="2"/>
    <x v="0"/>
    <s v="ARAXA"/>
    <s v="MG"/>
    <n v="813718"/>
    <n v="462050"/>
    <n v="22332"/>
    <n v="689228"/>
    <n v="580009"/>
    <n v="124489"/>
    <n v="-2781"/>
    <n v="0"/>
    <n v="10"/>
    <n v="0.56782570866074"/>
    <n v="-2.2339323153049668E-2"/>
  </r>
  <r>
    <x v="489"/>
    <s v="b3S"/>
    <x v="5"/>
    <n v="2"/>
    <x v="0"/>
    <s v="APUCARANA"/>
    <s v="PR"/>
    <n v="808400"/>
    <n v="417611"/>
    <n v="18765"/>
    <n v="698532"/>
    <n v="595398"/>
    <n v="109868"/>
    <n v="4506"/>
    <n v="0"/>
    <n v="30"/>
    <n v="0.51658955962394859"/>
    <n v="4.1012851785779299E-2"/>
  </r>
  <r>
    <x v="490"/>
    <s v="b1"/>
    <x v="4"/>
    <n v="3"/>
    <x v="2"/>
    <s v="SAO PAULO"/>
    <s v="SP"/>
    <n v="802568"/>
    <n v="21649"/>
    <n v="211196"/>
    <n v="509023"/>
    <n v="183142"/>
    <n v="293546"/>
    <n v="3789"/>
    <n v="23"/>
    <n v="0"/>
    <n v="2.6974661337107884E-2"/>
    <n v="1.2907687381194089E-2"/>
  </r>
  <r>
    <x v="491"/>
    <s v="b2"/>
    <x v="4"/>
    <n v="2"/>
    <x v="0"/>
    <s v="SAO PAULO"/>
    <s v="SP"/>
    <n v="799788"/>
    <n v="317010"/>
    <n v="2509"/>
    <n v="568917"/>
    <n v="545552"/>
    <n v="230871"/>
    <n v="18534"/>
    <n v="2"/>
    <n v="0"/>
    <n v="0.39636753739741032"/>
    <n v="8.0278597138661853E-2"/>
  </r>
  <r>
    <x v="492"/>
    <s v="b3S"/>
    <x v="5"/>
    <n v="2"/>
    <x v="0"/>
    <s v="HUMAITA"/>
    <s v="RS"/>
    <n v="788799"/>
    <n v="565415"/>
    <n v="11589"/>
    <n v="711368"/>
    <n v="482131"/>
    <n v="77430"/>
    <n v="-343"/>
    <n v="0"/>
    <n v="23"/>
    <n v="0.71680491481353303"/>
    <n v="-4.4298075681260497E-3"/>
  </r>
  <r>
    <x v="493"/>
    <s v="b3S"/>
    <x v="5"/>
    <n v="2"/>
    <x v="0"/>
    <s v="TANGARA"/>
    <s v="SC"/>
    <n v="785443"/>
    <n v="572789"/>
    <n v="11654"/>
    <n v="692982"/>
    <n v="484937"/>
    <n v="92461"/>
    <n v="944"/>
    <n v="0"/>
    <n v="23"/>
    <n v="0.72925597401721065"/>
    <n v="1.0209710039908719E-2"/>
  </r>
  <r>
    <x v="494"/>
    <s v="b1"/>
    <x v="4"/>
    <n v="2"/>
    <x v="0"/>
    <s v="SAO PAULO"/>
    <s v="SP"/>
    <n v="784764"/>
    <n v="77569"/>
    <n v="0"/>
    <n v="733206"/>
    <n v="663794"/>
    <n v="51558"/>
    <n v="4240"/>
    <n v="4"/>
    <n v="0"/>
    <n v="9.8843728815287149E-2"/>
    <n v="8.2237480119477097E-2"/>
  </r>
  <r>
    <x v="495"/>
    <s v="b3S"/>
    <x v="5"/>
    <n v="2"/>
    <x v="0"/>
    <s v="WITMARSUM"/>
    <s v="SC"/>
    <n v="781195"/>
    <n v="585615"/>
    <n v="13695"/>
    <n v="664648"/>
    <n v="432960"/>
    <n v="116547"/>
    <n v="2904"/>
    <n v="0"/>
    <n v="19"/>
    <n v="0.74963997465421561"/>
    <n v="2.4916986280213133E-2"/>
  </r>
  <r>
    <x v="496"/>
    <s v="b3S"/>
    <x v="5"/>
    <n v="2"/>
    <x v="0"/>
    <s v="GOIANESIA"/>
    <s v="GO"/>
    <n v="780673"/>
    <n v="531195"/>
    <n v="31642"/>
    <n v="601869"/>
    <n v="522053"/>
    <n v="178804"/>
    <n v="13546"/>
    <n v="0"/>
    <n v="11"/>
    <n v="0.68043213996128982"/>
    <n v="7.5758931567526458E-2"/>
  </r>
  <r>
    <x v="497"/>
    <s v="b3S"/>
    <x v="5"/>
    <n v="2"/>
    <x v="0"/>
    <s v="RUBIATABA"/>
    <s v="GO"/>
    <n v="777341"/>
    <n v="246647"/>
    <n v="35398"/>
    <n v="629294"/>
    <n v="545054"/>
    <n v="148047"/>
    <n v="10429"/>
    <n v="0"/>
    <n v="13"/>
    <n v="0.31729575565935669"/>
    <n v="7.0443845535539396E-2"/>
  </r>
  <r>
    <x v="498"/>
    <s v="b3S"/>
    <x v="5"/>
    <n v="2"/>
    <x v="0"/>
    <s v="SANTO ANTONIO DO MONTE"/>
    <s v="MG"/>
    <n v="775297"/>
    <n v="467461"/>
    <n v="18317"/>
    <n v="686206"/>
    <n v="586988"/>
    <n v="89091"/>
    <n v="2798"/>
    <n v="0"/>
    <n v="8"/>
    <n v="0.6029444200093641"/>
    <n v="3.1406090401948569E-2"/>
  </r>
  <r>
    <x v="499"/>
    <s v="n4"/>
    <x v="3"/>
    <n v="2"/>
    <x v="0"/>
    <s v="BARUERI"/>
    <s v="SP"/>
    <n v="773588"/>
    <n v="48733"/>
    <n v="98362"/>
    <n v="515797"/>
    <n v="499943"/>
    <n v="257791"/>
    <n v="40468"/>
    <n v="1"/>
    <n v="0"/>
    <n v="6.2996065088910383E-2"/>
    <n v="0.15697987904930738"/>
  </r>
  <r>
    <x v="500"/>
    <s v="b3S"/>
    <x v="5"/>
    <n v="2"/>
    <x v="0"/>
    <s v="TRES PONTAS"/>
    <s v="MG"/>
    <n v="772439"/>
    <n v="296127"/>
    <n v="26147"/>
    <n v="680410"/>
    <n v="521654"/>
    <n v="92028"/>
    <n v="7054"/>
    <n v="0"/>
    <n v="4"/>
    <n v="0.38336619461213117"/>
    <n v="7.6650584604685532E-2"/>
  </r>
  <r>
    <x v="501"/>
    <s v="b3S"/>
    <x v="5"/>
    <n v="2"/>
    <x v="0"/>
    <s v="ASSIS CHATEAUBRIAND"/>
    <s v="PR"/>
    <n v="768956"/>
    <n v="454923"/>
    <n v="13919"/>
    <n v="662029"/>
    <n v="553005"/>
    <n v="106927"/>
    <n v="5978"/>
    <n v="0"/>
    <n v="10"/>
    <n v="0.59161122352904461"/>
    <n v="5.5907301242904037E-2"/>
  </r>
  <r>
    <x v="502"/>
    <s v="n4"/>
    <x v="5"/>
    <n v="2"/>
    <x v="0"/>
    <s v="SAO PAULO"/>
    <s v="SP"/>
    <n v="768269"/>
    <n v="0"/>
    <n v="16986"/>
    <n v="664692"/>
    <n v="586811"/>
    <n v="103577"/>
    <n v="8936"/>
    <n v="1"/>
    <n v="0"/>
    <n v="0"/>
    <n v="8.6273979744537876E-2"/>
  </r>
  <r>
    <x v="503"/>
    <s v="n4"/>
    <x v="4"/>
    <n v="2"/>
    <x v="0"/>
    <s v="OURO PRETO"/>
    <s v="MG"/>
    <n v="765442"/>
    <n v="30909"/>
    <n v="96888"/>
    <n v="695310"/>
    <n v="617141"/>
    <n v="70132"/>
    <n v="12749"/>
    <n v="1"/>
    <n v="0"/>
    <n v="4.0380590560747907E-2"/>
    <n v="0.18178577539496948"/>
  </r>
  <r>
    <x v="504"/>
    <s v="n4"/>
    <x v="0"/>
    <n v="2"/>
    <x v="0"/>
    <s v="OSASCO"/>
    <s v="SP"/>
    <n v="764018"/>
    <n v="0"/>
    <n v="686791"/>
    <n v="2056"/>
    <n v="0"/>
    <n v="761962"/>
    <n v="15911"/>
    <n v="1"/>
    <n v="0"/>
    <n v="0"/>
    <n v="2.0881618768390026E-2"/>
  </r>
  <r>
    <x v="505"/>
    <s v="b3S"/>
    <x v="5"/>
    <n v="2"/>
    <x v="0"/>
    <s v="ABAETE"/>
    <s v="MG"/>
    <n v="756343"/>
    <n v="206075"/>
    <n v="30373"/>
    <n v="666355"/>
    <n v="597495"/>
    <n v="89988"/>
    <n v="1947"/>
    <n v="0"/>
    <n v="10"/>
    <n v="0.27246236165337684"/>
    <n v="2.1636218162421655E-2"/>
  </r>
  <r>
    <x v="506"/>
    <s v="n4"/>
    <x v="3"/>
    <n v="2"/>
    <x v="0"/>
    <s v="CACHOEIRINHA"/>
    <s v="RS"/>
    <n v="747318"/>
    <n v="345919"/>
    <n v="25849"/>
    <n v="618081"/>
    <n v="18951"/>
    <n v="129237"/>
    <n v="18479"/>
    <n v="1"/>
    <n v="0"/>
    <n v="0.4628805943386885"/>
    <n v="0.14298536796737776"/>
  </r>
  <r>
    <x v="507"/>
    <s v="b3S"/>
    <x v="5"/>
    <n v="2"/>
    <x v="0"/>
    <s v="GOIANIA"/>
    <s v="GO"/>
    <n v="745090"/>
    <n v="436007"/>
    <n v="46399"/>
    <n v="598533"/>
    <n v="556064"/>
    <n v="146557"/>
    <n v="5702"/>
    <n v="0"/>
    <n v="6"/>
    <n v="0.58517360318887646"/>
    <n v="3.8906364076775592E-2"/>
  </r>
  <r>
    <x v="508"/>
    <s v="b3S"/>
    <x v="5"/>
    <n v="2"/>
    <x v="0"/>
    <s v="CACOAL"/>
    <s v="RO"/>
    <n v="743068"/>
    <n v="499379"/>
    <n v="15663"/>
    <n v="645620"/>
    <n v="562491"/>
    <n v="97447"/>
    <n v="6859"/>
    <n v="0"/>
    <n v="23"/>
    <n v="0.67205020267324123"/>
    <n v="7.0386979588904733E-2"/>
  </r>
  <r>
    <x v="509"/>
    <s v="b1"/>
    <x v="4"/>
    <n v="3"/>
    <x v="2"/>
    <s v="SAO PAULO"/>
    <s v="SP"/>
    <n v="742907"/>
    <n v="32400"/>
    <n v="342924"/>
    <n v="689790"/>
    <n v="684432"/>
    <n v="53117"/>
    <n v="-8463"/>
    <n v="2"/>
    <n v="0"/>
    <n v="4.3612457548522221E-2"/>
    <n v="-0.15932752226217595"/>
  </r>
  <r>
    <x v="510"/>
    <s v="b1"/>
    <x v="4"/>
    <n v="2"/>
    <x v="0"/>
    <s v="SAO PAULO"/>
    <s v="SP"/>
    <n v="742513"/>
    <n v="1656"/>
    <n v="638966"/>
    <n v="532448"/>
    <n v="509442"/>
    <n v="210065"/>
    <n v="14860"/>
    <n v="3"/>
    <n v="0"/>
    <n v="2.2302639819100811E-3"/>
    <n v="7.074000904481946E-2"/>
  </r>
  <r>
    <x v="511"/>
    <s v="b3C"/>
    <x v="4"/>
    <n v="2"/>
    <x v="0"/>
    <s v="GOIANIA"/>
    <s v="GO"/>
    <n v="741255"/>
    <n v="0"/>
    <n v="458468"/>
    <n v="153035"/>
    <n v="0"/>
    <n v="588220"/>
    <n v="5354"/>
    <n v="0"/>
    <n v="0"/>
    <n v="0"/>
    <n v="9.1020366529529773E-3"/>
  </r>
  <r>
    <x v="512"/>
    <s v="b3S"/>
    <x v="5"/>
    <n v="2"/>
    <x v="0"/>
    <s v="ARAGUARI"/>
    <s v="MG"/>
    <n v="740377"/>
    <n v="437384"/>
    <n v="27158"/>
    <n v="649557"/>
    <n v="431097"/>
    <n v="90820"/>
    <n v="-1253"/>
    <n v="0"/>
    <n v="13"/>
    <n v="0.59075849195747576"/>
    <n v="-1.3796520590178375E-2"/>
  </r>
  <r>
    <x v="513"/>
    <s v="b3S"/>
    <x v="5"/>
    <n v="2"/>
    <x v="0"/>
    <s v="LAGES"/>
    <s v="SC"/>
    <n v="737920"/>
    <n v="483758"/>
    <n v="18209"/>
    <n v="649044"/>
    <n v="548315"/>
    <n v="88876"/>
    <n v="817"/>
    <n v="0"/>
    <n v="12"/>
    <n v="0.65556970945359927"/>
    <n v="9.1925829245240558E-3"/>
  </r>
  <r>
    <x v="514"/>
    <s v="n4"/>
    <x v="3"/>
    <n v="3"/>
    <x v="2"/>
    <s v="SAO PAULO"/>
    <s v="SP"/>
    <n v="732622"/>
    <n v="403266"/>
    <n v="80630"/>
    <n v="695420"/>
    <n v="176589"/>
    <n v="37202"/>
    <n v="5224"/>
    <n v="1"/>
    <n v="0"/>
    <n v="0.5504421106655274"/>
    <n v="0.14042255792699318"/>
  </r>
  <r>
    <x v="515"/>
    <s v="b3S"/>
    <x v="5"/>
    <n v="2"/>
    <x v="0"/>
    <s v="XANXERE"/>
    <s v="SC"/>
    <n v="731175"/>
    <n v="278147"/>
    <n v="147087"/>
    <n v="614728"/>
    <n v="576598"/>
    <n v="116448"/>
    <n v="9212"/>
    <n v="0"/>
    <n v="4"/>
    <n v="0.38041098232297332"/>
    <n v="7.9108271503160216E-2"/>
  </r>
  <r>
    <x v="516"/>
    <s v="b3S"/>
    <x v="5"/>
    <n v="2"/>
    <x v="0"/>
    <s v="LARANJEIRAS DO SUL"/>
    <s v="PR"/>
    <n v="730257"/>
    <n v="568188"/>
    <n v="11406"/>
    <n v="596254"/>
    <n v="328903"/>
    <n v="134003"/>
    <n v="7859"/>
    <n v="0"/>
    <n v="17"/>
    <n v="0.77806580423056537"/>
    <n v="5.8647940717745123E-2"/>
  </r>
  <r>
    <x v="517"/>
    <s v="b3S"/>
    <x v="5"/>
    <n v="2"/>
    <x v="0"/>
    <s v="DIVINOPOLIS"/>
    <s v="MG"/>
    <n v="723605"/>
    <n v="280750"/>
    <n v="10001"/>
    <n v="600506"/>
    <n v="565512"/>
    <n v="123100"/>
    <n v="10948"/>
    <n v="0"/>
    <n v="15"/>
    <n v="0.3879879215870537"/>
    <n v="8.8935824532900082E-2"/>
  </r>
  <r>
    <x v="518"/>
    <s v="b3S"/>
    <x v="5"/>
    <n v="2"/>
    <x v="0"/>
    <s v="ENTRE RIOS DE MINAS"/>
    <s v="MG"/>
    <n v="723230"/>
    <n v="345402"/>
    <n v="10151"/>
    <n v="601915"/>
    <n v="566795"/>
    <n v="121315"/>
    <n v="7284"/>
    <n v="0"/>
    <n v="13"/>
    <n v="0.47758251178739819"/>
    <n v="6.0042039319127889E-2"/>
  </r>
  <r>
    <x v="519"/>
    <s v="b3S"/>
    <x v="5"/>
    <n v="2"/>
    <x v="0"/>
    <s v="DIONISIO CERQUEIRA"/>
    <s v="SC"/>
    <n v="722857"/>
    <n v="514553"/>
    <n v="25665"/>
    <n v="640057"/>
    <n v="403369"/>
    <n v="82800"/>
    <n v="2670"/>
    <n v="0"/>
    <n v="15"/>
    <n v="0.71183235411706602"/>
    <n v="3.2246376811594202E-2"/>
  </r>
  <r>
    <x v="520"/>
    <s v="b3S"/>
    <x v="5"/>
    <n v="2"/>
    <x v="0"/>
    <s v="GUARANI"/>
    <s v="MG"/>
    <n v="704413"/>
    <n v="202135"/>
    <n v="14506"/>
    <n v="639894"/>
    <n v="593898"/>
    <n v="64519"/>
    <n v="5700"/>
    <n v="0"/>
    <n v="9"/>
    <n v="0.2869552379073072"/>
    <n v="8.83460685999473E-2"/>
  </r>
  <r>
    <x v="521"/>
    <s v="b3S"/>
    <x v="5"/>
    <n v="2"/>
    <x v="0"/>
    <s v="VALENTE"/>
    <s v="BA"/>
    <n v="694491"/>
    <n v="250581"/>
    <n v="55748"/>
    <n v="565980"/>
    <n v="522822"/>
    <n v="128511"/>
    <n v="9152"/>
    <n v="0"/>
    <n v="23"/>
    <n v="0.36081245113327604"/>
    <n v="7.1215693598213378E-2"/>
  </r>
  <r>
    <x v="522"/>
    <s v="b3S"/>
    <x v="5"/>
    <n v="2"/>
    <x v="0"/>
    <s v="PINTADAS"/>
    <s v="BA"/>
    <n v="692222"/>
    <n v="392550"/>
    <n v="55134"/>
    <n v="572350"/>
    <n v="521559"/>
    <n v="119873"/>
    <n v="10791"/>
    <n v="0"/>
    <n v="23"/>
    <n v="0.56708685941793235"/>
    <n v="9.0020271453955442E-2"/>
  </r>
  <r>
    <x v="523"/>
    <s v="b2"/>
    <x v="4"/>
    <n v="3"/>
    <x v="2"/>
    <s v="SAO PAULO"/>
    <s v="SP"/>
    <n v="683295"/>
    <n v="612580"/>
    <n v="0"/>
    <n v="593170"/>
    <n v="543996"/>
    <n v="90125"/>
    <n v="-3452"/>
    <n v="2"/>
    <n v="0"/>
    <n v="0.89650882854404024"/>
    <n v="-3.8302357836338417E-2"/>
  </r>
  <r>
    <x v="524"/>
    <s v="b3S"/>
    <x v="5"/>
    <n v="2"/>
    <x v="0"/>
    <s v="OURO PRETO DO OESTE"/>
    <s v="RO"/>
    <n v="678495"/>
    <n v="354262"/>
    <n v="22853"/>
    <n v="546578"/>
    <n v="416384"/>
    <n v="131916"/>
    <n v="11360"/>
    <n v="0"/>
    <n v="15"/>
    <n v="0.52212912401712619"/>
    <n v="8.6115406774007697E-2"/>
  </r>
  <r>
    <x v="525"/>
    <s v="n1"/>
    <x v="5"/>
    <n v="2"/>
    <x v="0"/>
    <s v="BARUERI"/>
    <s v="SP"/>
    <n v="677268"/>
    <n v="23210"/>
    <n v="491935"/>
    <n v="645282"/>
    <n v="637791"/>
    <n v="31986"/>
    <n v="10402"/>
    <n v="2"/>
    <n v="0"/>
    <n v="3.4270037857982362E-2"/>
    <n v="0.32520477708997686"/>
  </r>
  <r>
    <x v="526"/>
    <s v="b3S"/>
    <x v="5"/>
    <n v="2"/>
    <x v="0"/>
    <s v="ORIZONA"/>
    <s v="GO"/>
    <n v="666438"/>
    <n v="455670"/>
    <n v="8053"/>
    <n v="556395"/>
    <n v="371616"/>
    <n v="110043"/>
    <n v="4223"/>
    <n v="0"/>
    <n v="15"/>
    <n v="0.68373952265627114"/>
    <n v="3.8375907599756461E-2"/>
  </r>
  <r>
    <x v="527"/>
    <s v="b3S"/>
    <x v="5"/>
    <n v="2"/>
    <x v="0"/>
    <s v="CHAPECO"/>
    <s v="SC"/>
    <n v="660187"/>
    <n v="456804"/>
    <n v="22642"/>
    <n v="582245"/>
    <n v="416917"/>
    <n v="77942"/>
    <n v="1507"/>
    <n v="0"/>
    <n v="17"/>
    <n v="0.69193122554670117"/>
    <n v="1.9334890046444793E-2"/>
  </r>
  <r>
    <x v="528"/>
    <s v="b3S"/>
    <x v="5"/>
    <n v="2"/>
    <x v="0"/>
    <s v="GOIANESIA"/>
    <s v="GO"/>
    <n v="654787"/>
    <n v="387010"/>
    <n v="31062"/>
    <n v="503147"/>
    <n v="432641"/>
    <n v="151640"/>
    <n v="-1380"/>
    <n v="0"/>
    <n v="5"/>
    <n v="0.59104716495593224"/>
    <n v="-9.1005011870218932E-3"/>
  </r>
  <r>
    <x v="529"/>
    <s v="b3S"/>
    <x v="5"/>
    <n v="2"/>
    <x v="0"/>
    <s v="SANTANA DO LIVRAMENTO"/>
    <s v="RS"/>
    <n v="648409"/>
    <n v="328163"/>
    <n v="11930"/>
    <n v="581993"/>
    <n v="541448"/>
    <n v="66417"/>
    <n v="8774"/>
    <n v="0"/>
    <n v="4"/>
    <n v="0.50610494302207398"/>
    <n v="0.13210473222217203"/>
  </r>
  <r>
    <x v="530"/>
    <s v="b3S"/>
    <x v="5"/>
    <n v="2"/>
    <x v="0"/>
    <s v="UBERABA"/>
    <s v="MG"/>
    <n v="647466"/>
    <n v="408479"/>
    <n v="13284"/>
    <n v="555911"/>
    <n v="478402"/>
    <n v="91555"/>
    <n v="-1324"/>
    <n v="0"/>
    <n v="7"/>
    <n v="0.63088872620338365"/>
    <n v="-1.4461252798864071E-2"/>
  </r>
  <r>
    <x v="531"/>
    <s v="b3S"/>
    <x v="5"/>
    <n v="2"/>
    <x v="0"/>
    <s v="PARAOPEBA"/>
    <s v="MG"/>
    <n v="643489"/>
    <n v="171833"/>
    <n v="14690"/>
    <n v="524088"/>
    <n v="476705"/>
    <n v="119400"/>
    <n v="10854"/>
    <n v="0"/>
    <n v="11"/>
    <n v="0.2670333137007781"/>
    <n v="9.0904522613065322E-2"/>
  </r>
  <r>
    <x v="532"/>
    <s v="b3S"/>
    <x v="5"/>
    <n v="2"/>
    <x v="0"/>
    <s v="BRASILIA"/>
    <s v="DF"/>
    <n v="642945"/>
    <n v="374999"/>
    <n v="34586"/>
    <n v="540740"/>
    <n v="484347"/>
    <n v="102206"/>
    <n v="-1404"/>
    <n v="0"/>
    <n v="7"/>
    <n v="0.58325206666200069"/>
    <n v="-1.3736962604935132E-2"/>
  </r>
  <r>
    <x v="533"/>
    <s v="n4"/>
    <x v="5"/>
    <n v="2"/>
    <x v="0"/>
    <s v="TERESINA"/>
    <s v="PI"/>
    <n v="641185"/>
    <n v="422341"/>
    <n v="192133"/>
    <n v="330811"/>
    <n v="0"/>
    <n v="310374"/>
    <n v="11539"/>
    <n v="1"/>
    <n v="0"/>
    <n v="0.65868821011096645"/>
    <n v="3.7177727515835736E-2"/>
  </r>
  <r>
    <x v="534"/>
    <s v="b3S"/>
    <x v="5"/>
    <n v="2"/>
    <x v="0"/>
    <s v="PIUMHI"/>
    <s v="MG"/>
    <n v="638704"/>
    <n v="273121"/>
    <n v="10324"/>
    <n v="555469"/>
    <n v="474640"/>
    <n v="83235"/>
    <n v="2348"/>
    <n v="0"/>
    <n v="6"/>
    <n v="0.4276174879130239"/>
    <n v="2.8209286958611163E-2"/>
  </r>
  <r>
    <x v="535"/>
    <s v="b3S"/>
    <x v="5"/>
    <n v="2"/>
    <x v="0"/>
    <s v="BRASILIA"/>
    <s v="DF"/>
    <n v="634338"/>
    <n v="269084"/>
    <n v="46242"/>
    <n v="538455"/>
    <n v="531099"/>
    <n v="95884"/>
    <n v="6109"/>
    <n v="0"/>
    <n v="10"/>
    <n v="0.42419656397693345"/>
    <n v="6.3712402486337652E-2"/>
  </r>
  <r>
    <x v="536"/>
    <s v="b3S"/>
    <x v="5"/>
    <n v="2"/>
    <x v="0"/>
    <s v="SAO JOAQUIM"/>
    <s v="SC"/>
    <n v="630391"/>
    <n v="470979"/>
    <n v="17184"/>
    <n v="546029"/>
    <n v="371509"/>
    <n v="84361"/>
    <n v="3788"/>
    <n v="0"/>
    <n v="15"/>
    <n v="0.74712202426747842"/>
    <n v="4.4902265264755041E-2"/>
  </r>
  <r>
    <x v="537"/>
    <s v="b3S"/>
    <x v="5"/>
    <n v="2"/>
    <x v="0"/>
    <s v="GOIANIA"/>
    <s v="GO"/>
    <n v="615985"/>
    <n v="303065"/>
    <n v="27309"/>
    <n v="465063"/>
    <n v="368154"/>
    <n v="150922"/>
    <n v="15895"/>
    <n v="0"/>
    <n v="0"/>
    <n v="0.49200061689813873"/>
    <n v="0.10531930401134361"/>
  </r>
  <r>
    <x v="538"/>
    <s v="b3C"/>
    <x v="3"/>
    <n v="2"/>
    <x v="0"/>
    <s v="PORTO ALEGRE"/>
    <s v="RS"/>
    <n v="615856"/>
    <n v="0"/>
    <n v="358"/>
    <n v="610484"/>
    <n v="51142"/>
    <n v="5373"/>
    <n v="0"/>
    <n v="0"/>
    <n v="0"/>
    <n v="0"/>
    <n v="0"/>
  </r>
  <r>
    <x v="539"/>
    <s v="b3S"/>
    <x v="5"/>
    <n v="2"/>
    <x v="0"/>
    <s v="RIO VERDE"/>
    <s v="GO"/>
    <n v="614388"/>
    <n v="347716"/>
    <n v="5315"/>
    <n v="507346"/>
    <n v="426995"/>
    <n v="107042"/>
    <n v="-7585"/>
    <n v="0"/>
    <n v="3"/>
    <n v="0.56595506422651487"/>
    <n v="-7.0860036247454267E-2"/>
  </r>
  <r>
    <x v="540"/>
    <s v="b3S"/>
    <x v="5"/>
    <n v="2"/>
    <x v="0"/>
    <s v="BELO HORIZONTE"/>
    <s v="MG"/>
    <n v="608482"/>
    <n v="132721"/>
    <n v="9596"/>
    <n v="518767"/>
    <n v="504016"/>
    <n v="89715"/>
    <n v="12374"/>
    <n v="0"/>
    <n v="4"/>
    <n v="0.21811820234616636"/>
    <n v="0.13792565345817309"/>
  </r>
  <r>
    <x v="541"/>
    <s v="b3S"/>
    <x v="5"/>
    <n v="2"/>
    <x v="0"/>
    <s v="MONTE CARMELO"/>
    <s v="MG"/>
    <n v="608205"/>
    <n v="273388"/>
    <n v="22665"/>
    <n v="515538"/>
    <n v="412811"/>
    <n v="92667"/>
    <n v="3215"/>
    <n v="0"/>
    <n v="2"/>
    <n v="0.44949975748308546"/>
    <n v="3.4694119805324442E-2"/>
  </r>
  <r>
    <x v="542"/>
    <s v="b3S"/>
    <x v="5"/>
    <n v="2"/>
    <x v="0"/>
    <s v="CARLOS CHAGAS"/>
    <s v="MG"/>
    <n v="607346"/>
    <n v="266885"/>
    <n v="14136"/>
    <n v="470712"/>
    <n v="390015"/>
    <n v="136635"/>
    <n v="10430"/>
    <n v="0"/>
    <n v="8"/>
    <n v="0.43942826658939055"/>
    <n v="7.6334760493285025E-2"/>
  </r>
  <r>
    <x v="543"/>
    <s v="n1"/>
    <x v="4"/>
    <n v="2"/>
    <x v="0"/>
    <s v="ARAXA"/>
    <s v="MG"/>
    <n v="604090"/>
    <n v="486820"/>
    <n v="26261"/>
    <n v="483561"/>
    <n v="427438"/>
    <n v="120529"/>
    <n v="9286"/>
    <n v="2"/>
    <n v="0"/>
    <n v="0.80587329702527766"/>
    <n v="7.704369902679023E-2"/>
  </r>
  <r>
    <x v="544"/>
    <s v="b3S"/>
    <x v="5"/>
    <n v="2"/>
    <x v="0"/>
    <s v="RONDONOPOLIS"/>
    <s v="MT"/>
    <n v="603673"/>
    <n v="353393"/>
    <n v="13557"/>
    <n v="534574"/>
    <n v="489905"/>
    <n v="69098"/>
    <n v="4557"/>
    <n v="0"/>
    <n v="21"/>
    <n v="0.58540468101107723"/>
    <n v="6.5949810414194329E-2"/>
  </r>
  <r>
    <x v="545"/>
    <s v="b3S"/>
    <x v="5"/>
    <n v="2"/>
    <x v="0"/>
    <s v="PAIM FILHO"/>
    <s v="RS"/>
    <n v="601186"/>
    <n v="417030"/>
    <n v="18949"/>
    <n v="526197"/>
    <n v="299054"/>
    <n v="74989"/>
    <n v="3409"/>
    <n v="0"/>
    <n v="16"/>
    <n v="0.69367882818295834"/>
    <n v="4.5460000800117348E-2"/>
  </r>
  <r>
    <x v="546"/>
    <s v="b3S"/>
    <x v="4"/>
    <n v="2"/>
    <x v="0"/>
    <s v="PETROLINA"/>
    <s v="PE"/>
    <n v="601039"/>
    <n v="256475"/>
    <n v="277152"/>
    <n v="534395"/>
    <n v="434471"/>
    <n v="66644"/>
    <n v="6068"/>
    <n v="0"/>
    <n v="6"/>
    <n v="0.42671939757652999"/>
    <n v="9.1050957325490664E-2"/>
  </r>
  <r>
    <x v="547"/>
    <s v="b3S"/>
    <x v="5"/>
    <n v="2"/>
    <x v="0"/>
    <s v="CAMPOS DOS GOYTACAZES"/>
    <s v="RJ"/>
    <n v="597044"/>
    <n v="349471"/>
    <n v="11515"/>
    <n v="537356"/>
    <n v="493031"/>
    <n v="59688"/>
    <n v="-1026"/>
    <n v="0"/>
    <n v="19"/>
    <n v="0.58533541916508669"/>
    <n v="-1.7189384800965019E-2"/>
  </r>
  <r>
    <x v="548"/>
    <s v="b3S"/>
    <x v="5"/>
    <n v="2"/>
    <x v="0"/>
    <s v="ALPINOPOLIS"/>
    <s v="MG"/>
    <n v="595220"/>
    <n v="362072"/>
    <n v="18290"/>
    <n v="503661"/>
    <n v="366172"/>
    <n v="91560"/>
    <n v="10261"/>
    <n v="0"/>
    <n v="5"/>
    <n v="0.60829945230335003"/>
    <n v="0.11206858890345128"/>
  </r>
  <r>
    <x v="549"/>
    <s v="b3S"/>
    <x v="5"/>
    <n v="2"/>
    <x v="0"/>
    <s v="CARMO DO CAJURU"/>
    <s v="MG"/>
    <n v="593552"/>
    <n v="177297"/>
    <n v="12276"/>
    <n v="502370"/>
    <n v="454343"/>
    <n v="91182"/>
    <n v="7734"/>
    <n v="0"/>
    <n v="5"/>
    <n v="0.2987050839690541"/>
    <n v="8.4819372244521948E-2"/>
  </r>
  <r>
    <x v="550"/>
    <s v="b3S"/>
    <x v="5"/>
    <n v="2"/>
    <x v="0"/>
    <s v="URUBICI"/>
    <s v="SC"/>
    <n v="591623"/>
    <n v="284476"/>
    <n v="9403"/>
    <n v="511174"/>
    <n v="441127"/>
    <n v="80449"/>
    <n v="5637"/>
    <n v="0"/>
    <n v="13"/>
    <n v="0.48083999438831826"/>
    <n v="7.0069236410645247E-2"/>
  </r>
  <r>
    <x v="551"/>
    <s v="b3S"/>
    <x v="5"/>
    <n v="2"/>
    <x v="0"/>
    <s v="BOA ESPERANCA"/>
    <s v="MG"/>
    <n v="589223"/>
    <n v="215806"/>
    <n v="17433"/>
    <n v="500797"/>
    <n v="419880"/>
    <n v="88426"/>
    <n v="7168"/>
    <n v="0"/>
    <n v="1"/>
    <n v="0.36625522085865625"/>
    <n v="8.1062131047429486E-2"/>
  </r>
  <r>
    <x v="552"/>
    <s v="b3S"/>
    <x v="5"/>
    <n v="2"/>
    <x v="0"/>
    <s v="SAO JOSE DOS CAMPOS"/>
    <s v="SP"/>
    <n v="589133"/>
    <n v="293781"/>
    <n v="158361"/>
    <n v="549228"/>
    <n v="535172"/>
    <n v="39905"/>
    <n v="-72"/>
    <n v="0"/>
    <n v="15"/>
    <n v="0.49866668477236886"/>
    <n v="-1.8042851772960781E-3"/>
  </r>
  <r>
    <x v="553"/>
    <s v="b3S"/>
    <x v="5"/>
    <n v="2"/>
    <x v="0"/>
    <s v="MORRINHOS"/>
    <s v="GO"/>
    <n v="576441"/>
    <n v="314185"/>
    <n v="25278"/>
    <n v="491532"/>
    <n v="443958"/>
    <n v="84909"/>
    <n v="-9234"/>
    <n v="0"/>
    <n v="12"/>
    <n v="0.54504277107284183"/>
    <n v="-0.10875172243225099"/>
  </r>
  <r>
    <x v="554"/>
    <s v="n4"/>
    <x v="3"/>
    <n v="3"/>
    <x v="2"/>
    <s v="BARUERI"/>
    <s v="SP"/>
    <n v="570983"/>
    <n v="104687"/>
    <n v="24007"/>
    <n v="209550"/>
    <n v="11398"/>
    <n v="361433"/>
    <n v="62183"/>
    <n v="1"/>
    <n v="0"/>
    <n v="0.18334521343017218"/>
    <n v="0.17204571801689386"/>
  </r>
  <r>
    <x v="555"/>
    <s v="n4"/>
    <x v="3"/>
    <n v="2"/>
    <x v="0"/>
    <s v="RIO DE JANEIRO"/>
    <s v="RJ"/>
    <n v="569598"/>
    <n v="0"/>
    <n v="65506"/>
    <n v="534398"/>
    <n v="64700"/>
    <n v="35200"/>
    <n v="523"/>
    <n v="1"/>
    <n v="0"/>
    <n v="0"/>
    <n v="1.4857954545454546E-2"/>
  </r>
  <r>
    <x v="556"/>
    <s v="b3S"/>
    <x v="5"/>
    <n v="2"/>
    <x v="0"/>
    <s v="LEME"/>
    <s v="SP"/>
    <n v="565073"/>
    <n v="287921"/>
    <n v="14594"/>
    <n v="490423"/>
    <n v="472929"/>
    <n v="74650"/>
    <n v="6836"/>
    <n v="0"/>
    <n v="5"/>
    <n v="0.5095288573334773"/>
    <n v="9.157401205626256E-2"/>
  </r>
  <r>
    <x v="557"/>
    <s v="n4"/>
    <x v="1"/>
    <n v="2"/>
    <x v="0"/>
    <s v="SAO PAULO"/>
    <s v="SP"/>
    <n v="561215"/>
    <n v="150682"/>
    <n v="0"/>
    <n v="551549"/>
    <n v="307850"/>
    <n v="9666"/>
    <n v="-14549"/>
    <n v="1"/>
    <n v="0"/>
    <n v="0.26849246723626419"/>
    <n v="-1.505172770535899"/>
  </r>
  <r>
    <x v="558"/>
    <s v="b3S"/>
    <x v="5"/>
    <n v="2"/>
    <x v="0"/>
    <s v="ITURAMA"/>
    <s v="MG"/>
    <n v="556342"/>
    <n v="398391"/>
    <n v="14637"/>
    <n v="422783"/>
    <n v="332793"/>
    <n v="133559"/>
    <n v="9188"/>
    <n v="0"/>
    <n v="6"/>
    <n v="0.71609010285040497"/>
    <n v="6.8793566888041988E-2"/>
  </r>
  <r>
    <x v="559"/>
    <s v="b3S"/>
    <x v="5"/>
    <n v="2"/>
    <x v="0"/>
    <s v="RIO BRANCO"/>
    <s v="AC"/>
    <n v="554878"/>
    <n v="332847"/>
    <n v="6217"/>
    <n v="479002"/>
    <n v="378861"/>
    <n v="75876"/>
    <n v="8362"/>
    <n v="0"/>
    <n v="2"/>
    <n v="0.59985618460274148"/>
    <n v="0.11020612578417417"/>
  </r>
  <r>
    <x v="560"/>
    <s v="b3S"/>
    <x v="5"/>
    <n v="2"/>
    <x v="0"/>
    <s v="IPATINGA"/>
    <s v="MG"/>
    <n v="554708"/>
    <n v="267081"/>
    <n v="16246"/>
    <n v="436213"/>
    <n v="417492"/>
    <n v="118495"/>
    <n v="4449"/>
    <n v="0"/>
    <n v="21"/>
    <n v="0.48148034641649301"/>
    <n v="3.7545888012152411E-2"/>
  </r>
  <r>
    <x v="561"/>
    <s v="b3S"/>
    <x v="5"/>
    <n v="2"/>
    <x v="0"/>
    <s v="CAMPO BELO"/>
    <s v="MG"/>
    <n v="554644"/>
    <n v="201789"/>
    <n v="128398"/>
    <n v="490258"/>
    <n v="404216"/>
    <n v="64386"/>
    <n v="5940"/>
    <n v="0"/>
    <n v="7"/>
    <n v="0.36381715118165886"/>
    <n v="9.2256080514397543E-2"/>
  </r>
  <r>
    <x v="562"/>
    <s v="n1"/>
    <x v="5"/>
    <n v="3"/>
    <x v="2"/>
    <s v="SAO PAULO"/>
    <s v="SP"/>
    <n v="549909"/>
    <n v="358228"/>
    <n v="80656"/>
    <n v="456287"/>
    <n v="0"/>
    <n v="93623"/>
    <n v="1390"/>
    <n v="2"/>
    <n v="0"/>
    <n v="0.65143141865290444"/>
    <n v="1.4846779103425441E-2"/>
  </r>
  <r>
    <x v="563"/>
    <s v="b3S"/>
    <x v="5"/>
    <n v="2"/>
    <x v="0"/>
    <s v="GUARANI DAS MISSOES"/>
    <s v="RS"/>
    <n v="542679"/>
    <n v="418284"/>
    <n v="9436"/>
    <n v="476719"/>
    <n v="329289"/>
    <n v="65960"/>
    <n v="3404"/>
    <n v="0"/>
    <n v="14"/>
    <n v="0.77077609415510828"/>
    <n v="5.1607034566403878E-2"/>
  </r>
  <r>
    <x v="564"/>
    <s v="n1"/>
    <x v="5"/>
    <n v="2"/>
    <x v="0"/>
    <s v="BENTO GONCALVES"/>
    <s v="RS"/>
    <n v="536983"/>
    <n v="508714"/>
    <n v="21865"/>
    <n v="441561"/>
    <n v="435371"/>
    <n v="95422"/>
    <n v="8826"/>
    <n v="2"/>
    <n v="0"/>
    <n v="0.94735587532566212"/>
    <n v="9.2494393326486554E-2"/>
  </r>
  <r>
    <x v="565"/>
    <s v="b3S"/>
    <x v="5"/>
    <n v="2"/>
    <x v="0"/>
    <s v="CAMPOS DOS GOYTACAZES"/>
    <s v="RJ"/>
    <n v="533623"/>
    <n v="289577"/>
    <n v="10678"/>
    <n v="457485"/>
    <n v="405931"/>
    <n v="76138"/>
    <n v="6309"/>
    <n v="0"/>
    <n v="13"/>
    <n v="0.54266214162433024"/>
    <n v="8.2862696682339962E-2"/>
  </r>
  <r>
    <x v="566"/>
    <s v="b3S"/>
    <x v="5"/>
    <n v="2"/>
    <x v="0"/>
    <s v="NANUQUE"/>
    <s v="MG"/>
    <n v="528753"/>
    <n v="307314"/>
    <n v="9416"/>
    <n v="386663"/>
    <n v="331286"/>
    <n v="142090"/>
    <n v="14044"/>
    <n v="0"/>
    <n v="7"/>
    <n v="0.581205213020068"/>
    <n v="9.8838764163558301E-2"/>
  </r>
  <r>
    <x v="567"/>
    <s v="n1"/>
    <x v="4"/>
    <n v="2"/>
    <x v="0"/>
    <s v="SANTO CRISTO"/>
    <s v="RS"/>
    <n v="525275"/>
    <n v="368552"/>
    <n v="101476"/>
    <n v="476341"/>
    <n v="421520"/>
    <n v="48934"/>
    <n v="6784"/>
    <n v="2"/>
    <n v="0"/>
    <n v="0.70163628575508064"/>
    <n v="0.13863571340989905"/>
  </r>
  <r>
    <x v="568"/>
    <s v="b3S"/>
    <x v="5"/>
    <n v="2"/>
    <x v="0"/>
    <s v="ITAMARAJU"/>
    <s v="BA"/>
    <n v="521124"/>
    <n v="290350"/>
    <n v="27309"/>
    <n v="446073"/>
    <n v="381744"/>
    <n v="75051"/>
    <n v="8796"/>
    <n v="0"/>
    <n v="11"/>
    <n v="0.55716105955588302"/>
    <n v="0.11720030379342047"/>
  </r>
  <r>
    <x v="569"/>
    <s v="b3S"/>
    <x v="5"/>
    <n v="2"/>
    <x v="0"/>
    <s v="RIO DE JANEIRO"/>
    <s v="RJ"/>
    <n v="519527"/>
    <n v="140564"/>
    <n v="128263"/>
    <n v="478492"/>
    <n v="471816"/>
    <n v="41035"/>
    <n v="-1154"/>
    <n v="0"/>
    <n v="14"/>
    <n v="0.27056149151054709"/>
    <n v="-2.8122334592421104E-2"/>
  </r>
  <r>
    <x v="570"/>
    <s v="n1"/>
    <x v="5"/>
    <n v="2"/>
    <x v="0"/>
    <s v="BARUERI"/>
    <s v="SP"/>
    <n v="519320"/>
    <n v="428859"/>
    <n v="0"/>
    <n v="297356"/>
    <n v="257264"/>
    <n v="221964"/>
    <n v="21343"/>
    <n v="2"/>
    <n v="0"/>
    <n v="0.82580874990372022"/>
    <n v="9.6155232380025588E-2"/>
  </r>
  <r>
    <x v="571"/>
    <s v="b3S"/>
    <x v="5"/>
    <n v="2"/>
    <x v="0"/>
    <s v="FLORIANOPOLIS"/>
    <s v="SC"/>
    <n v="517785"/>
    <n v="252684"/>
    <n v="6096"/>
    <n v="471639"/>
    <n v="460593"/>
    <n v="46146"/>
    <n v="1295"/>
    <n v="0"/>
    <n v="9"/>
    <n v="0.48800950201338394"/>
    <n v="2.8063104061023709E-2"/>
  </r>
  <r>
    <x v="572"/>
    <s v="b3S"/>
    <x v="5"/>
    <n v="2"/>
    <x v="0"/>
    <s v="ERECHIM"/>
    <s v="RS"/>
    <n v="516595"/>
    <n v="328777"/>
    <n v="5088"/>
    <n v="467166"/>
    <n v="460908"/>
    <n v="49430"/>
    <n v="3213"/>
    <n v="0"/>
    <n v="7"/>
    <n v="0.63643085976441893"/>
    <n v="6.5001011531458625E-2"/>
  </r>
  <r>
    <x v="573"/>
    <s v="b3S"/>
    <x v="5"/>
    <n v="2"/>
    <x v="0"/>
    <s v="PASSO FUNDO"/>
    <s v="RS"/>
    <n v="516005"/>
    <n v="94716"/>
    <n v="13781"/>
    <n v="473377"/>
    <n v="466007"/>
    <n v="42628"/>
    <n v="5160"/>
    <n v="0"/>
    <n v="4"/>
    <n v="0.18355636088797589"/>
    <n v="0.12104719902411561"/>
  </r>
  <r>
    <x v="574"/>
    <s v="b3S"/>
    <x v="5"/>
    <n v="2"/>
    <x v="0"/>
    <s v="CAMPOS ALTOS"/>
    <s v="MG"/>
    <n v="515900"/>
    <n v="322202"/>
    <n v="25686"/>
    <n v="446663"/>
    <n v="266681"/>
    <n v="69237"/>
    <n v="-1819"/>
    <n v="0"/>
    <n v="4"/>
    <n v="0.62454351618530723"/>
    <n v="-2.6272079957248291E-2"/>
  </r>
  <r>
    <x v="575"/>
    <s v="b3S"/>
    <x v="5"/>
    <n v="2"/>
    <x v="0"/>
    <s v="ANAPOLIS"/>
    <s v="GO"/>
    <n v="513987"/>
    <n v="300934"/>
    <n v="19556"/>
    <n v="395332"/>
    <n v="369666"/>
    <n v="118654"/>
    <n v="12277"/>
    <n v="0"/>
    <n v="8"/>
    <n v="0.58548951627181234"/>
    <n v="0.10346890960271041"/>
  </r>
  <r>
    <x v="576"/>
    <s v="n1"/>
    <x v="4"/>
    <n v="2"/>
    <x v="0"/>
    <s v="CUIABA"/>
    <s v="MT"/>
    <n v="511369"/>
    <n v="357563"/>
    <n v="0"/>
    <n v="436385"/>
    <n v="427119"/>
    <n v="74984"/>
    <n v="-1540"/>
    <n v="2"/>
    <n v="0"/>
    <n v="0.69922697699704128"/>
    <n v="-2.0537714712471993E-2"/>
  </r>
  <r>
    <x v="577"/>
    <s v="n4"/>
    <x v="5"/>
    <n v="2"/>
    <x v="0"/>
    <s v="SAO PAULO"/>
    <s v="SP"/>
    <n v="510822"/>
    <n v="0"/>
    <n v="197337"/>
    <n v="104531"/>
    <n v="41055"/>
    <n v="406292"/>
    <n v="27777"/>
    <n v="1"/>
    <n v="0"/>
    <n v="0"/>
    <n v="6.836708574128951E-2"/>
  </r>
  <r>
    <x v="578"/>
    <s v="b3S"/>
    <x v="5"/>
    <n v="2"/>
    <x v="0"/>
    <s v="BOM DESPACHO"/>
    <s v="MG"/>
    <n v="507626"/>
    <n v="196592"/>
    <n v="9788"/>
    <n v="436533"/>
    <n v="419777"/>
    <n v="71093"/>
    <n v="2523"/>
    <n v="0"/>
    <n v="5"/>
    <n v="0.38727724742231484"/>
    <n v="3.5488726034912016E-2"/>
  </r>
  <r>
    <x v="579"/>
    <s v="b3S"/>
    <x v="5"/>
    <n v="2"/>
    <x v="0"/>
    <s v="ALFREDO WAGNER"/>
    <s v="SC"/>
    <n v="505038"/>
    <n v="371023"/>
    <n v="12439"/>
    <n v="439098"/>
    <n v="247859"/>
    <n v="65940"/>
    <n v="1109"/>
    <n v="0"/>
    <n v="9"/>
    <n v="0.73464372977874937"/>
    <n v="1.6818319684561722E-2"/>
  </r>
  <r>
    <x v="580"/>
    <s v="b3S"/>
    <x v="5"/>
    <n v="2"/>
    <x v="0"/>
    <s v="BELO HORIZONTE"/>
    <s v="MG"/>
    <n v="503587"/>
    <n v="251924"/>
    <n v="12504"/>
    <n v="418852"/>
    <n v="409240"/>
    <n v="84735"/>
    <n v="4928"/>
    <n v="0"/>
    <n v="0"/>
    <n v="0.50025914092301826"/>
    <n v="5.8157786038826931E-2"/>
  </r>
  <r>
    <x v="581"/>
    <s v="b3S"/>
    <x v="5"/>
    <n v="2"/>
    <x v="0"/>
    <s v="PITANGUI"/>
    <s v="MG"/>
    <n v="495545"/>
    <n v="252491"/>
    <n v="9579"/>
    <n v="426582"/>
    <n v="402025"/>
    <n v="68963"/>
    <n v="473"/>
    <n v="0"/>
    <n v="7"/>
    <n v="0.50952183959075359"/>
    <n v="6.8587503443875699E-3"/>
  </r>
  <r>
    <x v="582"/>
    <s v="b3S"/>
    <x v="5"/>
    <n v="2"/>
    <x v="0"/>
    <s v="LAGES"/>
    <s v="SC"/>
    <n v="492618"/>
    <n v="301124"/>
    <n v="5845"/>
    <n v="445418"/>
    <n v="377133"/>
    <n v="47200"/>
    <n v="936"/>
    <n v="0"/>
    <n v="8"/>
    <n v="0.61127283209302141"/>
    <n v="1.9830508474576271E-2"/>
  </r>
  <r>
    <x v="583"/>
    <s v="b3S"/>
    <x v="5"/>
    <n v="2"/>
    <x v="0"/>
    <s v="GOIANIA"/>
    <s v="GO"/>
    <n v="491912"/>
    <n v="210120"/>
    <n v="27516"/>
    <n v="401645"/>
    <n v="388952"/>
    <n v="90267"/>
    <n v="1976"/>
    <n v="0"/>
    <n v="3"/>
    <n v="0.42714957146806748"/>
    <n v="2.1890613402461585E-2"/>
  </r>
  <r>
    <x v="584"/>
    <s v="b3S"/>
    <x v="5"/>
    <n v="2"/>
    <x v="0"/>
    <s v="VARGINHA"/>
    <s v="MG"/>
    <n v="490198"/>
    <n v="143523"/>
    <n v="10174"/>
    <n v="432190"/>
    <n v="394663"/>
    <n v="58008"/>
    <n v="4224"/>
    <n v="0"/>
    <n v="11"/>
    <n v="0.29278577227977265"/>
    <n v="7.2817542407943733E-2"/>
  </r>
  <r>
    <x v="585"/>
    <s v="b3S"/>
    <x v="5"/>
    <n v="2"/>
    <x v="0"/>
    <s v="PITANGUI"/>
    <s v="MG"/>
    <n v="490050"/>
    <n v="206935"/>
    <n v="12220"/>
    <n v="417552"/>
    <n v="382649"/>
    <n v="72497"/>
    <n v="7538"/>
    <n v="0"/>
    <n v="3"/>
    <n v="0.42227323742475259"/>
    <n v="0.10397671627791495"/>
  </r>
  <r>
    <x v="586"/>
    <s v="n1"/>
    <x v="4"/>
    <n v="2"/>
    <x v="0"/>
    <s v="ARARUAMA"/>
    <s v="RJ"/>
    <n v="488416"/>
    <n v="417861"/>
    <n v="10834"/>
    <n v="415199"/>
    <n v="409176"/>
    <n v="73217"/>
    <n v="1787"/>
    <n v="2"/>
    <n v="0"/>
    <n v="0.85554322544715977"/>
    <n v="2.4406900036876681E-2"/>
  </r>
  <r>
    <x v="587"/>
    <s v="b3S"/>
    <x v="5"/>
    <n v="2"/>
    <x v="0"/>
    <s v="URUPEMA"/>
    <s v="SC"/>
    <n v="484119"/>
    <n v="382100"/>
    <n v="13621"/>
    <n v="407096"/>
    <n v="268837"/>
    <n v="77023"/>
    <n v="5582"/>
    <n v="0"/>
    <n v="4"/>
    <n v="0.7892687541699458"/>
    <n v="7.2471859055087448E-2"/>
  </r>
  <r>
    <x v="588"/>
    <s v="b3S"/>
    <x v="5"/>
    <n v="2"/>
    <x v="0"/>
    <s v="BELO HORIZONTE"/>
    <s v="MG"/>
    <n v="479183"/>
    <n v="216591"/>
    <n v="13444"/>
    <n v="406122"/>
    <n v="400192"/>
    <n v="73061"/>
    <n v="3686"/>
    <n v="0"/>
    <n v="5"/>
    <n v="0.45200059267544968"/>
    <n v="5.0450993005844429E-2"/>
  </r>
  <r>
    <x v="589"/>
    <s v="n1"/>
    <x v="4"/>
    <n v="2"/>
    <x v="0"/>
    <s v="IJUI"/>
    <s v="RS"/>
    <n v="477965"/>
    <n v="408416"/>
    <n v="43379"/>
    <n v="391773"/>
    <n v="366822"/>
    <n v="86192"/>
    <n v="4370"/>
    <n v="2"/>
    <n v="0"/>
    <n v="0.85448934545416511"/>
    <n v="5.0700761091516611E-2"/>
  </r>
  <r>
    <x v="590"/>
    <s v="b3S"/>
    <x v="5"/>
    <n v="2"/>
    <x v="0"/>
    <s v="SETE LAGOAS"/>
    <s v="MG"/>
    <n v="468226"/>
    <n v="277246"/>
    <n v="13678"/>
    <n v="394891"/>
    <n v="343759"/>
    <n v="73335"/>
    <n v="3563"/>
    <n v="0"/>
    <n v="6"/>
    <n v="0.59212004459384993"/>
    <n v="4.8585259425922137E-2"/>
  </r>
  <r>
    <x v="591"/>
    <s v="b3S"/>
    <x v="5"/>
    <n v="2"/>
    <x v="0"/>
    <s v="SANTA ROSA DE LIMA"/>
    <s v="SC"/>
    <n v="465106"/>
    <n v="315134"/>
    <n v="11088"/>
    <n v="416985"/>
    <n v="309633"/>
    <n v="48121"/>
    <n v="3168"/>
    <n v="0"/>
    <n v="13"/>
    <n v="0.67755307392293374"/>
    <n v="6.5834043349057583E-2"/>
  </r>
  <r>
    <x v="592"/>
    <s v="n1"/>
    <x v="4"/>
    <n v="2"/>
    <x v="0"/>
    <s v="BARUERI"/>
    <s v="SP"/>
    <n v="462957"/>
    <n v="0"/>
    <n v="22217"/>
    <n v="437900"/>
    <n v="431404"/>
    <n v="25057"/>
    <n v="4831"/>
    <n v="2"/>
    <n v="0"/>
    <n v="0"/>
    <n v="0.19280041505367762"/>
  </r>
  <r>
    <x v="593"/>
    <s v="b3S"/>
    <x v="5"/>
    <n v="2"/>
    <x v="0"/>
    <s v="BLUMENAU"/>
    <s v="SC"/>
    <n v="458826"/>
    <n v="277555"/>
    <n v="98091"/>
    <n v="376193"/>
    <n v="364218"/>
    <n v="82634"/>
    <n v="3775"/>
    <n v="0"/>
    <n v="10"/>
    <n v="0.60492430681783504"/>
    <n v="4.5683374882009825E-2"/>
  </r>
  <r>
    <x v="594"/>
    <s v="b3S"/>
    <x v="5"/>
    <n v="2"/>
    <x v="0"/>
    <s v="SACRAMENTO"/>
    <s v="MG"/>
    <n v="458659"/>
    <n v="290423"/>
    <n v="15649"/>
    <n v="395916"/>
    <n v="309367"/>
    <n v="62743"/>
    <n v="2064"/>
    <n v="0"/>
    <n v="3"/>
    <n v="0.63320026424860298"/>
    <n v="3.2896099963342522E-2"/>
  </r>
  <r>
    <x v="595"/>
    <s v="b3S"/>
    <x v="4"/>
    <n v="2"/>
    <x v="0"/>
    <s v="RIO DE JANEIRO"/>
    <s v="RJ"/>
    <n v="457818"/>
    <n v="188113"/>
    <n v="167916"/>
    <n v="411107"/>
    <n v="387106"/>
    <n v="46711"/>
    <n v="-867"/>
    <n v="0"/>
    <n v="12"/>
    <n v="0.41089035380871874"/>
    <n v="-1.8560938536961315E-2"/>
  </r>
  <r>
    <x v="596"/>
    <s v="b3S"/>
    <x v="5"/>
    <n v="2"/>
    <x v="0"/>
    <s v="RIO DE JANEIRO"/>
    <s v="RJ"/>
    <n v="457478"/>
    <n v="123118"/>
    <n v="159715"/>
    <n v="428846"/>
    <n v="423392"/>
    <n v="28632"/>
    <n v="-11291"/>
    <n v="0"/>
    <n v="5"/>
    <n v="0.26912332396311955"/>
    <n v="-0.39434898016205644"/>
  </r>
  <r>
    <x v="597"/>
    <s v="b3S"/>
    <x v="5"/>
    <n v="2"/>
    <x v="0"/>
    <s v="RIO DE JANEIRO"/>
    <s v="RJ"/>
    <n v="457291"/>
    <n v="283000"/>
    <n v="19258"/>
    <n v="352669"/>
    <n v="332456"/>
    <n v="104622"/>
    <n v="7150"/>
    <n v="0"/>
    <n v="9"/>
    <n v="0.6188619500493121"/>
    <n v="6.8341266655196797E-2"/>
  </r>
  <r>
    <x v="598"/>
    <s v="b3S"/>
    <x v="5"/>
    <n v="2"/>
    <x v="0"/>
    <s v="CURITIBA"/>
    <s v="PR"/>
    <n v="454673"/>
    <n v="143146"/>
    <n v="218698"/>
    <n v="292869"/>
    <n v="276087"/>
    <n v="161804"/>
    <n v="7107"/>
    <n v="0"/>
    <n v="17"/>
    <n v="0.31483285790007326"/>
    <n v="4.3923512397715754E-2"/>
  </r>
  <r>
    <x v="599"/>
    <s v="b3S"/>
    <x v="5"/>
    <n v="2"/>
    <x v="0"/>
    <s v="MEDIANEIRA"/>
    <s v="PR"/>
    <n v="454576"/>
    <n v="179410"/>
    <n v="269355"/>
    <n v="373131"/>
    <n v="364456"/>
    <n v="81445"/>
    <n v="7883"/>
    <n v="0"/>
    <n v="35"/>
    <n v="0.39467547780789131"/>
    <n v="9.6789244275277797E-2"/>
  </r>
  <r>
    <x v="600"/>
    <s v="n1"/>
    <x v="4"/>
    <n v="2"/>
    <x v="0"/>
    <s v="FARROUPILHA"/>
    <s v="RS"/>
    <n v="453768"/>
    <n v="297423"/>
    <n v="12414"/>
    <n v="371908"/>
    <n v="348992"/>
    <n v="81860"/>
    <n v="-2084"/>
    <n v="2"/>
    <n v="0"/>
    <n v="0.65545168456127356"/>
    <n v="-2.545809919374542E-2"/>
  </r>
  <r>
    <x v="601"/>
    <s v="n2"/>
    <x v="4"/>
    <n v="3"/>
    <x v="2"/>
    <s v="SAO PAULO"/>
    <s v="SP"/>
    <n v="451395"/>
    <n v="0"/>
    <n v="0"/>
    <n v="287168"/>
    <n v="112580"/>
    <n v="164227"/>
    <n v="11687"/>
    <n v="2"/>
    <n v="0"/>
    <n v="0"/>
    <n v="7.1163694155041493E-2"/>
  </r>
  <r>
    <x v="602"/>
    <s v="b3S"/>
    <x v="5"/>
    <n v="2"/>
    <x v="0"/>
    <s v="FLORIANOPOLIS"/>
    <s v="SC"/>
    <n v="451314"/>
    <n v="257422"/>
    <n v="9833"/>
    <n v="410044"/>
    <n v="388441"/>
    <n v="41270"/>
    <n v="63"/>
    <n v="0"/>
    <n v="2"/>
    <n v="0.5703833694500946"/>
    <n v="1.5265325902592683E-3"/>
  </r>
  <r>
    <x v="603"/>
    <s v="b3S"/>
    <x v="5"/>
    <n v="2"/>
    <x v="0"/>
    <s v="JACUTINGA"/>
    <s v="RS"/>
    <n v="450461"/>
    <n v="307130"/>
    <n v="19039"/>
    <n v="393702"/>
    <n v="242996"/>
    <n v="56759"/>
    <n v="834"/>
    <n v="0"/>
    <n v="16"/>
    <n v="0.68181263194815978"/>
    <n v="1.4693704963089554E-2"/>
  </r>
  <r>
    <x v="604"/>
    <s v="b3S"/>
    <x v="5"/>
    <n v="2"/>
    <x v="0"/>
    <s v="CANDIDO MOTA"/>
    <s v="SP"/>
    <n v="447995"/>
    <n v="249478"/>
    <n v="25031"/>
    <n v="410325"/>
    <n v="375195"/>
    <n v="37669"/>
    <n v="-4745"/>
    <n v="0"/>
    <n v="16"/>
    <n v="0.55687675085659438"/>
    <n v="-0.12596564814569008"/>
  </r>
  <r>
    <x v="605"/>
    <s v="b3S"/>
    <x v="5"/>
    <n v="2"/>
    <x v="0"/>
    <s v="PIRACANJUBA"/>
    <s v="GO"/>
    <n v="444694"/>
    <n v="294449"/>
    <n v="11046"/>
    <n v="397128"/>
    <n v="329151"/>
    <n v="47566"/>
    <n v="-8841"/>
    <n v="0"/>
    <n v="3"/>
    <n v="0.66213845925512826"/>
    <n v="-0.18586805701551529"/>
  </r>
  <r>
    <x v="606"/>
    <s v="n1"/>
    <x v="5"/>
    <n v="2"/>
    <x v="0"/>
    <s v="BIGUACU"/>
    <s v="SC"/>
    <n v="443580"/>
    <n v="416480"/>
    <n v="0"/>
    <n v="228903"/>
    <n v="160564"/>
    <n v="214677"/>
    <n v="11943"/>
    <n v="2"/>
    <n v="0"/>
    <n v="0.93890617250552322"/>
    <n v="5.5632415209826855E-2"/>
  </r>
  <r>
    <x v="607"/>
    <s v="n1"/>
    <x v="4"/>
    <n v="2"/>
    <x v="0"/>
    <s v="PORTO ALEGRE"/>
    <s v="RS"/>
    <n v="442806"/>
    <n v="319198"/>
    <n v="8371"/>
    <n v="385746"/>
    <n v="281695"/>
    <n v="57059"/>
    <n v="4426"/>
    <n v="4"/>
    <n v="0"/>
    <n v="0.720852924305452"/>
    <n v="7.756883226134352E-2"/>
  </r>
  <r>
    <x v="608"/>
    <s v="b3S"/>
    <x v="5"/>
    <n v="2"/>
    <x v="0"/>
    <s v="TIMBO"/>
    <s v="SC"/>
    <n v="442589"/>
    <n v="295631"/>
    <n v="12292"/>
    <n v="388705"/>
    <n v="366773"/>
    <n v="53884"/>
    <n v="611"/>
    <n v="0"/>
    <n v="14"/>
    <n v="0.66795830895029018"/>
    <n v="1.1339173038378739E-2"/>
  </r>
  <r>
    <x v="609"/>
    <s v="b3S"/>
    <x v="5"/>
    <n v="2"/>
    <x v="0"/>
    <s v="CURITIBANOS"/>
    <s v="SC"/>
    <n v="434545"/>
    <n v="322133"/>
    <n v="9702"/>
    <n v="372518"/>
    <n v="231109"/>
    <n v="62028"/>
    <n v="-199"/>
    <n v="0"/>
    <n v="13"/>
    <n v="0.74131102647596914"/>
    <n v="-3.2082285419487975E-3"/>
  </r>
  <r>
    <x v="610"/>
    <s v="b3S"/>
    <x v="5"/>
    <n v="2"/>
    <x v="0"/>
    <s v="PEDRO LEOPOLDO"/>
    <s v="MG"/>
    <n v="429968"/>
    <n v="156400"/>
    <n v="8398"/>
    <n v="368877"/>
    <n v="338157"/>
    <n v="61091"/>
    <n v="4876"/>
    <n v="0"/>
    <n v="10"/>
    <n v="0.36374799985115169"/>
    <n v="7.9815357417622884E-2"/>
  </r>
  <r>
    <x v="611"/>
    <s v="n1"/>
    <x v="4"/>
    <n v="3"/>
    <x v="2"/>
    <s v="SAO PAULO"/>
    <s v="SP"/>
    <n v="428648"/>
    <n v="33491"/>
    <n v="0"/>
    <n v="349977"/>
    <n v="335206"/>
    <n v="78671"/>
    <n v="-26981"/>
    <n v="2"/>
    <n v="0"/>
    <n v="7.8131707134991887E-2"/>
    <n v="-0.34295992169922845"/>
  </r>
  <r>
    <x v="612"/>
    <s v="b3S"/>
    <x v="5"/>
    <n v="2"/>
    <x v="0"/>
    <s v="MACEIO"/>
    <s v="AL"/>
    <n v="423442"/>
    <n v="257158"/>
    <n v="17705"/>
    <n v="354367"/>
    <n v="330252"/>
    <n v="69075"/>
    <n v="-6092"/>
    <n v="0"/>
    <n v="8"/>
    <n v="0.60730395189896136"/>
    <n v="-8.8193992037640251E-2"/>
  </r>
  <r>
    <x v="613"/>
    <s v="n4"/>
    <x v="4"/>
    <n v="2"/>
    <x v="0"/>
    <s v="SAO PAULO"/>
    <s v="SP"/>
    <n v="422262"/>
    <n v="16351"/>
    <n v="79338"/>
    <n v="403468"/>
    <n v="61318"/>
    <n v="18793"/>
    <n v="3653"/>
    <n v="1"/>
    <n v="0"/>
    <n v="3.8722404573463869E-2"/>
    <n v="0.19438088650029267"/>
  </r>
  <r>
    <x v="614"/>
    <s v="b3S"/>
    <x v="5"/>
    <n v="2"/>
    <x v="0"/>
    <s v="JOAO PINHEIRO"/>
    <s v="MG"/>
    <n v="422006"/>
    <n v="225571"/>
    <n v="15950"/>
    <n v="353473"/>
    <n v="302357"/>
    <n v="68533"/>
    <n v="897"/>
    <n v="0"/>
    <n v="12"/>
    <n v="0.5345208361966417"/>
    <n v="1.3088585061211386E-2"/>
  </r>
  <r>
    <x v="615"/>
    <s v="n4"/>
    <x v="3"/>
    <n v="3"/>
    <x v="2"/>
    <s v="BARUERI"/>
    <s v="SP"/>
    <n v="420288"/>
    <n v="0"/>
    <n v="0"/>
    <n v="400348"/>
    <n v="0"/>
    <n v="19941"/>
    <n v="33592"/>
    <n v="1"/>
    <n v="0"/>
    <n v="0"/>
    <n v="1.6845694799658995"/>
  </r>
  <r>
    <x v="616"/>
    <s v="n4"/>
    <x v="3"/>
    <n v="3"/>
    <x v="2"/>
    <s v="SAO PAULO"/>
    <s v="SP"/>
    <n v="416505"/>
    <n v="0"/>
    <n v="378173"/>
    <n v="403192"/>
    <n v="351941"/>
    <n v="13312"/>
    <n v="3735"/>
    <n v="1"/>
    <n v="0"/>
    <n v="0"/>
    <n v="0.28057391826923078"/>
  </r>
  <r>
    <x v="617"/>
    <s v="b3S"/>
    <x v="5"/>
    <n v="2"/>
    <x v="0"/>
    <s v="SAO JOAO DA BOA VISTA"/>
    <s v="SP"/>
    <n v="415715"/>
    <n v="134098"/>
    <n v="6252"/>
    <n v="350332"/>
    <n v="337819"/>
    <n v="65383"/>
    <n v="4009"/>
    <n v="0"/>
    <n v="15"/>
    <n v="0.32257195434372105"/>
    <n v="6.1315632503861857E-2"/>
  </r>
  <r>
    <x v="618"/>
    <s v="b3S"/>
    <x v="5"/>
    <n v="2"/>
    <x v="0"/>
    <s v="CAMPOS GERAIS"/>
    <s v="MG"/>
    <n v="415602"/>
    <n v="186237"/>
    <n v="12325"/>
    <n v="352624"/>
    <n v="265170"/>
    <n v="62978"/>
    <n v="2993"/>
    <n v="0"/>
    <n v="2"/>
    <n v="0.44811382043397291"/>
    <n v="4.7524532376385403E-2"/>
  </r>
  <r>
    <x v="619"/>
    <s v="b3S"/>
    <x v="5"/>
    <n v="2"/>
    <x v="0"/>
    <s v="GETULIO VARGAS"/>
    <s v="RS"/>
    <n v="411422"/>
    <n v="284444"/>
    <n v="12944"/>
    <n v="362899"/>
    <n v="221513"/>
    <n v="48524"/>
    <n v="2284"/>
    <n v="0"/>
    <n v="14"/>
    <n v="0.69136798712757219"/>
    <n v="4.7069491385706042E-2"/>
  </r>
  <r>
    <x v="620"/>
    <s v="b3S"/>
    <x v="5"/>
    <n v="2"/>
    <x v="0"/>
    <s v="GUARAMIRIM"/>
    <s v="SC"/>
    <n v="410868"/>
    <n v="257369"/>
    <n v="10296"/>
    <n v="359349"/>
    <n v="341794"/>
    <n v="51518"/>
    <n v="170"/>
    <n v="0"/>
    <n v="9"/>
    <n v="0.62640312703836754"/>
    <n v="3.299817539500757E-3"/>
  </r>
  <r>
    <x v="621"/>
    <s v="b3S"/>
    <x v="5"/>
    <n v="2"/>
    <x v="0"/>
    <s v="DOURADOS"/>
    <s v="MS"/>
    <n v="406726"/>
    <n v="248319"/>
    <n v="8425"/>
    <n v="359998"/>
    <n v="334322"/>
    <n v="46728"/>
    <n v="5159"/>
    <n v="0"/>
    <n v="7"/>
    <n v="0.61053141426906565"/>
    <n v="0.11040489642184557"/>
  </r>
  <r>
    <x v="622"/>
    <s v="n1"/>
    <x v="5"/>
    <n v="2"/>
    <x v="0"/>
    <s v="VITORIA"/>
    <s v="ES"/>
    <n v="406429"/>
    <n v="302687"/>
    <n v="41494"/>
    <n v="339618"/>
    <n v="325549"/>
    <n v="66811"/>
    <n v="1868"/>
    <n v="2"/>
    <n v="0"/>
    <n v="0.74474754508167473"/>
    <n v="2.7959467752316235E-2"/>
  </r>
  <r>
    <x v="623"/>
    <s v="b3S"/>
    <x v="5"/>
    <n v="2"/>
    <x v="0"/>
    <s v="BELO HORIZONTE"/>
    <s v="MG"/>
    <n v="406015"/>
    <n v="71972"/>
    <n v="13982"/>
    <n v="337861"/>
    <n v="329218"/>
    <n v="68154"/>
    <n v="4116"/>
    <n v="0"/>
    <n v="3"/>
    <n v="0.17726438678373951"/>
    <n v="6.0392640197200455E-2"/>
  </r>
  <r>
    <x v="624"/>
    <s v="b2"/>
    <x v="4"/>
    <n v="3"/>
    <x v="2"/>
    <s v="SAO PAULO"/>
    <s v="SP"/>
    <n v="405469"/>
    <n v="0"/>
    <n v="79017"/>
    <n v="170952"/>
    <n v="31567"/>
    <n v="234516"/>
    <n v="13167"/>
    <n v="2"/>
    <n v="0"/>
    <n v="0"/>
    <n v="5.6145422913575195E-2"/>
  </r>
  <r>
    <x v="625"/>
    <s v="b3S"/>
    <x v="5"/>
    <n v="2"/>
    <x v="0"/>
    <s v="IJUI"/>
    <s v="RS"/>
    <n v="404668"/>
    <n v="209434"/>
    <n v="12147"/>
    <n v="332092"/>
    <n v="309775"/>
    <n v="72576"/>
    <n v="9529"/>
    <n v="0"/>
    <n v="3"/>
    <n v="0.51754524696788473"/>
    <n v="0.13129684744268078"/>
  </r>
  <r>
    <x v="626"/>
    <s v="b3S"/>
    <x v="5"/>
    <n v="2"/>
    <x v="0"/>
    <s v="CRICIUMA"/>
    <s v="SC"/>
    <n v="403717"/>
    <n v="286573"/>
    <n v="11766"/>
    <n v="356058"/>
    <n v="321232"/>
    <n v="47659"/>
    <n v="-7694"/>
    <n v="0"/>
    <n v="13"/>
    <n v="0.70983634575705257"/>
    <n v="-0.16143855305398772"/>
  </r>
  <r>
    <x v="627"/>
    <s v="n4"/>
    <x v="3"/>
    <n v="3"/>
    <x v="2"/>
    <s v="SAO PAULO"/>
    <s v="SP"/>
    <n v="403505"/>
    <n v="0"/>
    <n v="81"/>
    <n v="360803"/>
    <n v="353160"/>
    <n v="42701"/>
    <n v="1851"/>
    <n v="1"/>
    <n v="0"/>
    <n v="0"/>
    <n v="4.3347930961804171E-2"/>
  </r>
  <r>
    <x v="628"/>
    <s v="b3S"/>
    <x v="5"/>
    <n v="2"/>
    <x v="0"/>
    <s v="SALVADOR"/>
    <s v="BA"/>
    <n v="403299"/>
    <n v="206744"/>
    <n v="14368"/>
    <n v="354262"/>
    <n v="345395"/>
    <n v="49037"/>
    <n v="1693"/>
    <n v="0"/>
    <n v="9"/>
    <n v="0.51263206702719322"/>
    <n v="3.452495054754573E-2"/>
  </r>
  <r>
    <x v="629"/>
    <s v="b3S"/>
    <x v="4"/>
    <n v="2"/>
    <x v="0"/>
    <s v="SAO CARLOS"/>
    <s v="SP"/>
    <n v="401988"/>
    <n v="168485"/>
    <n v="183949"/>
    <n v="367673"/>
    <n v="330872"/>
    <n v="34315"/>
    <n v="1218"/>
    <n v="0"/>
    <n v="10"/>
    <n v="0.41912942674905718"/>
    <n v="3.5494681626111031E-2"/>
  </r>
  <r>
    <x v="630"/>
    <s v="b3S"/>
    <x v="5"/>
    <n v="2"/>
    <x v="0"/>
    <s v="TIROS"/>
    <s v="MG"/>
    <n v="401948"/>
    <n v="251869"/>
    <n v="19843"/>
    <n v="351377"/>
    <n v="199115"/>
    <n v="50571"/>
    <n v="-6117"/>
    <n v="0"/>
    <n v="1"/>
    <n v="0.62662085642918985"/>
    <n v="-0.12095865219196773"/>
  </r>
  <r>
    <x v="631"/>
    <s v="b3S"/>
    <x v="5"/>
    <n v="2"/>
    <x v="0"/>
    <s v="SAO MIGUEL D'OESTE"/>
    <s v="SC"/>
    <n v="399132"/>
    <n v="235172"/>
    <n v="16066"/>
    <n v="336163"/>
    <n v="330032"/>
    <n v="62969"/>
    <n v="-1165"/>
    <n v="0"/>
    <n v="6"/>
    <n v="0.58920858262429476"/>
    <n v="-1.850116724102336E-2"/>
  </r>
  <r>
    <x v="632"/>
    <s v="n2"/>
    <x v="4"/>
    <n v="2"/>
    <x v="0"/>
    <s v="SAO PAULO"/>
    <s v="SP"/>
    <n v="398635"/>
    <n v="0"/>
    <n v="106563"/>
    <n v="137480"/>
    <n v="0"/>
    <n v="261154"/>
    <n v="55820"/>
    <n v="15"/>
    <n v="0"/>
    <n v="0"/>
    <n v="0.2137436148785774"/>
  </r>
  <r>
    <x v="633"/>
    <s v="b3S"/>
    <x v="5"/>
    <n v="2"/>
    <x v="0"/>
    <s v="FLORIANOPOLIS"/>
    <s v="SC"/>
    <n v="393977"/>
    <n v="244608"/>
    <n v="12188"/>
    <n v="332224"/>
    <n v="318760"/>
    <n v="61753"/>
    <n v="3592"/>
    <n v="0"/>
    <n v="8"/>
    <n v="0.62086873091576411"/>
    <n v="5.8167214548281054E-2"/>
  </r>
  <r>
    <x v="634"/>
    <s v="b3S"/>
    <x v="5"/>
    <n v="2"/>
    <x v="0"/>
    <s v="IRAI DE MINAS"/>
    <s v="MG"/>
    <n v="392011"/>
    <n v="133504"/>
    <n v="18791"/>
    <n v="312126"/>
    <n v="237539"/>
    <n v="79886"/>
    <n v="8326"/>
    <n v="0"/>
    <n v="0"/>
    <n v="0.34056187198828602"/>
    <n v="0.10422351851388229"/>
  </r>
  <r>
    <x v="635"/>
    <s v="b3S"/>
    <x v="5"/>
    <n v="2"/>
    <x v="0"/>
    <s v="MARECHAL CANDIDO RONDON"/>
    <s v="PR"/>
    <n v="389373"/>
    <n v="215916"/>
    <n v="25817"/>
    <n v="348804"/>
    <n v="302692"/>
    <n v="40569"/>
    <n v="43"/>
    <n v="0"/>
    <n v="10"/>
    <n v="0.55452227041936653"/>
    <n v="1.0599226010007642E-3"/>
  </r>
  <r>
    <x v="636"/>
    <s v="b3S"/>
    <x v="5"/>
    <n v="2"/>
    <x v="0"/>
    <s v="CARMO DO RIO CLARO"/>
    <s v="MG"/>
    <n v="389364"/>
    <n v="165047"/>
    <n v="11188"/>
    <n v="309457"/>
    <n v="242858"/>
    <n v="79908"/>
    <n v="1850"/>
    <n v="0"/>
    <n v="2"/>
    <n v="0.42388870054755962"/>
    <n v="2.3151624368023226E-2"/>
  </r>
  <r>
    <x v="637"/>
    <s v="b3S"/>
    <x v="4"/>
    <n v="2"/>
    <x v="0"/>
    <s v="PORTO ALEGRE"/>
    <s v="RS"/>
    <n v="388216"/>
    <n v="49986"/>
    <n v="214657"/>
    <n v="360997"/>
    <n v="317053"/>
    <n v="27219"/>
    <n v="2758"/>
    <n v="0"/>
    <n v="1"/>
    <n v="0.12875821707503041"/>
    <n v="0.10132627943715787"/>
  </r>
  <r>
    <x v="638"/>
    <s v="b3S"/>
    <x v="5"/>
    <n v="2"/>
    <x v="0"/>
    <s v="JANAUBA"/>
    <s v="MG"/>
    <n v="387732"/>
    <n v="124874"/>
    <n v="9202"/>
    <n v="308490"/>
    <n v="277530"/>
    <n v="79242"/>
    <n v="4624"/>
    <n v="0"/>
    <n v="10"/>
    <n v="0.32206266183858956"/>
    <n v="5.8352893667499559E-2"/>
  </r>
  <r>
    <x v="639"/>
    <s v="n4"/>
    <x v="3"/>
    <n v="3"/>
    <x v="2"/>
    <s v="BARUERI"/>
    <s v="SP"/>
    <n v="387181"/>
    <n v="45014"/>
    <n v="13158"/>
    <n v="345309"/>
    <n v="103674"/>
    <n v="41872"/>
    <n v="-14693"/>
    <n v="1"/>
    <n v="0"/>
    <n v="0.11626087023898383"/>
    <n v="-0.35090275124188003"/>
  </r>
  <r>
    <x v="640"/>
    <s v="b3S"/>
    <x v="5"/>
    <n v="2"/>
    <x v="0"/>
    <s v="GOIANIA"/>
    <s v="GO"/>
    <n v="385171"/>
    <n v="172237"/>
    <n v="709"/>
    <n v="351567"/>
    <n v="312201"/>
    <n v="33604"/>
    <n v="-3197"/>
    <n v="0"/>
    <n v="13"/>
    <n v="0.44717021790321704"/>
    <n v="-9.5137483632900852E-2"/>
  </r>
  <r>
    <x v="641"/>
    <s v="n1"/>
    <x v="4"/>
    <n v="2"/>
    <x v="0"/>
    <s v="DOURADINA"/>
    <s v="PR"/>
    <n v="384597"/>
    <n v="259987"/>
    <n v="78727"/>
    <n v="189910"/>
    <n v="137190"/>
    <n v="194687"/>
    <n v="20724"/>
    <n v="2"/>
    <n v="0"/>
    <n v="0.67599851272890843"/>
    <n v="0.10644778541967363"/>
  </r>
  <r>
    <x v="642"/>
    <s v="b3S"/>
    <x v="5"/>
    <n v="2"/>
    <x v="0"/>
    <s v="PATO BRANCO"/>
    <s v="PR"/>
    <n v="383568"/>
    <n v="244139"/>
    <n v="8749"/>
    <n v="343531"/>
    <n v="335760"/>
    <n v="40036"/>
    <n v="-9897"/>
    <n v="0"/>
    <n v="17"/>
    <n v="0.63649470237350347"/>
    <n v="-0.24720251773403937"/>
  </r>
  <r>
    <x v="643"/>
    <s v="b3S"/>
    <x v="4"/>
    <n v="2"/>
    <x v="0"/>
    <s v="SOUSA"/>
    <s v="PB"/>
    <n v="383223"/>
    <n v="180278"/>
    <n v="152565"/>
    <n v="300585"/>
    <n v="273121"/>
    <n v="82638"/>
    <n v="6841"/>
    <n v="0"/>
    <n v="8"/>
    <n v="0.47042583561007562"/>
    <n v="8.2782739175681894E-2"/>
  </r>
  <r>
    <x v="644"/>
    <s v="b3S"/>
    <x v="4"/>
    <n v="2"/>
    <x v="0"/>
    <s v="CARUARU"/>
    <s v="PE"/>
    <n v="383029"/>
    <n v="148235"/>
    <n v="212561"/>
    <n v="309384"/>
    <n v="278556"/>
    <n v="73645"/>
    <n v="4531"/>
    <n v="0"/>
    <n v="8"/>
    <n v="0.38700725010377807"/>
    <n v="6.1524882884106187E-2"/>
  </r>
  <r>
    <x v="645"/>
    <s v="b3S"/>
    <x v="5"/>
    <n v="2"/>
    <x v="0"/>
    <s v="QUILOMBO"/>
    <s v="SC"/>
    <n v="381553"/>
    <n v="208639"/>
    <n v="17775"/>
    <n v="321224"/>
    <n v="207678"/>
    <n v="60329"/>
    <n v="910"/>
    <n v="0"/>
    <n v="13"/>
    <n v="0.54681525240268058"/>
    <n v="1.508395630625404E-2"/>
  </r>
  <r>
    <x v="646"/>
    <s v="b3S"/>
    <x v="5"/>
    <n v="2"/>
    <x v="0"/>
    <s v="VITORIA DA CONQUISTA"/>
    <s v="BA"/>
    <n v="380829"/>
    <n v="147244"/>
    <n v="16465"/>
    <n v="311666"/>
    <n v="297408"/>
    <n v="69164"/>
    <n v="8726"/>
    <n v="0"/>
    <n v="10"/>
    <n v="0.3866407232642472"/>
    <n v="0.12616390029495114"/>
  </r>
  <r>
    <x v="647"/>
    <s v="b3S"/>
    <x v="5"/>
    <n v="2"/>
    <x v="0"/>
    <s v="ARATIBA"/>
    <s v="RS"/>
    <n v="378912"/>
    <n v="229009"/>
    <n v="15238"/>
    <n v="331658"/>
    <n v="220410"/>
    <n v="47254"/>
    <n v="2417"/>
    <n v="0"/>
    <n v="5"/>
    <n v="0.60438571488894521"/>
    <n v="5.1149109070131628E-2"/>
  </r>
  <r>
    <x v="648"/>
    <s v="b3S"/>
    <x v="5"/>
    <n v="2"/>
    <x v="0"/>
    <s v="ABELARDO LUZ"/>
    <s v="SC"/>
    <n v="378720"/>
    <n v="204680"/>
    <n v="112995"/>
    <n v="303610"/>
    <n v="289037"/>
    <n v="75110"/>
    <n v="1322"/>
    <n v="0"/>
    <n v="17"/>
    <n v="0.54045204900718213"/>
    <n v="1.7600852083610705E-2"/>
  </r>
  <r>
    <x v="649"/>
    <s v="n2"/>
    <x v="4"/>
    <n v="3"/>
    <x v="2"/>
    <s v="RIO DE JANEIRO"/>
    <s v="RJ"/>
    <n v="370283"/>
    <n v="0"/>
    <n v="206223"/>
    <n v="103678"/>
    <n v="1444"/>
    <n v="266605"/>
    <n v="22646"/>
    <n v="3"/>
    <n v="0"/>
    <n v="0"/>
    <n v="8.4942142870538806E-2"/>
  </r>
  <r>
    <x v="650"/>
    <s v="n1"/>
    <x v="5"/>
    <n v="3"/>
    <x v="2"/>
    <s v="SAO PAULO"/>
    <s v="SP"/>
    <n v="370005"/>
    <n v="45884"/>
    <n v="102552"/>
    <n v="260376"/>
    <n v="156904"/>
    <n v="109628"/>
    <n v="55"/>
    <n v="2"/>
    <n v="0"/>
    <n v="0.12400913501168903"/>
    <n v="5.0169664684204763E-4"/>
  </r>
  <r>
    <x v="651"/>
    <s v="b3S"/>
    <x v="4"/>
    <n v="2"/>
    <x v="0"/>
    <s v="ITABUNA"/>
    <s v="BA"/>
    <n v="369319"/>
    <n v="156450"/>
    <n v="149898"/>
    <n v="320017"/>
    <n v="253477"/>
    <n v="49302"/>
    <n v="793"/>
    <n v="0"/>
    <n v="7"/>
    <n v="0.42361752306271816"/>
    <n v="1.6084540180925724E-2"/>
  </r>
  <r>
    <x v="652"/>
    <s v="n1"/>
    <x v="4"/>
    <n v="1"/>
    <x v="1"/>
    <s v="MANAUS"/>
    <s v="AM"/>
    <n v="367623"/>
    <n v="36329"/>
    <n v="312303"/>
    <n v="212345"/>
    <n v="0"/>
    <n v="155278"/>
    <n v="10606"/>
    <n v="2"/>
    <n v="0"/>
    <n v="9.8821346868939106E-2"/>
    <n v="6.8303301175955386E-2"/>
  </r>
  <r>
    <x v="653"/>
    <s v="n1"/>
    <x v="5"/>
    <n v="2"/>
    <x v="0"/>
    <s v="CURITIBA"/>
    <s v="PR"/>
    <n v="367063"/>
    <n v="288262"/>
    <n v="0"/>
    <n v="285061"/>
    <n v="266487"/>
    <n v="82002"/>
    <n v="16772"/>
    <n v="2"/>
    <n v="0"/>
    <n v="0.78532023113198557"/>
    <n v="0.20453159679032218"/>
  </r>
  <r>
    <x v="654"/>
    <s v="b3S"/>
    <x v="5"/>
    <n v="2"/>
    <x v="0"/>
    <s v="GANDU"/>
    <s v="BA"/>
    <n v="365232"/>
    <n v="237219"/>
    <n v="12987"/>
    <n v="312039"/>
    <n v="283273"/>
    <n v="53192"/>
    <n v="3840"/>
    <n v="0"/>
    <n v="11"/>
    <n v="0.64950223419634645"/>
    <n v="7.2191306963453147E-2"/>
  </r>
  <r>
    <x v="655"/>
    <s v="b3S"/>
    <x v="5"/>
    <n v="2"/>
    <x v="0"/>
    <s v="PALMEIRAS DE GOIAS"/>
    <s v="GO"/>
    <n v="362440"/>
    <n v="191527"/>
    <n v="23950"/>
    <n v="255977"/>
    <n v="228955"/>
    <n v="106462"/>
    <n v="-7187"/>
    <n v="0"/>
    <n v="10"/>
    <n v="0.52843781039620352"/>
    <n v="-6.7507655313633036E-2"/>
  </r>
  <r>
    <x v="656"/>
    <s v="n4"/>
    <x v="3"/>
    <n v="2"/>
    <x v="0"/>
    <s v="RECIFE"/>
    <s v="PE"/>
    <n v="360182"/>
    <n v="0"/>
    <n v="0"/>
    <n v="346549"/>
    <n v="337999"/>
    <n v="13633"/>
    <n v="-1699"/>
    <n v="1"/>
    <n v="0"/>
    <n v="0"/>
    <n v="-0.1246240739382381"/>
  </r>
  <r>
    <x v="657"/>
    <s v="b3S"/>
    <x v="5"/>
    <n v="2"/>
    <x v="0"/>
    <s v="BRASILIA"/>
    <s v="DF"/>
    <n v="359006"/>
    <n v="130573"/>
    <n v="36251"/>
    <n v="286599"/>
    <n v="276510"/>
    <n v="72407"/>
    <n v="-59"/>
    <n v="0"/>
    <n v="8"/>
    <n v="0.36370701325326038"/>
    <n v="-8.1483834435897083E-4"/>
  </r>
  <r>
    <x v="658"/>
    <s v="n1"/>
    <x v="5"/>
    <n v="2"/>
    <x v="0"/>
    <s v="FLORIANOPOLIS"/>
    <s v="SC"/>
    <n v="358257"/>
    <n v="288407"/>
    <n v="6"/>
    <n v="218919"/>
    <n v="203839"/>
    <n v="139338"/>
    <n v="4227"/>
    <n v="6"/>
    <n v="0"/>
    <n v="0.80502823392145861"/>
    <n v="3.0336304525685743E-2"/>
  </r>
  <r>
    <x v="659"/>
    <s v="n4"/>
    <x v="3"/>
    <n v="3"/>
    <x v="2"/>
    <s v="SAO PAULO"/>
    <s v="SP"/>
    <n v="357225"/>
    <n v="0"/>
    <n v="277484"/>
    <n v="263548"/>
    <n v="97606"/>
    <n v="93677"/>
    <n v="16845"/>
    <n v="1"/>
    <n v="0"/>
    <n v="0"/>
    <n v="0.17982001985546078"/>
  </r>
  <r>
    <x v="660"/>
    <s v="b3S"/>
    <x v="5"/>
    <n v="2"/>
    <x v="0"/>
    <s v="NOVA MUTUM"/>
    <s v="MT"/>
    <n v="354967"/>
    <n v="269241"/>
    <n v="5096"/>
    <n v="317606"/>
    <n v="205589"/>
    <n v="37361"/>
    <n v="-3938"/>
    <n v="0"/>
    <n v="17"/>
    <n v="0.75849586017855186"/>
    <n v="-0.10540403094135596"/>
  </r>
  <r>
    <x v="661"/>
    <s v="b3S"/>
    <x v="5"/>
    <n v="2"/>
    <x v="0"/>
    <s v="VITOR MEIRELES"/>
    <s v="SC"/>
    <n v="353490"/>
    <n v="249888"/>
    <n v="18485"/>
    <n v="299063"/>
    <n v="159413"/>
    <n v="54426"/>
    <n v="2756"/>
    <n v="0"/>
    <n v="8"/>
    <n v="0.70691674446236108"/>
    <n v="5.0637562929482231E-2"/>
  </r>
  <r>
    <x v="662"/>
    <s v="b2"/>
    <x v="4"/>
    <n v="2"/>
    <x v="0"/>
    <s v="CURITIBA"/>
    <s v="PR"/>
    <n v="352776"/>
    <n v="0"/>
    <n v="173646"/>
    <n v="274713"/>
    <n v="149159"/>
    <n v="78063"/>
    <n v="5414"/>
    <n v="3"/>
    <n v="0"/>
    <n v="0"/>
    <n v="6.9354239524486633E-2"/>
  </r>
  <r>
    <x v="663"/>
    <s v="b3S"/>
    <x v="4"/>
    <n v="2"/>
    <x v="0"/>
    <s v="CURITIBA"/>
    <s v="PR"/>
    <n v="352468"/>
    <n v="128232"/>
    <n v="200751"/>
    <n v="319935"/>
    <n v="286930"/>
    <n v="32533"/>
    <n v="3544"/>
    <n v="0"/>
    <n v="5"/>
    <n v="0.36381175028655083"/>
    <n v="0.10893554237236037"/>
  </r>
  <r>
    <x v="664"/>
    <s v="b3S"/>
    <x v="5"/>
    <n v="2"/>
    <x v="0"/>
    <s v="BAMBUI"/>
    <s v="MG"/>
    <n v="352106"/>
    <n v="113662"/>
    <n v="8823"/>
    <n v="283231"/>
    <n v="250826"/>
    <n v="68874"/>
    <n v="5401"/>
    <n v="0"/>
    <n v="3"/>
    <n v="0.32280620040555968"/>
    <n v="7.8418561431018968E-2"/>
  </r>
  <r>
    <x v="665"/>
    <s v="n1"/>
    <x v="4"/>
    <n v="2"/>
    <x v="0"/>
    <s v="MONTE BELO"/>
    <s v="MG"/>
    <n v="351933"/>
    <n v="254"/>
    <n v="287610"/>
    <n v="305485"/>
    <n v="248814"/>
    <n v="46448"/>
    <n v="503"/>
    <n v="3"/>
    <n v="0"/>
    <n v="7.217282835085087E-4"/>
    <n v="1.0829314502239062E-2"/>
  </r>
  <r>
    <x v="666"/>
    <s v="b3S"/>
    <x v="5"/>
    <n v="2"/>
    <x v="0"/>
    <s v="PORTO ALEGRE"/>
    <s v="RS"/>
    <n v="351349"/>
    <n v="103767"/>
    <n v="5563"/>
    <n v="316455"/>
    <n v="284970"/>
    <n v="34894"/>
    <n v="5600"/>
    <n v="0"/>
    <n v="1"/>
    <n v="0.2953388226521208"/>
    <n v="0.16048604344586462"/>
  </r>
  <r>
    <x v="667"/>
    <s v="n4"/>
    <x v="4"/>
    <n v="2"/>
    <x v="0"/>
    <s v="PALHOCA"/>
    <s v="SC"/>
    <n v="346363"/>
    <n v="203899"/>
    <n v="72366"/>
    <n v="251084"/>
    <n v="6734"/>
    <n v="95279"/>
    <n v="-1496"/>
    <n v="1"/>
    <n v="0"/>
    <n v="0.58868585847795518"/>
    <n v="-1.5701256310414677E-2"/>
  </r>
  <r>
    <x v="668"/>
    <s v="b1"/>
    <x v="4"/>
    <n v="3"/>
    <x v="2"/>
    <s v="SAO PAULO"/>
    <s v="SP"/>
    <n v="345614"/>
    <n v="0"/>
    <n v="119807"/>
    <n v="108230"/>
    <n v="28003"/>
    <n v="237385"/>
    <n v="19515"/>
    <n v="4"/>
    <n v="0"/>
    <n v="0"/>
    <n v="8.2208227141563284E-2"/>
  </r>
  <r>
    <x v="669"/>
    <s v="n4"/>
    <x v="3"/>
    <n v="3"/>
    <x v="2"/>
    <s v="SAO PAULO"/>
    <s v="SP"/>
    <n v="342801"/>
    <n v="0"/>
    <n v="0"/>
    <n v="251590"/>
    <n v="194284"/>
    <n v="91211"/>
    <n v="1897"/>
    <n v="1"/>
    <n v="0"/>
    <n v="0"/>
    <n v="2.0797930074223505E-2"/>
  </r>
  <r>
    <x v="670"/>
    <s v="b3S"/>
    <x v="5"/>
    <n v="2"/>
    <x v="0"/>
    <s v="ARAPONGAS"/>
    <s v="PR"/>
    <n v="341705"/>
    <n v="166712"/>
    <n v="6044"/>
    <n v="302559"/>
    <n v="286431"/>
    <n v="39146"/>
    <n v="3660"/>
    <n v="0"/>
    <n v="7"/>
    <n v="0.48788282290279628"/>
    <n v="9.349614264548102E-2"/>
  </r>
  <r>
    <x v="671"/>
    <s v="b3S"/>
    <x v="5"/>
    <n v="2"/>
    <x v="0"/>
    <s v="CAMPINA VERDE"/>
    <s v="MG"/>
    <n v="340770"/>
    <n v="222021"/>
    <n v="13914"/>
    <n v="292341"/>
    <n v="185140"/>
    <n v="48429"/>
    <n v="3149"/>
    <n v="0"/>
    <n v="1"/>
    <n v="0.65152742318866097"/>
    <n v="6.5023023395073196E-2"/>
  </r>
  <r>
    <x v="672"/>
    <s v="n4"/>
    <x v="3"/>
    <n v="2"/>
    <x v="0"/>
    <s v="FORTALEZA"/>
    <s v="CE"/>
    <n v="340340"/>
    <n v="0"/>
    <n v="144677"/>
    <n v="274037"/>
    <n v="111168"/>
    <n v="66303"/>
    <n v="-44658"/>
    <n v="1"/>
    <n v="0"/>
    <n v="0"/>
    <n v="-0.67354418352110768"/>
  </r>
  <r>
    <x v="673"/>
    <s v="b3S"/>
    <x v="5"/>
    <n v="2"/>
    <x v="0"/>
    <s v="CACADOR"/>
    <s v="SC"/>
    <n v="339655"/>
    <n v="184257"/>
    <n v="4548"/>
    <n v="311207"/>
    <n v="292246"/>
    <n v="28448"/>
    <n v="68"/>
    <n v="0"/>
    <n v="8"/>
    <n v="0.54248281344305249"/>
    <n v="2.3903262092238469E-3"/>
  </r>
  <r>
    <x v="674"/>
    <s v="b3S"/>
    <x v="5"/>
    <n v="2"/>
    <x v="0"/>
    <s v="BARRA BONITA"/>
    <s v="SP"/>
    <n v="337722"/>
    <n v="198122"/>
    <n v="88821"/>
    <n v="26660"/>
    <n v="0"/>
    <n v="311062"/>
    <n v="19192"/>
    <n v="0"/>
    <n v="0"/>
    <n v="0.58664226790081786"/>
    <n v="6.1698310947656737E-2"/>
  </r>
  <r>
    <x v="675"/>
    <s v="b3S"/>
    <x v="5"/>
    <n v="2"/>
    <x v="0"/>
    <s v="RIBEIRAO PRETO"/>
    <s v="SP"/>
    <n v="337262"/>
    <n v="171995"/>
    <n v="157265"/>
    <n v="288493"/>
    <n v="277721"/>
    <n v="48769"/>
    <n v="1599"/>
    <n v="0"/>
    <n v="7"/>
    <n v="0.50997444123559721"/>
    <n v="3.2787221390637493E-2"/>
  </r>
  <r>
    <x v="676"/>
    <s v="n1"/>
    <x v="5"/>
    <n v="2"/>
    <x v="0"/>
    <s v="VITORIA"/>
    <s v="ES"/>
    <n v="336903"/>
    <n v="40089"/>
    <n v="50891"/>
    <n v="237218"/>
    <n v="140462"/>
    <n v="99685"/>
    <n v="28286"/>
    <n v="2"/>
    <n v="0"/>
    <n v="0.11899270709966964"/>
    <n v="0.28375382454732406"/>
  </r>
  <r>
    <x v="677"/>
    <s v="n1"/>
    <x v="4"/>
    <n v="1"/>
    <x v="1"/>
    <s v="GOIANIA"/>
    <s v="GO"/>
    <n v="336749"/>
    <n v="144825"/>
    <n v="164777"/>
    <n v="124004"/>
    <n v="96980"/>
    <n v="212745"/>
    <n v="1046"/>
    <n v="2"/>
    <n v="0"/>
    <n v="0.43006809225862586"/>
    <n v="4.9166842934029002E-3"/>
  </r>
  <r>
    <x v="678"/>
    <s v="b3S"/>
    <x v="5"/>
    <n v="2"/>
    <x v="0"/>
    <s v="PIRAPORA"/>
    <s v="MG"/>
    <n v="335236"/>
    <n v="199638"/>
    <n v="6208"/>
    <n v="295427"/>
    <n v="251242"/>
    <n v="39809"/>
    <n v="3813"/>
    <n v="0"/>
    <n v="6"/>
    <n v="0.59551480151296399"/>
    <n v="9.578236077268959E-2"/>
  </r>
  <r>
    <x v="679"/>
    <s v="b3S"/>
    <x v="5"/>
    <n v="2"/>
    <x v="0"/>
    <s v="CONCORDIA"/>
    <s v="SC"/>
    <n v="333262"/>
    <n v="231698"/>
    <n v="9821"/>
    <n v="298928"/>
    <n v="208961"/>
    <n v="34334"/>
    <n v="-154"/>
    <n v="0"/>
    <n v="9"/>
    <n v="0.6952427819553384"/>
    <n v="-4.4853497990330286E-3"/>
  </r>
  <r>
    <x v="680"/>
    <s v="n1"/>
    <x v="5"/>
    <n v="3"/>
    <x v="2"/>
    <s v="BELO HORIZONTE"/>
    <s v="MG"/>
    <n v="329953"/>
    <n v="0"/>
    <n v="219806"/>
    <n v="259793"/>
    <n v="234955"/>
    <n v="70160"/>
    <n v="16759"/>
    <n v="2"/>
    <n v="0"/>
    <n v="0"/>
    <n v="0.23886830102622578"/>
  </r>
  <r>
    <x v="681"/>
    <s v="n2"/>
    <x v="4"/>
    <n v="2"/>
    <x v="0"/>
    <s v="RIO DE JANEIRO"/>
    <s v="RJ"/>
    <n v="324282"/>
    <n v="0"/>
    <n v="283338"/>
    <n v="120805"/>
    <n v="27168"/>
    <n v="203477"/>
    <n v="5235"/>
    <n v="2"/>
    <n v="0"/>
    <n v="0"/>
    <n v="2.5727723526491938E-2"/>
  </r>
  <r>
    <x v="682"/>
    <s v="n1"/>
    <x v="5"/>
    <n v="2"/>
    <x v="0"/>
    <s v="CURITIBA"/>
    <s v="PR"/>
    <n v="323831"/>
    <n v="370"/>
    <n v="313730"/>
    <n v="310691"/>
    <n v="305517"/>
    <n v="13140"/>
    <n v="1071"/>
    <n v="2"/>
    <n v="0"/>
    <n v="1.1425712794636709E-3"/>
    <n v="8.1506849315068491E-2"/>
  </r>
  <r>
    <x v="683"/>
    <s v="b3S"/>
    <x v="5"/>
    <n v="2"/>
    <x v="0"/>
    <s v="UBERABA"/>
    <s v="MG"/>
    <n v="321735"/>
    <n v="144447"/>
    <n v="10197"/>
    <n v="288534"/>
    <n v="259601"/>
    <n v="33201"/>
    <n v="-2526"/>
    <n v="0"/>
    <n v="4"/>
    <n v="0.44896265560165977"/>
    <n v="-7.6082045721514419E-2"/>
  </r>
  <r>
    <x v="684"/>
    <s v="b3S"/>
    <x v="5"/>
    <n v="2"/>
    <x v="0"/>
    <s v="BRASILIA"/>
    <s v="DF"/>
    <n v="318594"/>
    <n v="129551"/>
    <n v="32939"/>
    <n v="252018"/>
    <n v="246964"/>
    <n v="66576"/>
    <n v="1814"/>
    <n v="0"/>
    <n v="12"/>
    <n v="0.4066335210330389"/>
    <n v="2.7247055996154769E-2"/>
  </r>
  <r>
    <x v="685"/>
    <s v="b3S"/>
    <x v="5"/>
    <n v="2"/>
    <x v="0"/>
    <s v="PACAJA"/>
    <s v="PA"/>
    <n v="316584"/>
    <n v="187566"/>
    <n v="0"/>
    <n v="285155"/>
    <n v="241811"/>
    <n v="31429"/>
    <n v="559"/>
    <n v="0"/>
    <n v="12"/>
    <n v="0.59246834963232509"/>
    <n v="1.7786121098348658E-2"/>
  </r>
  <r>
    <x v="686"/>
    <s v="n4"/>
    <x v="3"/>
    <n v="3"/>
    <x v="2"/>
    <s v="SAO PAULO"/>
    <s v="SP"/>
    <n v="313643"/>
    <n v="0"/>
    <n v="277906"/>
    <n v="223344"/>
    <n v="187735"/>
    <n v="90299"/>
    <n v="11231"/>
    <n v="1"/>
    <n v="0"/>
    <n v="0"/>
    <n v="0.12437568522353515"/>
  </r>
  <r>
    <x v="687"/>
    <s v="n2"/>
    <x v="4"/>
    <n v="2"/>
    <x v="0"/>
    <s v="SAO PAULO"/>
    <s v="SP"/>
    <n v="313564"/>
    <n v="0"/>
    <n v="41210"/>
    <n v="211832"/>
    <n v="186509"/>
    <n v="101732"/>
    <n v="14035"/>
    <n v="4"/>
    <n v="0"/>
    <n v="0"/>
    <n v="0.13796052372901349"/>
  </r>
  <r>
    <x v="688"/>
    <s v="b3S"/>
    <x v="5"/>
    <n v="2"/>
    <x v="0"/>
    <s v="CASCA"/>
    <s v="RS"/>
    <n v="311237"/>
    <n v="206357"/>
    <n v="6355"/>
    <n v="275279"/>
    <n v="265111"/>
    <n v="35958"/>
    <n v="293"/>
    <n v="0"/>
    <n v="4"/>
    <n v="0.66302206999810431"/>
    <n v="8.1483953501307084E-3"/>
  </r>
  <r>
    <x v="689"/>
    <s v="b3S"/>
    <x v="5"/>
    <n v="2"/>
    <x v="0"/>
    <s v="GOIANIA"/>
    <s v="GO"/>
    <n v="308899"/>
    <n v="112940"/>
    <n v="23584"/>
    <n v="241409"/>
    <n v="232005"/>
    <n v="67490"/>
    <n v="2228"/>
    <n v="0"/>
    <n v="2"/>
    <n v="0.36562112535165214"/>
    <n v="3.301229811823974E-2"/>
  </r>
  <r>
    <x v="690"/>
    <s v="n1"/>
    <x v="4"/>
    <n v="2"/>
    <x v="0"/>
    <s v="SAO PAULO"/>
    <s v="SP"/>
    <n v="307150"/>
    <n v="0"/>
    <n v="176499"/>
    <n v="313585"/>
    <n v="171975"/>
    <n v="-6435"/>
    <n v="-32514"/>
    <n v="5"/>
    <n v="0"/>
    <n v="0"/>
    <n v="5.0526806526806523"/>
  </r>
  <r>
    <x v="691"/>
    <s v="b3S"/>
    <x v="5"/>
    <n v="2"/>
    <x v="0"/>
    <s v="VAZANTE"/>
    <s v="MG"/>
    <n v="307124"/>
    <n v="139964"/>
    <n v="8812"/>
    <n v="252748"/>
    <n v="230196"/>
    <n v="54376"/>
    <n v="-4121"/>
    <n v="0"/>
    <n v="4"/>
    <n v="0.45572472356442351"/>
    <n v="-7.5787111961159337E-2"/>
  </r>
  <r>
    <x v="692"/>
    <s v="b3S"/>
    <x v="5"/>
    <n v="2"/>
    <x v="0"/>
    <s v="JATAI"/>
    <s v="GO"/>
    <n v="305596"/>
    <n v="194060"/>
    <n v="2684"/>
    <n v="263101"/>
    <n v="252512"/>
    <n v="42494"/>
    <n v="-667"/>
    <n v="0"/>
    <n v="5"/>
    <n v="0.63502140080367542"/>
    <n v="-1.5696333600037651E-2"/>
  </r>
  <r>
    <x v="693"/>
    <s v="n4"/>
    <x v="3"/>
    <n v="3"/>
    <x v="2"/>
    <s v="BARUERI"/>
    <s v="SP"/>
    <n v="303537"/>
    <n v="0"/>
    <n v="5810"/>
    <n v="285027"/>
    <n v="271125"/>
    <n v="18509"/>
    <n v="4736"/>
    <n v="1"/>
    <n v="0"/>
    <n v="0"/>
    <n v="0.25587552001728886"/>
  </r>
  <r>
    <x v="694"/>
    <s v="b3S"/>
    <x v="5"/>
    <n v="2"/>
    <x v="0"/>
    <s v="ITAJUBA"/>
    <s v="MG"/>
    <n v="302580"/>
    <n v="127758"/>
    <n v="4730"/>
    <n v="277261"/>
    <n v="268803"/>
    <n v="25319"/>
    <n v="317"/>
    <n v="0"/>
    <n v="9"/>
    <n v="0.42222883204441802"/>
    <n v="1.2520241715707571E-2"/>
  </r>
  <r>
    <x v="695"/>
    <s v="b3S"/>
    <x v="5"/>
    <n v="2"/>
    <x v="0"/>
    <s v="CORONEL MARTINS"/>
    <s v="SC"/>
    <n v="302467"/>
    <n v="206994"/>
    <n v="9362"/>
    <n v="265874"/>
    <n v="161157"/>
    <n v="36593"/>
    <n v="1341"/>
    <n v="0"/>
    <n v="11"/>
    <n v="0.68435234256960265"/>
    <n v="3.6646353127647364E-2"/>
  </r>
  <r>
    <x v="696"/>
    <s v="b3S"/>
    <x v="5"/>
    <n v="2"/>
    <x v="0"/>
    <s v="BRASILIA"/>
    <s v="DF"/>
    <n v="302424"/>
    <n v="153006"/>
    <n v="23328"/>
    <n v="248812"/>
    <n v="242179"/>
    <n v="53612"/>
    <n v="2527"/>
    <n v="0"/>
    <n v="8"/>
    <n v="0.5059320688834219"/>
    <n v="4.713496978288443E-2"/>
  </r>
  <r>
    <x v="697"/>
    <s v="b3S"/>
    <x v="5"/>
    <n v="2"/>
    <x v="0"/>
    <s v="SAO VALENTIM"/>
    <s v="RS"/>
    <n v="301387"/>
    <n v="194182"/>
    <n v="12203"/>
    <n v="267496"/>
    <n v="177283"/>
    <n v="33891"/>
    <n v="-325"/>
    <n v="0"/>
    <n v="14"/>
    <n v="0.64429454488747029"/>
    <n v="-9.5895665515918684E-3"/>
  </r>
  <r>
    <x v="698"/>
    <s v="n4"/>
    <x v="3"/>
    <n v="3"/>
    <x v="2"/>
    <s v="SAO PAULO"/>
    <s v="SP"/>
    <n v="299784"/>
    <n v="0"/>
    <n v="20367"/>
    <n v="231694"/>
    <n v="229364"/>
    <n v="68090"/>
    <n v="9075"/>
    <n v="1"/>
    <n v="0"/>
    <n v="0"/>
    <n v="0.1332794830371567"/>
  </r>
  <r>
    <x v="699"/>
    <s v="b3S"/>
    <x v="5"/>
    <n v="2"/>
    <x v="0"/>
    <s v="BELO HORIZONTE"/>
    <s v="MG"/>
    <n v="295543"/>
    <n v="85519"/>
    <n v="22643"/>
    <n v="205165"/>
    <n v="191202"/>
    <n v="90377"/>
    <n v="4772"/>
    <n v="0"/>
    <n v="0"/>
    <n v="0.28936229245828865"/>
    <n v="5.2801044513537738E-2"/>
  </r>
  <r>
    <x v="700"/>
    <s v="b3S"/>
    <x v="5"/>
    <n v="2"/>
    <x v="0"/>
    <s v="VALPARAISO"/>
    <s v="SP"/>
    <n v="293113"/>
    <n v="83868"/>
    <n v="22012"/>
    <n v="243673"/>
    <n v="205153"/>
    <n v="49440"/>
    <n v="2520"/>
    <n v="0"/>
    <n v="7"/>
    <n v="0.28612855792817105"/>
    <n v="5.0970873786407765E-2"/>
  </r>
  <r>
    <x v="701"/>
    <s v="b3S"/>
    <x v="5"/>
    <n v="2"/>
    <x v="0"/>
    <s v="BRASILIA"/>
    <s v="DF"/>
    <n v="292898"/>
    <n v="125496"/>
    <n v="67961"/>
    <n v="159770"/>
    <n v="151232"/>
    <n v="133127"/>
    <n v="4740"/>
    <n v="0"/>
    <n v="5"/>
    <n v="0.42846315099454418"/>
    <n v="3.56050988905331E-2"/>
  </r>
  <r>
    <x v="702"/>
    <s v="b3S"/>
    <x v="5"/>
    <n v="2"/>
    <x v="0"/>
    <s v="BOM SUCESSO"/>
    <s v="MG"/>
    <n v="288716"/>
    <n v="79438"/>
    <n v="4648"/>
    <n v="246072"/>
    <n v="240666"/>
    <n v="42644"/>
    <n v="4792"/>
    <n v="0"/>
    <n v="6"/>
    <n v="0.27514235442441709"/>
    <n v="0.11237219773004409"/>
  </r>
  <r>
    <x v="703"/>
    <s v="b3S"/>
    <x v="5"/>
    <n v="2"/>
    <x v="0"/>
    <s v="ARCOS"/>
    <s v="MG"/>
    <n v="282660"/>
    <n v="88682"/>
    <n v="5662"/>
    <n v="236822"/>
    <n v="231867"/>
    <n v="45838"/>
    <n v="4861"/>
    <n v="0"/>
    <n v="2"/>
    <n v="0.3137408901153329"/>
    <n v="0.10604738426632924"/>
  </r>
  <r>
    <x v="704"/>
    <s v="n1"/>
    <x v="4"/>
    <n v="2"/>
    <x v="0"/>
    <s v="SOROCABA"/>
    <s v="SP"/>
    <n v="281533"/>
    <n v="1334"/>
    <n v="67"/>
    <n v="258222"/>
    <n v="130001"/>
    <n v="23312"/>
    <n v="9946"/>
    <n v="2"/>
    <n v="0"/>
    <n v="4.7383432848014263E-3"/>
    <n v="0.42664722031571722"/>
  </r>
  <r>
    <x v="705"/>
    <s v="b3S"/>
    <x v="5"/>
    <n v="2"/>
    <x v="0"/>
    <s v="BELO HORIZONTE"/>
    <s v="MG"/>
    <n v="280266"/>
    <n v="108471"/>
    <n v="11723"/>
    <n v="197173"/>
    <n v="188662"/>
    <n v="83093"/>
    <n v="3008"/>
    <n v="0"/>
    <n v="4"/>
    <n v="0.38702875125773373"/>
    <n v="3.6200401959250478E-2"/>
  </r>
  <r>
    <x v="706"/>
    <s v="b3S"/>
    <x v="5"/>
    <n v="2"/>
    <x v="0"/>
    <s v="RIO DE JANEIRO"/>
    <s v="RJ"/>
    <n v="279597"/>
    <n v="84150"/>
    <n v="11461"/>
    <n v="224787"/>
    <n v="209516"/>
    <n v="54810"/>
    <n v="1375"/>
    <n v="0"/>
    <n v="7"/>
    <n v="0.30096889451603559"/>
    <n v="2.5086663017697502E-2"/>
  </r>
  <r>
    <x v="707"/>
    <s v="b3S"/>
    <x v="5"/>
    <n v="2"/>
    <x v="0"/>
    <s v="SAO JOSE DOS CAMPOS"/>
    <s v="SP"/>
    <n v="278960"/>
    <n v="157082"/>
    <n v="105331"/>
    <n v="124494"/>
    <n v="107071"/>
    <n v="154466"/>
    <n v="3592"/>
    <n v="0"/>
    <n v="19"/>
    <n v="0.56309865213650701"/>
    <n v="2.3254308391490685E-2"/>
  </r>
  <r>
    <x v="708"/>
    <s v="n4"/>
    <x v="3"/>
    <n v="3"/>
    <x v="2"/>
    <s v="JOINVILLE"/>
    <s v="SC"/>
    <n v="276139"/>
    <n v="0"/>
    <n v="746"/>
    <n v="262403"/>
    <n v="257618"/>
    <n v="13735"/>
    <n v="3944"/>
    <n v="1"/>
    <n v="0"/>
    <n v="0"/>
    <n v="0.28714961776483439"/>
  </r>
  <r>
    <x v="709"/>
    <s v="b3S"/>
    <x v="5"/>
    <n v="2"/>
    <x v="0"/>
    <s v="SAO PAULO"/>
    <s v="SP"/>
    <n v="274055"/>
    <n v="174611"/>
    <n v="51750"/>
    <n v="203523"/>
    <n v="182302"/>
    <n v="70531"/>
    <n v="3262"/>
    <n v="0"/>
    <n v="20"/>
    <n v="0.63713853058692593"/>
    <n v="4.624916703293587E-2"/>
  </r>
  <r>
    <x v="710"/>
    <s v="b3S"/>
    <x v="5"/>
    <n v="2"/>
    <x v="0"/>
    <s v="ESMERALDAS"/>
    <s v="MG"/>
    <n v="273931"/>
    <n v="94719"/>
    <n v="4163"/>
    <n v="243270"/>
    <n v="234019"/>
    <n v="30661"/>
    <n v="4826"/>
    <n v="0"/>
    <n v="13"/>
    <n v="0.34577685621561632"/>
    <n v="0.15739864975049739"/>
  </r>
  <r>
    <x v="711"/>
    <s v="b3S"/>
    <x v="5"/>
    <n v="2"/>
    <x v="0"/>
    <s v="BRASILIA"/>
    <s v="DF"/>
    <n v="273536"/>
    <n v="123460"/>
    <n v="16648"/>
    <n v="231904"/>
    <n v="226426"/>
    <n v="41632"/>
    <n v="4438"/>
    <n v="0"/>
    <n v="1"/>
    <n v="0.45134826860084232"/>
    <n v="0.10660069177555727"/>
  </r>
  <r>
    <x v="712"/>
    <s v="n1"/>
    <x v="4"/>
    <n v="2"/>
    <x v="0"/>
    <s v="DOIS IRMAOS"/>
    <s v="RS"/>
    <n v="273336"/>
    <n v="220576"/>
    <n v="0"/>
    <n v="245528"/>
    <n v="205094"/>
    <n v="27809"/>
    <n v="-19163"/>
    <n v="2"/>
    <n v="0"/>
    <n v="0.80697749290250831"/>
    <n v="-0.68909345895213781"/>
  </r>
  <r>
    <x v="713"/>
    <s v="n4"/>
    <x v="3"/>
    <n v="2"/>
    <x v="0"/>
    <s v="SAO PAULO"/>
    <s v="SP"/>
    <n v="271996"/>
    <n v="0"/>
    <n v="217707"/>
    <n v="241918"/>
    <n v="125515"/>
    <n v="30079"/>
    <n v="7368"/>
    <n v="1"/>
    <n v="0"/>
    <n v="0"/>
    <n v="0.2449549519598391"/>
  </r>
  <r>
    <x v="714"/>
    <s v="n1"/>
    <x v="4"/>
    <n v="2"/>
    <x v="0"/>
    <s v="SAO PAULO"/>
    <s v="SP"/>
    <n v="270058"/>
    <n v="209533"/>
    <n v="7435"/>
    <n v="230499"/>
    <n v="217912"/>
    <n v="39559"/>
    <n v="1118"/>
    <n v="2"/>
    <n v="0"/>
    <n v="0.77588147731228108"/>
    <n v="2.8261583963194215E-2"/>
  </r>
  <r>
    <x v="715"/>
    <s v="n1"/>
    <x v="4"/>
    <n v="2"/>
    <x v="0"/>
    <s v="SAO PAULO"/>
    <s v="SP"/>
    <n v="268484"/>
    <n v="29466"/>
    <n v="0"/>
    <n v="141609"/>
    <n v="0"/>
    <n v="126874"/>
    <n v="11208"/>
    <n v="1"/>
    <n v="0"/>
    <n v="0.1097495567706083"/>
    <n v="8.8339612528965744E-2"/>
  </r>
  <r>
    <x v="716"/>
    <s v="b3S"/>
    <x v="5"/>
    <n v="2"/>
    <x v="0"/>
    <s v="ABDON BATISTA"/>
    <s v="SC"/>
    <n v="267384"/>
    <n v="131257"/>
    <n v="5515"/>
    <n v="223991"/>
    <n v="189250"/>
    <n v="43393"/>
    <n v="1668"/>
    <n v="0"/>
    <n v="5"/>
    <n v="0.49089324716512583"/>
    <n v="3.8439379623441572E-2"/>
  </r>
  <r>
    <x v="717"/>
    <s v="b3S"/>
    <x v="5"/>
    <n v="2"/>
    <x v="0"/>
    <s v="ITAPAGIPE"/>
    <s v="MG"/>
    <n v="265258"/>
    <n v="127869"/>
    <n v="8998"/>
    <n v="208729"/>
    <n v="138049"/>
    <n v="56529"/>
    <n v="3947"/>
    <n v="0"/>
    <n v="0"/>
    <n v="0.4820552066290178"/>
    <n v="6.9822568946912203E-2"/>
  </r>
  <r>
    <x v="718"/>
    <s v="n4"/>
    <x v="3"/>
    <n v="2"/>
    <x v="0"/>
    <s v="SAO PAULO"/>
    <s v="SP"/>
    <n v="259578"/>
    <n v="0"/>
    <n v="2269"/>
    <n v="227474"/>
    <n v="51474"/>
    <n v="32104"/>
    <n v="23216"/>
    <n v="1"/>
    <n v="0"/>
    <n v="0"/>
    <n v="0.72314976326937452"/>
  </r>
  <r>
    <x v="719"/>
    <s v="n1"/>
    <x v="4"/>
    <n v="1"/>
    <x v="1"/>
    <s v="CUIABA"/>
    <s v="MT"/>
    <n v="258298"/>
    <n v="129320"/>
    <n v="110331"/>
    <n v="32121"/>
    <n v="25422"/>
    <n v="226177"/>
    <n v="-387"/>
    <n v="1"/>
    <n v="0"/>
    <n v="0.50066202603194765"/>
    <n v="-1.7110493109378938E-3"/>
  </r>
  <r>
    <x v="720"/>
    <s v="b3S"/>
    <x v="5"/>
    <n v="2"/>
    <x v="0"/>
    <s v="SANTA CRUZ DAS PALMEIRAS"/>
    <s v="SP"/>
    <n v="257638"/>
    <n v="132261"/>
    <n v="86986"/>
    <n v="223361"/>
    <n v="207939"/>
    <n v="34277"/>
    <n v="-2566"/>
    <n v="0"/>
    <n v="3"/>
    <n v="0.51335983045979239"/>
    <n v="-7.4860693759663921E-2"/>
  </r>
  <r>
    <x v="721"/>
    <s v="n1"/>
    <x v="5"/>
    <n v="3"/>
    <x v="2"/>
    <s v="CAMPINAS"/>
    <s v="SP"/>
    <n v="257254"/>
    <n v="189581"/>
    <n v="0"/>
    <n v="61376"/>
    <n v="0"/>
    <n v="195878"/>
    <n v="47935"/>
    <n v="2"/>
    <n v="0"/>
    <n v="0.73694092220140406"/>
    <n v="0.24471865140546667"/>
  </r>
  <r>
    <x v="722"/>
    <s v="b3S"/>
    <x v="5"/>
    <n v="2"/>
    <x v="0"/>
    <s v="MAIRI"/>
    <s v="BA"/>
    <n v="257250"/>
    <n v="87995"/>
    <n v="23539"/>
    <n v="220460"/>
    <n v="212255"/>
    <n v="36790"/>
    <n v="3156"/>
    <n v="0"/>
    <n v="11"/>
    <n v="0.34206025267249757"/>
    <n v="8.5784180483827133E-2"/>
  </r>
  <r>
    <x v="723"/>
    <s v="b1"/>
    <x v="4"/>
    <n v="3"/>
    <x v="2"/>
    <s v="SAO PAULO"/>
    <s v="SP"/>
    <n v="254946"/>
    <n v="0"/>
    <n v="8155"/>
    <n v="50341"/>
    <n v="0"/>
    <n v="204605"/>
    <n v="4000"/>
    <n v="4"/>
    <n v="0"/>
    <n v="0"/>
    <n v="1.9549864372815914E-2"/>
  </r>
  <r>
    <x v="724"/>
    <s v="b3S"/>
    <x v="5"/>
    <n v="2"/>
    <x v="0"/>
    <s v="CHAPADA GAUCHA"/>
    <s v="MG"/>
    <n v="254323"/>
    <n v="168817"/>
    <n v="5638"/>
    <n v="209068"/>
    <n v="128450"/>
    <n v="45255"/>
    <n v="2141"/>
    <n v="0"/>
    <n v="7"/>
    <n v="0.66378974768306442"/>
    <n v="4.7309689537067726E-2"/>
  </r>
  <r>
    <x v="725"/>
    <s v="n4"/>
    <x v="3"/>
    <n v="3"/>
    <x v="2"/>
    <s v="CURITIBA"/>
    <s v="PR"/>
    <n v="253487"/>
    <n v="0"/>
    <n v="0"/>
    <n v="236535"/>
    <n v="226704"/>
    <n v="16953"/>
    <n v="4122"/>
    <n v="1"/>
    <n v="0"/>
    <n v="0"/>
    <n v="0.24314280658290569"/>
  </r>
  <r>
    <x v="726"/>
    <s v="b3S"/>
    <x v="5"/>
    <n v="2"/>
    <x v="0"/>
    <s v="NATAL"/>
    <s v="RN"/>
    <n v="252687"/>
    <n v="131461"/>
    <n v="13478"/>
    <n v="223187"/>
    <n v="212632"/>
    <n v="29500"/>
    <n v="-5000"/>
    <n v="0"/>
    <n v="5"/>
    <n v="0.52025232797888299"/>
    <n v="-0.16949152542372881"/>
  </r>
  <r>
    <x v="727"/>
    <s v="b3S"/>
    <x v="5"/>
    <n v="2"/>
    <x v="0"/>
    <s v="RIO FORTUNA"/>
    <s v="SC"/>
    <n v="248599"/>
    <n v="168713"/>
    <n v="6138"/>
    <n v="212091"/>
    <n v="145750"/>
    <n v="36507"/>
    <n v="3400"/>
    <n v="0"/>
    <n v="5"/>
    <n v="0.67865518364916999"/>
    <n v="9.3132823842002901E-2"/>
  </r>
  <r>
    <x v="728"/>
    <s v="n1"/>
    <x v="5"/>
    <n v="2"/>
    <x v="0"/>
    <s v="JUNDIAI"/>
    <s v="SP"/>
    <n v="248498"/>
    <n v="126012"/>
    <n v="80287"/>
    <n v="212564"/>
    <n v="207421"/>
    <n v="35934"/>
    <n v="-1236"/>
    <n v="4"/>
    <n v="0"/>
    <n v="0.50709462450402021"/>
    <n v="-3.4396393387877776E-2"/>
  </r>
  <r>
    <x v="729"/>
    <s v="b3S"/>
    <x v="5"/>
    <n v="2"/>
    <x v="0"/>
    <s v="BELEM"/>
    <s v="PA"/>
    <n v="247060"/>
    <n v="105286"/>
    <n v="14059"/>
    <n v="163384"/>
    <n v="151697"/>
    <n v="83676"/>
    <n v="3850"/>
    <n v="0"/>
    <n v="0"/>
    <n v="0.426155589735287"/>
    <n v="4.6010803575696736E-2"/>
  </r>
  <r>
    <x v="730"/>
    <s v="b3C"/>
    <x v="4"/>
    <n v="2"/>
    <x v="0"/>
    <s v="JOAO PESSOA"/>
    <s v="PB"/>
    <n v="246440"/>
    <n v="0"/>
    <n v="170597"/>
    <n v="98193"/>
    <n v="0"/>
    <n v="148246"/>
    <n v="747"/>
    <n v="0"/>
    <n v="0"/>
    <n v="0"/>
    <n v="5.0389217921562807E-3"/>
  </r>
  <r>
    <x v="731"/>
    <s v="b3S"/>
    <x v="5"/>
    <n v="2"/>
    <x v="0"/>
    <s v="CAMPINA GRANDE"/>
    <s v="PB"/>
    <n v="245863"/>
    <n v="173543"/>
    <n v="9470"/>
    <n v="194960"/>
    <n v="188982"/>
    <n v="50902"/>
    <n v="-1835"/>
    <n v="0"/>
    <n v="10"/>
    <n v="0.70585244628105892"/>
    <n v="-3.6049664060351261E-2"/>
  </r>
  <r>
    <x v="732"/>
    <s v="n2"/>
    <x v="4"/>
    <n v="2"/>
    <x v="0"/>
    <s v="RIO DE JANEIRO"/>
    <s v="RJ"/>
    <n v="244828"/>
    <n v="0"/>
    <n v="57609"/>
    <n v="198719"/>
    <n v="85319"/>
    <n v="46109"/>
    <n v="-367"/>
    <n v="3"/>
    <n v="0"/>
    <n v="0"/>
    <n v="-7.959400550868594E-3"/>
  </r>
  <r>
    <x v="733"/>
    <s v="n2"/>
    <x v="4"/>
    <n v="2"/>
    <x v="0"/>
    <s v="SAO PAULO"/>
    <s v="SP"/>
    <n v="244156"/>
    <n v="0"/>
    <n v="128821"/>
    <n v="102153"/>
    <n v="0"/>
    <n v="142003"/>
    <n v="-5785"/>
    <n v="2"/>
    <n v="8"/>
    <n v="0"/>
    <n v="-4.0738575945578615E-2"/>
  </r>
  <r>
    <x v="734"/>
    <s v="b3S"/>
    <x v="5"/>
    <n v="2"/>
    <x v="0"/>
    <s v="ROLIM DE MOURA"/>
    <s v="RO"/>
    <n v="243868"/>
    <n v="126891"/>
    <n v="9789"/>
    <n v="207573"/>
    <n v="184734"/>
    <n v="36295"/>
    <n v="1415"/>
    <n v="0"/>
    <n v="5"/>
    <n v="0.5203265701116998"/>
    <n v="3.8986086237773797E-2"/>
  </r>
  <r>
    <x v="735"/>
    <s v="b3S"/>
    <x v="5"/>
    <n v="2"/>
    <x v="0"/>
    <s v="CERES"/>
    <s v="GO"/>
    <n v="240845"/>
    <n v="59968"/>
    <n v="12021"/>
    <n v="203480"/>
    <n v="176780"/>
    <n v="37365"/>
    <n v="2296"/>
    <n v="0"/>
    <n v="5"/>
    <n v="0.24899001432456558"/>
    <n v="6.1447879031178911E-2"/>
  </r>
  <r>
    <x v="736"/>
    <s v="b3S"/>
    <x v="5"/>
    <n v="2"/>
    <x v="0"/>
    <s v="OURINHOS"/>
    <s v="SP"/>
    <n v="240608"/>
    <n v="108997"/>
    <n v="125027"/>
    <n v="203904"/>
    <n v="198522"/>
    <n v="36704"/>
    <n v="2507"/>
    <n v="0"/>
    <n v="6"/>
    <n v="0.45300655007314805"/>
    <n v="6.8303182214472541E-2"/>
  </r>
  <r>
    <x v="737"/>
    <s v="n4"/>
    <x v="3"/>
    <n v="2"/>
    <x v="0"/>
    <s v="SAO PAULO"/>
    <s v="SP"/>
    <n v="239069"/>
    <n v="-11013"/>
    <n v="144717"/>
    <n v="8271"/>
    <n v="0"/>
    <n v="230798"/>
    <n v="-210931"/>
    <n v="1"/>
    <n v="0"/>
    <n v="-4.6066198461532024E-2"/>
    <n v="-0.91392039792372548"/>
  </r>
  <r>
    <x v="738"/>
    <s v="b3S"/>
    <x v="5"/>
    <n v="2"/>
    <x v="0"/>
    <s v="UBERABA"/>
    <s v="MG"/>
    <n v="238567"/>
    <n v="138235"/>
    <n v="4249"/>
    <n v="208029"/>
    <n v="190222"/>
    <n v="30538"/>
    <n v="3281"/>
    <n v="0"/>
    <n v="4"/>
    <n v="0.57943889976400764"/>
    <n v="0.10743991093064378"/>
  </r>
  <r>
    <x v="739"/>
    <s v="b3S"/>
    <x v="5"/>
    <n v="2"/>
    <x v="0"/>
    <s v="RIO BRANCO"/>
    <s v="AC"/>
    <n v="236693"/>
    <n v="71875"/>
    <n v="12255"/>
    <n v="194445"/>
    <n v="181765"/>
    <n v="42248"/>
    <n v="3904"/>
    <n v="0"/>
    <n v="2"/>
    <n v="0.30366339519968905"/>
    <n v="9.2406741147509935E-2"/>
  </r>
  <r>
    <x v="740"/>
    <s v="b3S"/>
    <x v="5"/>
    <n v="2"/>
    <x v="0"/>
    <s v="VOTUPORANGA"/>
    <s v="SP"/>
    <n v="236594"/>
    <n v="45045"/>
    <n v="13069"/>
    <n v="188503"/>
    <n v="175382"/>
    <n v="48092"/>
    <n v="3001"/>
    <n v="0"/>
    <n v="3"/>
    <n v="0.19038944351927775"/>
    <n v="6.2401230973966562E-2"/>
  </r>
  <r>
    <x v="741"/>
    <s v="b3S"/>
    <x v="5"/>
    <n v="2"/>
    <x v="0"/>
    <s v="GUAXUPE"/>
    <s v="MG"/>
    <n v="235463"/>
    <n v="112144"/>
    <n v="4913"/>
    <n v="191517"/>
    <n v="185525"/>
    <n v="43946"/>
    <n v="5679"/>
    <n v="0"/>
    <n v="4"/>
    <n v="0.47627015709474524"/>
    <n v="0.12922677831884585"/>
  </r>
  <r>
    <x v="742"/>
    <s v="n4"/>
    <x v="3"/>
    <n v="2"/>
    <x v="0"/>
    <s v="SAO PAULO"/>
    <s v="SP"/>
    <n v="233622"/>
    <n v="0"/>
    <n v="1622"/>
    <n v="190865"/>
    <n v="127416"/>
    <n v="42756"/>
    <n v="16445"/>
    <n v="1"/>
    <n v="0"/>
    <n v="0"/>
    <n v="0.38462438020394796"/>
  </r>
  <r>
    <x v="743"/>
    <s v="b3S"/>
    <x v="4"/>
    <n v="2"/>
    <x v="0"/>
    <s v="CURITIBA"/>
    <s v="PR"/>
    <n v="231905"/>
    <n v="45433"/>
    <n v="152815"/>
    <n v="204428"/>
    <n v="190449"/>
    <n v="27476"/>
    <n v="1573"/>
    <n v="0"/>
    <n v="2"/>
    <n v="0.19591211918673596"/>
    <n v="5.7249963604600378E-2"/>
  </r>
  <r>
    <x v="744"/>
    <s v="n4"/>
    <x v="3"/>
    <n v="2"/>
    <x v="0"/>
    <s v="SAO PAULO"/>
    <s v="SP"/>
    <n v="231821"/>
    <n v="71072"/>
    <n v="149346"/>
    <n v="202938"/>
    <n v="34836"/>
    <n v="28882"/>
    <n v="1821"/>
    <n v="1"/>
    <n v="0"/>
    <n v="0.30658137097156857"/>
    <n v="6.3049650301225682E-2"/>
  </r>
  <r>
    <x v="745"/>
    <s v="b3S"/>
    <x v="5"/>
    <n v="2"/>
    <x v="0"/>
    <s v="SAO PAULO"/>
    <s v="SP"/>
    <n v="231372"/>
    <n v="189648"/>
    <n v="41118"/>
    <n v="6683"/>
    <n v="0"/>
    <n v="224689"/>
    <n v="12676"/>
    <n v="0"/>
    <n v="0"/>
    <n v="0.81966702971837557"/>
    <n v="5.64157568906355E-2"/>
  </r>
  <r>
    <x v="746"/>
    <s v="n2"/>
    <x v="4"/>
    <n v="3"/>
    <x v="2"/>
    <s v="SAO PAULO"/>
    <s v="SP"/>
    <n v="228176"/>
    <n v="0"/>
    <n v="168728"/>
    <n v="30958"/>
    <n v="943"/>
    <n v="197218"/>
    <n v="30391"/>
    <n v="3"/>
    <n v="0"/>
    <n v="0"/>
    <n v="0.15409851027796651"/>
  </r>
  <r>
    <x v="747"/>
    <s v="n4"/>
    <x v="3"/>
    <n v="2"/>
    <x v="0"/>
    <s v="UBERLANDIA"/>
    <s v="MG"/>
    <n v="226717"/>
    <n v="15361"/>
    <n v="3475"/>
    <n v="216708"/>
    <n v="8262"/>
    <n v="10009"/>
    <n v="-743"/>
    <n v="1"/>
    <n v="0"/>
    <n v="6.7754072257484005E-2"/>
    <n v="-7.4233190128884005E-2"/>
  </r>
  <r>
    <x v="748"/>
    <s v="b3S"/>
    <x v="5"/>
    <n v="2"/>
    <x v="0"/>
    <s v="MONTES CLAROS"/>
    <s v="MG"/>
    <n v="226339"/>
    <n v="66297"/>
    <n v="4508"/>
    <n v="186123"/>
    <n v="177585"/>
    <n v="40216"/>
    <n v="4177"/>
    <n v="0"/>
    <n v="5"/>
    <n v="0.29291019223377324"/>
    <n v="0.10386413367813806"/>
  </r>
  <r>
    <x v="749"/>
    <s v="n2"/>
    <x v="4"/>
    <n v="3"/>
    <x v="2"/>
    <s v="SAO PAULO"/>
    <s v="SP"/>
    <n v="220941"/>
    <n v="0"/>
    <n v="118464"/>
    <n v="88247"/>
    <n v="3650"/>
    <n v="132694"/>
    <n v="5480"/>
    <n v="7"/>
    <n v="0"/>
    <n v="0"/>
    <n v="4.1298024025200837E-2"/>
  </r>
  <r>
    <x v="750"/>
    <s v="b3S"/>
    <x v="5"/>
    <n v="2"/>
    <x v="0"/>
    <s v="SAO SEBASTIAO DO PARAISO"/>
    <s v="MG"/>
    <n v="219823"/>
    <n v="106594"/>
    <n v="5720"/>
    <n v="188500"/>
    <n v="182238"/>
    <n v="31323"/>
    <n v="3910"/>
    <n v="0"/>
    <n v="6"/>
    <n v="0.484908312596953"/>
    <n v="0.12482840085560132"/>
  </r>
  <r>
    <x v="751"/>
    <s v="n4"/>
    <x v="4"/>
    <n v="2"/>
    <x v="0"/>
    <s v="SAO PAULO"/>
    <s v="SP"/>
    <n v="219609"/>
    <n v="0"/>
    <n v="9347"/>
    <n v="198337"/>
    <n v="181017"/>
    <n v="21272"/>
    <n v="12856"/>
    <n v="1"/>
    <n v="0"/>
    <n v="0"/>
    <n v="0.60436254230913877"/>
  </r>
  <r>
    <x v="752"/>
    <s v="n4"/>
    <x v="4"/>
    <n v="2"/>
    <x v="0"/>
    <s v="MONTE BELO"/>
    <s v="MG"/>
    <n v="218166"/>
    <n v="0"/>
    <n v="1629"/>
    <n v="124240"/>
    <n v="0"/>
    <n v="93927"/>
    <n v="573"/>
    <n v="1"/>
    <n v="0"/>
    <n v="0"/>
    <n v="6.1004822894375416E-3"/>
  </r>
  <r>
    <x v="753"/>
    <s v="n1"/>
    <x v="4"/>
    <n v="1"/>
    <x v="1"/>
    <s v="TERESINA"/>
    <s v="PI"/>
    <n v="218103"/>
    <n v="132341"/>
    <n v="75475"/>
    <n v="109358"/>
    <n v="102584"/>
    <n v="108745"/>
    <n v="809"/>
    <n v="1"/>
    <n v="0"/>
    <n v="0.60678211670632687"/>
    <n v="7.4394225021840081E-3"/>
  </r>
  <r>
    <x v="754"/>
    <s v="b3S"/>
    <x v="5"/>
    <n v="2"/>
    <x v="0"/>
    <s v="BRASILIA"/>
    <s v="DF"/>
    <n v="216980"/>
    <n v="112091"/>
    <n v="34277"/>
    <n v="152983"/>
    <n v="146774"/>
    <n v="63996"/>
    <n v="609"/>
    <n v="0"/>
    <n v="2"/>
    <n v="0.51659599963130243"/>
    <n v="9.5162197637352341E-3"/>
  </r>
  <r>
    <x v="755"/>
    <s v="n1"/>
    <x v="5"/>
    <n v="3"/>
    <x v="2"/>
    <s v="BARUERI"/>
    <s v="SP"/>
    <n v="212161"/>
    <n v="0"/>
    <n v="158481"/>
    <n v="52413"/>
    <n v="0"/>
    <n v="159749"/>
    <n v="8990"/>
    <n v="2"/>
    <n v="0"/>
    <n v="0"/>
    <n v="5.62757826340071E-2"/>
  </r>
  <r>
    <x v="756"/>
    <s v="b3S"/>
    <x v="5"/>
    <n v="2"/>
    <x v="0"/>
    <s v="DOURADOS"/>
    <s v="MS"/>
    <n v="207463"/>
    <n v="84847"/>
    <n v="2469"/>
    <n v="161310"/>
    <n v="148585"/>
    <n v="46152"/>
    <n v="4005"/>
    <n v="0"/>
    <n v="5"/>
    <n v="0.40897413032685348"/>
    <n v="8.6778471138845556E-2"/>
  </r>
  <r>
    <x v="757"/>
    <s v="b3S"/>
    <x v="5"/>
    <n v="2"/>
    <x v="0"/>
    <s v="JAGUARUNA"/>
    <s v="SC"/>
    <n v="207391"/>
    <n v="146038"/>
    <n v="5426"/>
    <n v="187591"/>
    <n v="135600"/>
    <n v="19800"/>
    <n v="-513"/>
    <n v="0"/>
    <n v="7"/>
    <n v="0.70416749039254356"/>
    <n v="-2.5909090909090909E-2"/>
  </r>
  <r>
    <x v="758"/>
    <s v="b3S"/>
    <x v="4"/>
    <n v="2"/>
    <x v="0"/>
    <s v="CAXIAS DO SUL"/>
    <s v="RS"/>
    <n v="206267"/>
    <n v="116761"/>
    <n v="73519"/>
    <n v="181499"/>
    <n v="153729"/>
    <n v="24768"/>
    <n v="-513"/>
    <n v="0"/>
    <n v="1"/>
    <n v="0.56606728172708187"/>
    <n v="-2.071220930232558E-2"/>
  </r>
  <r>
    <x v="759"/>
    <s v="b3S"/>
    <x v="5"/>
    <n v="2"/>
    <x v="0"/>
    <s v="CAPITOLIO"/>
    <s v="MG"/>
    <n v="204350"/>
    <n v="113549"/>
    <n v="4399"/>
    <n v="170129"/>
    <n v="143148"/>
    <n v="34220"/>
    <n v="2575"/>
    <n v="0"/>
    <n v="0"/>
    <n v="0.55565940787863954"/>
    <n v="7.5248392752776158E-2"/>
  </r>
  <r>
    <x v="760"/>
    <s v="n4"/>
    <x v="3"/>
    <n v="2"/>
    <x v="0"/>
    <s v="BARUERI"/>
    <s v="SP"/>
    <n v="200059"/>
    <n v="0"/>
    <n v="176589"/>
    <n v="193964"/>
    <n v="187798"/>
    <n v="6095"/>
    <n v="938"/>
    <n v="1"/>
    <n v="0"/>
    <n v="0"/>
    <n v="0.15389663658736669"/>
  </r>
  <r>
    <x v="761"/>
    <s v="n4"/>
    <x v="3"/>
    <n v="2"/>
    <x v="0"/>
    <s v="PORTO ALEGRE"/>
    <s v="RS"/>
    <n v="199921"/>
    <n v="0"/>
    <n v="6912"/>
    <n v="179013"/>
    <n v="5596"/>
    <n v="20907"/>
    <n v="11507"/>
    <n v="1"/>
    <n v="0"/>
    <n v="0"/>
    <n v="0.5503898215908547"/>
  </r>
  <r>
    <x v="762"/>
    <s v="b1"/>
    <x v="4"/>
    <n v="3"/>
    <x v="2"/>
    <s v="SAO PAULO"/>
    <s v="SP"/>
    <n v="197601"/>
    <n v="42411"/>
    <n v="53499"/>
    <n v="48387"/>
    <n v="43051"/>
    <n v="149214"/>
    <n v="2830"/>
    <n v="2"/>
    <n v="0"/>
    <n v="0.21462948062003734"/>
    <n v="1.8966048762180492E-2"/>
  </r>
  <r>
    <x v="763"/>
    <s v="b3S"/>
    <x v="5"/>
    <n v="2"/>
    <x v="0"/>
    <s v="NOVA BRASILANDIA"/>
    <s v="RO"/>
    <n v="196834"/>
    <n v="98570"/>
    <n v="8153"/>
    <n v="155397"/>
    <n v="135066"/>
    <n v="41437"/>
    <n v="3677"/>
    <n v="0"/>
    <n v="3"/>
    <n v="0.50077730473393822"/>
    <n v="8.8737118999927603E-2"/>
  </r>
  <r>
    <x v="764"/>
    <s v="n4"/>
    <x v="3"/>
    <n v="3"/>
    <x v="2"/>
    <s v="SAO PAULO"/>
    <s v="SP"/>
    <n v="192020"/>
    <n v="51606"/>
    <n v="106757"/>
    <n v="172049"/>
    <n v="0"/>
    <n v="19971"/>
    <n v="-3174"/>
    <n v="1"/>
    <n v="0"/>
    <n v="0.26875325486928447"/>
    <n v="-0.15893044915126933"/>
  </r>
  <r>
    <x v="765"/>
    <s v="b3S"/>
    <x v="5"/>
    <n v="2"/>
    <x v="0"/>
    <s v="DORES DO INDAIA"/>
    <s v="MG"/>
    <n v="190467"/>
    <n v="47468"/>
    <n v="4238"/>
    <n v="161836"/>
    <n v="159044"/>
    <n v="28630"/>
    <n v="3586"/>
    <n v="0"/>
    <n v="1"/>
    <n v="0.24921902481794747"/>
    <n v="0.12525323087670276"/>
  </r>
  <r>
    <x v="766"/>
    <s v="b3S"/>
    <x v="5"/>
    <n v="2"/>
    <x v="0"/>
    <s v="SAO PAULO"/>
    <s v="SP"/>
    <n v="190193"/>
    <n v="79646"/>
    <n v="100355"/>
    <n v="20568"/>
    <n v="0"/>
    <n v="169625"/>
    <n v="15316"/>
    <n v="0"/>
    <n v="0"/>
    <n v="0.41876409752199084"/>
    <n v="9.0293294030950627E-2"/>
  </r>
  <r>
    <x v="767"/>
    <s v="b3S"/>
    <x v="5"/>
    <n v="2"/>
    <x v="0"/>
    <s v="SANTO ANDRE"/>
    <s v="SP"/>
    <n v="185907"/>
    <n v="70087"/>
    <n v="99383"/>
    <n v="170298"/>
    <n v="165546"/>
    <n v="15609"/>
    <n v="-52"/>
    <n v="0"/>
    <n v="8"/>
    <n v="0.37700032812104978"/>
    <n v="-3.3314113652380037E-3"/>
  </r>
  <r>
    <x v="768"/>
    <s v="b3S"/>
    <x v="5"/>
    <n v="2"/>
    <x v="0"/>
    <s v="CRUZ ALTA"/>
    <s v="RS"/>
    <n v="185706"/>
    <n v="99288"/>
    <n v="16275"/>
    <n v="164030"/>
    <n v="157994"/>
    <n v="21677"/>
    <n v="-9978"/>
    <n v="0"/>
    <n v="6"/>
    <n v="0.534651545992052"/>
    <n v="-0.4603035475388661"/>
  </r>
  <r>
    <x v="769"/>
    <s v="n1"/>
    <x v="4"/>
    <n v="2"/>
    <x v="0"/>
    <s v="NOVO HAMBURGO"/>
    <s v="RS"/>
    <n v="180024"/>
    <n v="163348"/>
    <n v="8024"/>
    <n v="154507"/>
    <n v="141453"/>
    <n v="25516"/>
    <n v="1290"/>
    <n v="2"/>
    <n v="0"/>
    <n v="0.90736790650135535"/>
    <n v="5.0556513560119143E-2"/>
  </r>
  <r>
    <x v="770"/>
    <s v="n1"/>
    <x v="4"/>
    <n v="2"/>
    <x v="0"/>
    <s v="PALHOCA"/>
    <s v="SC"/>
    <n v="179977"/>
    <n v="60128"/>
    <n v="21873"/>
    <n v="134205"/>
    <n v="128012"/>
    <n v="45772"/>
    <n v="7868"/>
    <n v="2"/>
    <n v="0"/>
    <n v="0.33408713335592882"/>
    <n v="0.17189548195403304"/>
  </r>
  <r>
    <x v="771"/>
    <s v="b3S"/>
    <x v="5"/>
    <n v="2"/>
    <x v="0"/>
    <s v="ACAILANDIA"/>
    <s v="MA"/>
    <n v="179139"/>
    <n v="114553"/>
    <n v="16941"/>
    <n v="141717"/>
    <n v="130110"/>
    <n v="37421"/>
    <n v="3711"/>
    <n v="0"/>
    <n v="10"/>
    <n v="0.63946432658438424"/>
    <n v="9.9168915849389375E-2"/>
  </r>
  <r>
    <x v="772"/>
    <s v="n4"/>
    <x v="3"/>
    <n v="2"/>
    <x v="0"/>
    <s v="ITAQUAQUECETUBA"/>
    <s v="SP"/>
    <n v="177465"/>
    <n v="99231"/>
    <n v="1561"/>
    <n v="156860"/>
    <n v="42875"/>
    <n v="20605"/>
    <n v="-653"/>
    <n v="1"/>
    <n v="0"/>
    <n v="0.55915814385935259"/>
    <n v="-3.1691337054113082E-2"/>
  </r>
  <r>
    <x v="773"/>
    <s v="b3S"/>
    <x v="5"/>
    <n v="2"/>
    <x v="0"/>
    <s v="TERESINA"/>
    <s v="PI"/>
    <n v="177424"/>
    <n v="83618"/>
    <n v="10680"/>
    <n v="153477"/>
    <n v="144462"/>
    <n v="23947"/>
    <n v="-406"/>
    <n v="0"/>
    <n v="6"/>
    <n v="0.47128911533952567"/>
    <n v="-1.6954106986261326E-2"/>
  </r>
  <r>
    <x v="774"/>
    <s v="b3S"/>
    <x v="5"/>
    <n v="2"/>
    <x v="0"/>
    <s v="FLORIANOPOLIS"/>
    <s v="SC"/>
    <n v="177348"/>
    <n v="92498"/>
    <n v="1968"/>
    <n v="160877"/>
    <n v="157942"/>
    <n v="16472"/>
    <n v="1447"/>
    <n v="0"/>
    <n v="6"/>
    <n v="0.52156212644067035"/>
    <n v="8.7846041767848465E-2"/>
  </r>
  <r>
    <x v="775"/>
    <s v="b3S"/>
    <x v="5"/>
    <n v="2"/>
    <x v="0"/>
    <s v="AGUAS DE LINDOIA"/>
    <s v="SP"/>
    <n v="173520"/>
    <n v="89497"/>
    <n v="22431"/>
    <n v="157309"/>
    <n v="137562"/>
    <n v="16210"/>
    <n v="-286"/>
    <n v="0"/>
    <n v="5"/>
    <n v="0.51577339787920706"/>
    <n v="-1.7643429981492906E-2"/>
  </r>
  <r>
    <x v="776"/>
    <s v="b3S"/>
    <x v="5"/>
    <n v="2"/>
    <x v="0"/>
    <s v="LARANJEIRAS DO SUL"/>
    <s v="PR"/>
    <n v="173390"/>
    <n v="27939"/>
    <n v="1670"/>
    <n v="157147"/>
    <n v="146175"/>
    <n v="16243"/>
    <n v="2581"/>
    <n v="0"/>
    <n v="3"/>
    <n v="0.16113386008420325"/>
    <n v="0.15889921812473065"/>
  </r>
  <r>
    <x v="777"/>
    <s v="b3S"/>
    <x v="5"/>
    <n v="2"/>
    <x v="0"/>
    <s v="CAMPO GRANDE"/>
    <s v="MS"/>
    <n v="173303"/>
    <n v="123024"/>
    <n v="4400"/>
    <n v="148871"/>
    <n v="144762"/>
    <n v="24432"/>
    <n v="1392"/>
    <n v="0"/>
    <n v="3"/>
    <n v="0.7098780748169391"/>
    <n v="5.6974459724950882E-2"/>
  </r>
  <r>
    <x v="778"/>
    <s v="n1"/>
    <x v="4"/>
    <n v="2"/>
    <x v="0"/>
    <s v="PRESIDENTE PRUDENTE"/>
    <s v="SP"/>
    <n v="173299"/>
    <n v="153367"/>
    <n v="6948"/>
    <n v="147199"/>
    <n v="145212"/>
    <n v="26101"/>
    <n v="323"/>
    <n v="2"/>
    <n v="0"/>
    <n v="0.88498491047265126"/>
    <n v="1.2375004789088541E-2"/>
  </r>
  <r>
    <x v="779"/>
    <s v="b3S"/>
    <x v="5"/>
    <n v="2"/>
    <x v="0"/>
    <s v="RIO RUFINO"/>
    <s v="SC"/>
    <n v="172499"/>
    <n v="109767"/>
    <n v="5647"/>
    <n v="146857"/>
    <n v="114979"/>
    <n v="25643"/>
    <n v="780"/>
    <n v="0"/>
    <n v="3"/>
    <n v="0.63633412367607933"/>
    <n v="3.0417657840346293E-2"/>
  </r>
  <r>
    <x v="780"/>
    <s v="n4"/>
    <x v="3"/>
    <n v="2"/>
    <x v="0"/>
    <s v="SAO PAULO"/>
    <s v="SP"/>
    <n v="171606"/>
    <n v="0"/>
    <n v="39888"/>
    <n v="133592"/>
    <n v="123494"/>
    <n v="38014"/>
    <n v="-2291"/>
    <n v="1"/>
    <n v="0"/>
    <n v="0"/>
    <n v="-6.0267269953175148E-2"/>
  </r>
  <r>
    <x v="781"/>
    <s v="b3S"/>
    <x v="5"/>
    <n v="2"/>
    <x v="0"/>
    <s v="SAO PAULO"/>
    <s v="SP"/>
    <n v="170226"/>
    <n v="42149"/>
    <n v="12"/>
    <n v="83450"/>
    <n v="0"/>
    <n v="86777"/>
    <n v="8471"/>
    <n v="0"/>
    <n v="0"/>
    <n v="0.24760612362388823"/>
    <n v="9.7618032427947504E-2"/>
  </r>
  <r>
    <x v="782"/>
    <s v="b3S"/>
    <x v="5"/>
    <n v="2"/>
    <x v="0"/>
    <s v="CATANDUVA"/>
    <s v="SP"/>
    <n v="169216"/>
    <n v="69470"/>
    <n v="94932"/>
    <n v="12679"/>
    <n v="0"/>
    <n v="156537"/>
    <n v="9987"/>
    <n v="0"/>
    <n v="0"/>
    <n v="0.41054037443267777"/>
    <n v="6.3799612871078409E-2"/>
  </r>
  <r>
    <x v="783"/>
    <s v="n4"/>
    <x v="5"/>
    <n v="3"/>
    <x v="2"/>
    <s v="SAO PAULO"/>
    <s v="SP"/>
    <n v="167872"/>
    <n v="0"/>
    <n v="9748"/>
    <n v="151664"/>
    <n v="72427"/>
    <n v="16207"/>
    <n v="1377"/>
    <n v="1"/>
    <n v="0"/>
    <n v="0"/>
    <n v="8.4963287468377863E-2"/>
  </r>
  <r>
    <x v="784"/>
    <s v="b3S"/>
    <x v="5"/>
    <n v="2"/>
    <x v="0"/>
    <s v="MARTINHO CAMPOS"/>
    <s v="MG"/>
    <n v="165725"/>
    <n v="64282"/>
    <n v="4223"/>
    <n v="135175"/>
    <n v="122932"/>
    <n v="30550"/>
    <n v="1616"/>
    <n v="0"/>
    <n v="1"/>
    <n v="0.38788354201236991"/>
    <n v="5.2896890343698856E-2"/>
  </r>
  <r>
    <x v="785"/>
    <s v="b3S"/>
    <x v="5"/>
    <n v="2"/>
    <x v="0"/>
    <s v="BELEM"/>
    <s v="PA"/>
    <n v="165105"/>
    <n v="103080"/>
    <n v="4466"/>
    <n v="141837"/>
    <n v="136416"/>
    <n v="23268"/>
    <n v="-654"/>
    <n v="0"/>
    <n v="3"/>
    <n v="0.62432997183610428"/>
    <n v="-2.810727178958226E-2"/>
  </r>
  <r>
    <x v="786"/>
    <s v="n4"/>
    <x v="4"/>
    <n v="2"/>
    <x v="0"/>
    <s v="SAO PAULO"/>
    <s v="SP"/>
    <n v="164527"/>
    <n v="2018"/>
    <n v="0"/>
    <n v="157466"/>
    <n v="113583"/>
    <n v="7061"/>
    <n v="-340"/>
    <n v="1"/>
    <n v="0"/>
    <n v="1.2265464027180949E-2"/>
    <n v="-4.8151819855544543E-2"/>
  </r>
  <r>
    <x v="787"/>
    <s v="b3S"/>
    <x v="5"/>
    <n v="2"/>
    <x v="0"/>
    <s v="PRADOPOLIS"/>
    <s v="SP"/>
    <n v="161052"/>
    <n v="126152"/>
    <n v="30053"/>
    <n v="6519"/>
    <n v="2313"/>
    <n v="154532"/>
    <n v="11395"/>
    <n v="0"/>
    <n v="0"/>
    <n v="0.78329980379008024"/>
    <n v="7.3738772551963344E-2"/>
  </r>
  <r>
    <x v="788"/>
    <s v="b3S"/>
    <x v="5"/>
    <n v="2"/>
    <x v="0"/>
    <s v="SAO JOSE DOS CAMPOS"/>
    <s v="SP"/>
    <n v="159469"/>
    <n v="89133"/>
    <n v="56439"/>
    <n v="18077"/>
    <n v="0"/>
    <n v="141391"/>
    <n v="7437"/>
    <n v="0"/>
    <n v="0"/>
    <n v="0.55893621957872686"/>
    <n v="5.2598821707180797E-2"/>
  </r>
  <r>
    <x v="789"/>
    <s v="b3S"/>
    <x v="5"/>
    <n v="2"/>
    <x v="0"/>
    <s v="FORTALEZA"/>
    <s v="CE"/>
    <n v="159453"/>
    <n v="120724"/>
    <n v="8829"/>
    <n v="136897"/>
    <n v="132004"/>
    <n v="22556"/>
    <n v="569"/>
    <n v="0"/>
    <n v="3"/>
    <n v="0.75711338137256745"/>
    <n v="2.5226103919134598E-2"/>
  </r>
  <r>
    <x v="790"/>
    <s v="b3S"/>
    <x v="5"/>
    <n v="2"/>
    <x v="0"/>
    <s v="VITORIA DA CONQUISTA"/>
    <s v="BA"/>
    <n v="158067"/>
    <n v="105653"/>
    <n v="13102"/>
    <n v="122514"/>
    <n v="116483"/>
    <n v="35553"/>
    <n v="606"/>
    <n v="0"/>
    <n v="5"/>
    <n v="0.66840643524581345"/>
    <n v="1.7044975107585857E-2"/>
  </r>
  <r>
    <x v="791"/>
    <s v="n4"/>
    <x v="3"/>
    <n v="2"/>
    <x v="0"/>
    <s v="BARUERI"/>
    <s v="SP"/>
    <n v="156161"/>
    <n v="110756"/>
    <n v="6405"/>
    <n v="131435"/>
    <n v="937"/>
    <n v="24727"/>
    <n v="-4133"/>
    <n v="1"/>
    <n v="0"/>
    <n v="0.70924238446218968"/>
    <n v="-0.16714522586646177"/>
  </r>
  <r>
    <x v="792"/>
    <s v="b3S"/>
    <x v="5"/>
    <n v="2"/>
    <x v="0"/>
    <s v="VITORIA DA CONQUISTA"/>
    <s v="BA"/>
    <n v="155768"/>
    <n v="104949"/>
    <n v="4830"/>
    <n v="134262"/>
    <n v="98797"/>
    <n v="21506"/>
    <n v="399"/>
    <n v="0"/>
    <n v="3"/>
    <n v="0.6737519901391813"/>
    <n v="1.855296196410304E-2"/>
  </r>
  <r>
    <x v="793"/>
    <s v="b3S"/>
    <x v="5"/>
    <n v="2"/>
    <x v="0"/>
    <s v="VICOSA"/>
    <s v="MG"/>
    <n v="155133"/>
    <n v="50832"/>
    <n v="5561"/>
    <n v="116552"/>
    <n v="112894"/>
    <n v="38581"/>
    <n v="3360"/>
    <n v="0"/>
    <n v="2"/>
    <n v="0.32766722747577887"/>
    <n v="8.7089500012959745E-2"/>
  </r>
  <r>
    <x v="794"/>
    <s v="n1"/>
    <x v="5"/>
    <n v="2"/>
    <x v="0"/>
    <s v="PORTO ALEGRE"/>
    <s v="RS"/>
    <n v="154672"/>
    <n v="30573"/>
    <n v="1927"/>
    <n v="113728"/>
    <n v="81204"/>
    <n v="40944"/>
    <n v="16854"/>
    <n v="2"/>
    <n v="0"/>
    <n v="0.19766344263990898"/>
    <n v="0.41163540445486518"/>
  </r>
  <r>
    <x v="795"/>
    <s v="b3S"/>
    <x v="5"/>
    <n v="2"/>
    <x v="0"/>
    <s v="JACINTO MACHADO"/>
    <s v="SC"/>
    <n v="153110"/>
    <n v="102195"/>
    <n v="4954"/>
    <n v="133526"/>
    <n v="84518"/>
    <n v="19584"/>
    <n v="1767"/>
    <n v="0"/>
    <n v="8"/>
    <n v="0.66746130233165701"/>
    <n v="9.0226715686274508E-2"/>
  </r>
  <r>
    <x v="796"/>
    <s v="b3S"/>
    <x v="4"/>
    <n v="2"/>
    <x v="0"/>
    <s v="PORTO ALEGRE"/>
    <s v="RS"/>
    <n v="151248"/>
    <n v="76651"/>
    <n v="49275"/>
    <n v="129572"/>
    <n v="113642"/>
    <n v="21676"/>
    <n v="1083"/>
    <n v="0"/>
    <n v="2"/>
    <n v="0.50679017243203217"/>
    <n v="4.9963092821553791E-2"/>
  </r>
  <r>
    <x v="797"/>
    <s v="b3S"/>
    <x v="5"/>
    <n v="2"/>
    <x v="0"/>
    <s v="CURITIBA"/>
    <s v="PR"/>
    <n v="149240"/>
    <n v="57422"/>
    <n v="53929"/>
    <n v="120254"/>
    <n v="116464"/>
    <n v="28985"/>
    <n v="201"/>
    <n v="0"/>
    <n v="4"/>
    <n v="0.38476279817743231"/>
    <n v="6.9346213558737274E-3"/>
  </r>
  <r>
    <x v="798"/>
    <s v="b3S"/>
    <x v="5"/>
    <n v="2"/>
    <x v="0"/>
    <s v="SAO PAULO"/>
    <s v="SP"/>
    <n v="148834"/>
    <n v="99024"/>
    <n v="34512"/>
    <n v="116453"/>
    <n v="110555"/>
    <n v="32380"/>
    <n v="-5493"/>
    <n v="0"/>
    <n v="6"/>
    <n v="0.66533184621793406"/>
    <n v="-0.16964175416924027"/>
  </r>
  <r>
    <x v="799"/>
    <s v="b3S"/>
    <x v="5"/>
    <n v="2"/>
    <x v="0"/>
    <s v="SAO PAULO"/>
    <s v="SP"/>
    <n v="148687"/>
    <n v="4560"/>
    <n v="143645"/>
    <n v="131829"/>
    <n v="130691"/>
    <n v="16858"/>
    <n v="2015"/>
    <n v="0"/>
    <n v="0"/>
    <n v="3.0668451175960239E-2"/>
    <n v="0.11952782061929054"/>
  </r>
  <r>
    <x v="800"/>
    <s v="b3S"/>
    <x v="5"/>
    <n v="2"/>
    <x v="0"/>
    <s v="TREZE DE MAIO"/>
    <s v="SC"/>
    <n v="146990"/>
    <n v="82584"/>
    <n v="4534"/>
    <n v="132935"/>
    <n v="100770"/>
    <n v="14054"/>
    <n v="-667"/>
    <n v="0"/>
    <n v="3"/>
    <n v="0.56183413837676033"/>
    <n v="-4.74597979222997E-2"/>
  </r>
  <r>
    <x v="801"/>
    <s v="n4"/>
    <x v="3"/>
    <n v="2"/>
    <x v="0"/>
    <s v="JARAGUA DO SUL"/>
    <s v="SC"/>
    <n v="145935"/>
    <n v="0"/>
    <n v="1902"/>
    <n v="137868"/>
    <n v="13078"/>
    <n v="8067"/>
    <n v="347"/>
    <n v="1"/>
    <n v="0"/>
    <n v="0"/>
    <n v="4.3014751456551384E-2"/>
  </r>
  <r>
    <x v="802"/>
    <s v="b3S"/>
    <x v="5"/>
    <n v="2"/>
    <x v="0"/>
    <s v="PORTO VELHO"/>
    <s v="RO"/>
    <n v="145754"/>
    <n v="79079"/>
    <n v="9468"/>
    <n v="107636"/>
    <n v="102841"/>
    <n v="38118"/>
    <n v="2265"/>
    <n v="0"/>
    <n v="4"/>
    <n v="0.54255114782441649"/>
    <n v="5.942074610420274E-2"/>
  </r>
  <r>
    <x v="803"/>
    <s v="b3S"/>
    <x v="5"/>
    <n v="2"/>
    <x v="0"/>
    <s v="ASSIS"/>
    <s v="SP"/>
    <n v="145359"/>
    <n v="44426"/>
    <n v="3112"/>
    <n v="121399"/>
    <n v="119385"/>
    <n v="23961"/>
    <n v="1528"/>
    <n v="0"/>
    <n v="1"/>
    <n v="0.30562951038463393"/>
    <n v="6.3770293393430988E-2"/>
  </r>
  <r>
    <x v="804"/>
    <s v="n4"/>
    <x v="3"/>
    <n v="3"/>
    <x v="2"/>
    <s v="SAO PAULO"/>
    <s v="SP"/>
    <n v="143904"/>
    <n v="0"/>
    <n v="108916"/>
    <n v="131207"/>
    <n v="107026"/>
    <n v="12698"/>
    <n v="4763"/>
    <n v="1"/>
    <n v="0"/>
    <n v="0"/>
    <n v="0.37509844069932274"/>
  </r>
  <r>
    <x v="805"/>
    <s v="b3S"/>
    <x v="5"/>
    <n v="2"/>
    <x v="0"/>
    <s v="MONTES CLAROS"/>
    <s v="MG"/>
    <n v="143478"/>
    <n v="56530"/>
    <n v="2607"/>
    <n v="123131"/>
    <n v="119496"/>
    <n v="20348"/>
    <n v="1601"/>
    <n v="0"/>
    <n v="3"/>
    <n v="0.3939976860563989"/>
    <n v="7.868095144485944E-2"/>
  </r>
  <r>
    <x v="806"/>
    <s v="n4"/>
    <x v="3"/>
    <n v="3"/>
    <x v="2"/>
    <s v="SAO PAULO"/>
    <s v="SP"/>
    <n v="142911"/>
    <n v="0"/>
    <n v="0"/>
    <n v="127670"/>
    <n v="125575"/>
    <n v="15241"/>
    <n v="4916"/>
    <n v="1"/>
    <n v="0"/>
    <n v="0"/>
    <n v="0.32255101371301098"/>
  </r>
  <r>
    <x v="807"/>
    <s v="n4"/>
    <x v="3"/>
    <n v="2"/>
    <x v="0"/>
    <s v="BARUERI"/>
    <s v="SP"/>
    <n v="141946"/>
    <n v="0"/>
    <n v="48623"/>
    <n v="115334"/>
    <n v="37206"/>
    <n v="26612"/>
    <n v="7996"/>
    <n v="1"/>
    <n v="0"/>
    <n v="0"/>
    <n v="0.30046595520817676"/>
  </r>
  <r>
    <x v="808"/>
    <s v="b3S"/>
    <x v="5"/>
    <n v="2"/>
    <x v="0"/>
    <s v="SAO PAULO"/>
    <s v="SP"/>
    <n v="141922"/>
    <n v="102011"/>
    <n v="33011"/>
    <n v="15016"/>
    <n v="0"/>
    <n v="126906"/>
    <n v="10069"/>
    <n v="0"/>
    <n v="0"/>
    <n v="0.71878214794041795"/>
    <n v="7.9342190282571348E-2"/>
  </r>
  <r>
    <x v="809"/>
    <s v="b3S"/>
    <x v="5"/>
    <n v="2"/>
    <x v="0"/>
    <s v="TEOFILO OTONI"/>
    <s v="MG"/>
    <n v="140128"/>
    <n v="75758"/>
    <n v="3855"/>
    <n v="122531"/>
    <n v="107514"/>
    <n v="17597"/>
    <n v="1193"/>
    <n v="0"/>
    <n v="0"/>
    <n v="0.54063427723224478"/>
    <n v="6.779564698528158E-2"/>
  </r>
  <r>
    <x v="810"/>
    <s v="b3S"/>
    <x v="5"/>
    <n v="2"/>
    <x v="0"/>
    <s v="FLORIANOPOLIS"/>
    <s v="SC"/>
    <n v="139803"/>
    <n v="43133"/>
    <n v="11048"/>
    <n v="102566"/>
    <n v="64583"/>
    <n v="37237"/>
    <n v="50"/>
    <n v="0"/>
    <n v="2"/>
    <n v="0.30852699870532108"/>
    <n v="1.342750490103929E-3"/>
  </r>
  <r>
    <x v="811"/>
    <s v="b3S"/>
    <x v="5"/>
    <n v="2"/>
    <x v="0"/>
    <s v="BELO HORIZONTE"/>
    <s v="MG"/>
    <n v="139599"/>
    <n v="102504"/>
    <n v="27555"/>
    <n v="10733"/>
    <n v="0"/>
    <n v="128866"/>
    <n v="10255"/>
    <n v="0"/>
    <n v="1"/>
    <n v="0.73427460082092277"/>
    <n v="7.9578787267394036E-2"/>
  </r>
  <r>
    <x v="812"/>
    <s v="b3S"/>
    <x v="5"/>
    <n v="2"/>
    <x v="0"/>
    <s v="LENCOIS PAULISTA"/>
    <s v="SP"/>
    <n v="137647"/>
    <n v="56397"/>
    <n v="67689"/>
    <n v="99057"/>
    <n v="93957"/>
    <n v="38590"/>
    <n v="-288"/>
    <n v="0"/>
    <n v="5"/>
    <n v="0.40972196996665383"/>
    <n v="-7.4630733350608963E-3"/>
  </r>
  <r>
    <x v="813"/>
    <s v="n4"/>
    <x v="3"/>
    <n v="3"/>
    <x v="2"/>
    <s v="SAO PAULO"/>
    <s v="SP"/>
    <n v="137482"/>
    <n v="0"/>
    <n v="128728"/>
    <n v="7569"/>
    <n v="0"/>
    <n v="129913"/>
    <n v="3234"/>
    <n v="1"/>
    <n v="0"/>
    <n v="0"/>
    <n v="2.4893582628374374E-2"/>
  </r>
  <r>
    <x v="814"/>
    <s v="b3S"/>
    <x v="5"/>
    <n v="2"/>
    <x v="0"/>
    <s v="TIMOTEO"/>
    <s v="MG"/>
    <n v="137177"/>
    <n v="48934"/>
    <n v="8505"/>
    <n v="102326"/>
    <n v="97153"/>
    <n v="34851"/>
    <n v="122"/>
    <n v="0"/>
    <n v="4"/>
    <n v="0.35672160784971241"/>
    <n v="3.5006169119967865E-3"/>
  </r>
  <r>
    <x v="815"/>
    <s v="b3S"/>
    <x v="5"/>
    <n v="2"/>
    <x v="0"/>
    <s v="BELO HORIZONTE"/>
    <s v="MG"/>
    <n v="135283"/>
    <n v="62730"/>
    <n v="5774"/>
    <n v="94043"/>
    <n v="90756"/>
    <n v="41239"/>
    <n v="2833"/>
    <n v="0"/>
    <n v="2"/>
    <n v="0.4636946253409519"/>
    <n v="6.8697107107349845E-2"/>
  </r>
  <r>
    <x v="816"/>
    <s v="n1"/>
    <x v="5"/>
    <n v="2"/>
    <x v="0"/>
    <s v="FORTALEZA"/>
    <s v="CE"/>
    <n v="135180"/>
    <n v="12644"/>
    <n v="54431"/>
    <n v="119318"/>
    <n v="86496"/>
    <n v="15861"/>
    <n v="5453"/>
    <n v="2"/>
    <n v="0"/>
    <n v="9.3534546530551863E-2"/>
    <n v="0.34379925603681988"/>
  </r>
  <r>
    <x v="817"/>
    <s v="b3S"/>
    <x v="5"/>
    <n v="2"/>
    <x v="0"/>
    <s v="BELO HORIZONTE"/>
    <s v="MG"/>
    <n v="134839"/>
    <n v="52448"/>
    <n v="4743"/>
    <n v="76559"/>
    <n v="69734"/>
    <n v="58280"/>
    <n v="3974"/>
    <n v="0"/>
    <n v="2"/>
    <n v="0.38896758356261912"/>
    <n v="6.8188057652711048E-2"/>
  </r>
  <r>
    <x v="818"/>
    <s v="n4"/>
    <x v="3"/>
    <n v="2"/>
    <x v="0"/>
    <s v="CURITIBA"/>
    <s v="PR"/>
    <n v="133814"/>
    <n v="0"/>
    <n v="5115"/>
    <n v="122796"/>
    <n v="121830"/>
    <n v="11018"/>
    <n v="1514"/>
    <n v="1"/>
    <n v="0"/>
    <n v="0"/>
    <n v="0.13741150844073335"/>
  </r>
  <r>
    <x v="819"/>
    <s v="n4"/>
    <x v="5"/>
    <n v="2"/>
    <x v="0"/>
    <s v="PORTO ALEGRE"/>
    <s v="RS"/>
    <n v="133376"/>
    <n v="0"/>
    <n v="121733"/>
    <n v="6074"/>
    <n v="0"/>
    <n v="127302"/>
    <n v="5055"/>
    <n v="1"/>
    <n v="0"/>
    <n v="0"/>
    <n v="3.9708724136305794E-2"/>
  </r>
  <r>
    <x v="820"/>
    <s v="b3S"/>
    <x v="4"/>
    <n v="2"/>
    <x v="0"/>
    <s v="CURITIBA"/>
    <s v="PR"/>
    <n v="133305"/>
    <n v="35008"/>
    <n v="83684"/>
    <n v="102601"/>
    <n v="87959"/>
    <n v="30704"/>
    <n v="5374"/>
    <n v="0"/>
    <n v="1"/>
    <n v="0.262615805858745"/>
    <n v="0.17502605523710266"/>
  </r>
  <r>
    <x v="821"/>
    <s v="n1"/>
    <x v="4"/>
    <n v="2"/>
    <x v="0"/>
    <s v="SAO PAULO"/>
    <s v="SP"/>
    <n v="132611"/>
    <n v="4235"/>
    <n v="116825"/>
    <n v="58405"/>
    <n v="57037"/>
    <n v="74206"/>
    <n v="1626"/>
    <n v="2"/>
    <n v="0"/>
    <n v="3.1935510628831695E-2"/>
    <n v="2.1911974772929412E-2"/>
  </r>
  <r>
    <x v="822"/>
    <s v="n4"/>
    <x v="3"/>
    <n v="2"/>
    <x v="0"/>
    <s v="ITAJAI"/>
    <s v="SC"/>
    <n v="132048"/>
    <n v="0"/>
    <n v="5"/>
    <n v="123892"/>
    <n v="120028"/>
    <n v="8156"/>
    <n v="2240"/>
    <n v="1"/>
    <n v="0"/>
    <n v="0"/>
    <n v="0.27464443354585583"/>
  </r>
  <r>
    <x v="823"/>
    <s v="n4"/>
    <x v="5"/>
    <n v="3"/>
    <x v="2"/>
    <s v="SAO PAULO"/>
    <s v="SP"/>
    <n v="131222"/>
    <n v="0"/>
    <n v="47737"/>
    <n v="78132"/>
    <n v="49552"/>
    <n v="53090"/>
    <n v="4071"/>
    <n v="1"/>
    <n v="0"/>
    <n v="0"/>
    <n v="7.668110755321153E-2"/>
  </r>
  <r>
    <x v="824"/>
    <s v="n4"/>
    <x v="3"/>
    <n v="2"/>
    <x v="0"/>
    <s v="BARUERI"/>
    <s v="SP"/>
    <n v="129822"/>
    <n v="0"/>
    <n v="1034"/>
    <n v="113690"/>
    <n v="1145"/>
    <n v="16132"/>
    <n v="-239"/>
    <n v="1"/>
    <n v="0"/>
    <n v="0"/>
    <n v="-1.4815273989585917E-2"/>
  </r>
  <r>
    <x v="825"/>
    <s v="b3S"/>
    <x v="5"/>
    <n v="2"/>
    <x v="0"/>
    <s v="SAO JOAO DO SUL"/>
    <s v="SC"/>
    <n v="127042"/>
    <n v="88518"/>
    <n v="3871"/>
    <n v="109973"/>
    <n v="77564"/>
    <n v="17069"/>
    <n v="1083"/>
    <n v="0"/>
    <n v="4"/>
    <n v="0.69676170085483546"/>
    <n v="6.3448356669986522E-2"/>
  </r>
  <r>
    <x v="826"/>
    <s v="b3S"/>
    <x v="5"/>
    <n v="2"/>
    <x v="0"/>
    <s v="CRUZEIRO"/>
    <s v="SP"/>
    <n v="126610"/>
    <n v="86776"/>
    <n v="34826"/>
    <n v="3259"/>
    <n v="0"/>
    <n v="123351"/>
    <n v="8043"/>
    <n v="0"/>
    <n v="1"/>
    <n v="0.68538030171392461"/>
    <n v="6.5204173456234651E-2"/>
  </r>
  <r>
    <x v="827"/>
    <s v="n2"/>
    <x v="4"/>
    <n v="2"/>
    <x v="0"/>
    <s v="SAO PAULO"/>
    <s v="SP"/>
    <n v="126171"/>
    <n v="0"/>
    <n v="34318"/>
    <n v="86143"/>
    <n v="0"/>
    <n v="40028"/>
    <n v="-1303"/>
    <n v="3"/>
    <n v="0"/>
    <n v="0"/>
    <n v="-3.2552213450584594E-2"/>
  </r>
  <r>
    <x v="828"/>
    <s v="n1"/>
    <x v="5"/>
    <n v="2"/>
    <x v="0"/>
    <s v="SAO PAULO"/>
    <s v="SP"/>
    <n v="124765"/>
    <n v="16993"/>
    <n v="0"/>
    <n v="41298"/>
    <n v="269"/>
    <n v="83467"/>
    <n v="57894"/>
    <n v="2"/>
    <n v="0"/>
    <n v="0.13620005610547831"/>
    <n v="0.69361544083290405"/>
  </r>
  <r>
    <x v="829"/>
    <s v="n1"/>
    <x v="4"/>
    <n v="3"/>
    <x v="2"/>
    <s v="SAO PAULO"/>
    <s v="SP"/>
    <n v="123609"/>
    <n v="20025"/>
    <n v="62180"/>
    <n v="12822"/>
    <n v="86"/>
    <n v="110787"/>
    <n v="6504"/>
    <n v="4"/>
    <n v="0"/>
    <n v="0.16200276678882605"/>
    <n v="5.870724904546562E-2"/>
  </r>
  <r>
    <x v="830"/>
    <s v="b3S"/>
    <x v="4"/>
    <n v="2"/>
    <x v="0"/>
    <s v="FORTALEZA"/>
    <s v="CE"/>
    <n v="123366"/>
    <n v="57331"/>
    <n v="29471"/>
    <n v="108592"/>
    <n v="102267"/>
    <n v="14774"/>
    <n v="2308"/>
    <n v="0"/>
    <n v="2"/>
    <n v="0.46472285718917694"/>
    <n v="0.1562203871666441"/>
  </r>
  <r>
    <x v="831"/>
    <s v="b3S"/>
    <x v="5"/>
    <n v="2"/>
    <x v="0"/>
    <s v="SOROCABA"/>
    <s v="SP"/>
    <n v="121685"/>
    <n v="44838"/>
    <n v="70906"/>
    <n v="103156"/>
    <n v="99924"/>
    <n v="18529"/>
    <n v="947"/>
    <n v="0"/>
    <n v="4"/>
    <n v="0.36847598307104407"/>
    <n v="5.1109072265097956E-2"/>
  </r>
  <r>
    <x v="832"/>
    <s v="b3S"/>
    <x v="5"/>
    <n v="2"/>
    <x v="0"/>
    <s v="BRASILIA"/>
    <s v="DF"/>
    <n v="121115"/>
    <n v="86413"/>
    <n v="15044"/>
    <n v="86899"/>
    <n v="82067"/>
    <n v="34215"/>
    <n v="2150"/>
    <n v="0"/>
    <n v="1"/>
    <n v="0.71347892498864718"/>
    <n v="6.2837936577524484E-2"/>
  </r>
  <r>
    <x v="833"/>
    <s v="n4"/>
    <x v="0"/>
    <n v="2"/>
    <x v="0"/>
    <s v="OSASCO"/>
    <s v="SP"/>
    <n v="119144"/>
    <n v="0"/>
    <n v="12"/>
    <n v="91957"/>
    <n v="68852"/>
    <n v="27186"/>
    <n v="-22223"/>
    <n v="1"/>
    <n v="0"/>
    <n v="0"/>
    <n v="-0.81744280144191861"/>
  </r>
  <r>
    <x v="834"/>
    <s v="n4"/>
    <x v="4"/>
    <n v="2"/>
    <x v="0"/>
    <s v="BELO HORIZONTE"/>
    <s v="MG"/>
    <n v="118864"/>
    <n v="0"/>
    <n v="2995"/>
    <n v="107762"/>
    <n v="93907"/>
    <n v="11103"/>
    <n v="-14104"/>
    <n v="1"/>
    <n v="0"/>
    <n v="0"/>
    <n v="-1.2702873097361074"/>
  </r>
  <r>
    <x v="835"/>
    <s v="b3S"/>
    <x v="5"/>
    <n v="2"/>
    <x v="0"/>
    <s v="BALSAS"/>
    <s v="MA"/>
    <n v="118803"/>
    <n v="70417"/>
    <n v="8717"/>
    <n v="92572"/>
    <n v="87300"/>
    <n v="26231"/>
    <n v="614"/>
    <n v="0"/>
    <n v="0"/>
    <n v="0.59272072254067654"/>
    <n v="2.3407418703061265E-2"/>
  </r>
  <r>
    <x v="836"/>
    <s v="b3S"/>
    <x v="5"/>
    <n v="2"/>
    <x v="0"/>
    <s v="ESPIGAO D'OESTE"/>
    <s v="RO"/>
    <n v="117781"/>
    <n v="61829"/>
    <n v="5519"/>
    <n v="91804"/>
    <n v="67216"/>
    <n v="25977"/>
    <n v="1734"/>
    <n v="0"/>
    <n v="0"/>
    <n v="0.52494884573912604"/>
    <n v="6.6751356969626974E-2"/>
  </r>
  <r>
    <x v="837"/>
    <s v="n4"/>
    <x v="5"/>
    <n v="2"/>
    <x v="0"/>
    <s v="SAO PAULO"/>
    <s v="SP"/>
    <n v="117084"/>
    <n v="0"/>
    <n v="93393"/>
    <n v="104528"/>
    <n v="104111"/>
    <n v="12556"/>
    <n v="1750"/>
    <n v="1"/>
    <n v="0"/>
    <n v="0"/>
    <n v="0.13937559732398852"/>
  </r>
  <r>
    <x v="838"/>
    <s v="n4"/>
    <x v="3"/>
    <n v="2"/>
    <x v="0"/>
    <s v="BARUERI"/>
    <s v="SP"/>
    <n v="117066"/>
    <n v="0"/>
    <n v="0"/>
    <n v="102958"/>
    <n v="98401"/>
    <n v="14108"/>
    <n v="-4078"/>
    <n v="1"/>
    <n v="0"/>
    <n v="0"/>
    <n v="-0.28905585483413665"/>
  </r>
  <r>
    <x v="839"/>
    <s v="b3S"/>
    <x v="4"/>
    <n v="2"/>
    <x v="0"/>
    <s v="CURITIBA"/>
    <s v="PR"/>
    <n v="116473"/>
    <n v="44098"/>
    <n v="53207"/>
    <n v="101245"/>
    <n v="87387"/>
    <n v="15228"/>
    <n v="1327"/>
    <n v="0"/>
    <n v="2"/>
    <n v="0.37861135198715584"/>
    <n v="8.714210664565275E-2"/>
  </r>
  <r>
    <x v="840"/>
    <s v="n4"/>
    <x v="3"/>
    <n v="3"/>
    <x v="2"/>
    <s v="SAO PAULO"/>
    <s v="SP"/>
    <n v="115367"/>
    <n v="0"/>
    <n v="53571"/>
    <n v="92959"/>
    <n v="90955"/>
    <n v="22408"/>
    <n v="2412"/>
    <n v="1"/>
    <n v="0"/>
    <n v="0"/>
    <n v="0.1076401285255266"/>
  </r>
  <r>
    <x v="841"/>
    <s v="n1"/>
    <x v="5"/>
    <n v="2"/>
    <x v="0"/>
    <s v="PORTO ALEGRE"/>
    <s v="RS"/>
    <n v="112973"/>
    <n v="50890"/>
    <n v="51702"/>
    <n v="53493"/>
    <n v="50003"/>
    <n v="59480"/>
    <n v="2783"/>
    <n v="2"/>
    <n v="0"/>
    <n v="0.45046161472210172"/>
    <n v="4.6788836583725624E-2"/>
  </r>
  <r>
    <x v="842"/>
    <s v="n4"/>
    <x v="3"/>
    <n v="2"/>
    <x v="0"/>
    <s v="MARINGA"/>
    <s v="PR"/>
    <n v="112954"/>
    <n v="0"/>
    <n v="90"/>
    <n v="115123"/>
    <n v="12352"/>
    <n v="-2169"/>
    <n v="-13419"/>
    <n v="1"/>
    <n v="0"/>
    <n v="0"/>
    <n v="6.186721991701245"/>
  </r>
  <r>
    <x v="843"/>
    <s v="n4"/>
    <x v="3"/>
    <n v="2"/>
    <x v="0"/>
    <s v="PORTO ALEGRE"/>
    <s v="RS"/>
    <n v="112953"/>
    <n v="0"/>
    <n v="230"/>
    <n v="105954"/>
    <n v="104060"/>
    <n v="6999"/>
    <n v="1691"/>
    <n v="1"/>
    <n v="0"/>
    <n v="0"/>
    <n v="0.24160594370624375"/>
  </r>
  <r>
    <x v="844"/>
    <s v="n1"/>
    <x v="5"/>
    <n v="2"/>
    <x v="0"/>
    <s v="ARACAJU"/>
    <s v="SE"/>
    <n v="112887"/>
    <n v="9611"/>
    <n v="0"/>
    <n v="88940"/>
    <n v="22847"/>
    <n v="23947"/>
    <n v="-7461"/>
    <n v="2"/>
    <n v="0"/>
    <n v="8.5138235580713456E-2"/>
    <n v="-0.31156303503570387"/>
  </r>
  <r>
    <x v="845"/>
    <s v="n1"/>
    <x v="4"/>
    <n v="3"/>
    <x v="2"/>
    <s v="UBERLANDIA"/>
    <s v="MG"/>
    <n v="112564"/>
    <n v="43"/>
    <n v="102119"/>
    <n v="32427"/>
    <n v="29554"/>
    <n v="80137"/>
    <n v="1769"/>
    <n v="2"/>
    <n v="0"/>
    <n v="3.8200490387690558E-4"/>
    <n v="2.2074697081248363E-2"/>
  </r>
  <r>
    <x v="846"/>
    <s v="n1"/>
    <x v="4"/>
    <n v="3"/>
    <x v="2"/>
    <s v="BARUERI"/>
    <s v="SP"/>
    <n v="111956"/>
    <n v="25443"/>
    <n v="2477"/>
    <n v="31801"/>
    <n v="0"/>
    <n v="80155"/>
    <n v="16758"/>
    <n v="2"/>
    <n v="0"/>
    <n v="0.22725892314837973"/>
    <n v="0.20906992701640573"/>
  </r>
  <r>
    <x v="847"/>
    <s v="b3S"/>
    <x v="5"/>
    <n v="2"/>
    <x v="0"/>
    <s v="JOAO PESSOA"/>
    <s v="PB"/>
    <n v="111803"/>
    <n v="63507"/>
    <n v="6523"/>
    <n v="87866"/>
    <n v="84060"/>
    <n v="23937"/>
    <n v="841"/>
    <n v="0"/>
    <n v="3"/>
    <n v="0.56802590270386299"/>
    <n v="3.5133893136149057E-2"/>
  </r>
  <r>
    <x v="848"/>
    <s v="b3S"/>
    <x v="5"/>
    <n v="2"/>
    <x v="0"/>
    <s v="SAO PAULO"/>
    <s v="SP"/>
    <n v="111365"/>
    <n v="17659"/>
    <n v="90883"/>
    <n v="90496"/>
    <n v="88948"/>
    <n v="20868"/>
    <n v="574"/>
    <n v="0"/>
    <n v="0"/>
    <n v="0.1585686705877071"/>
    <n v="2.7506229633889209E-2"/>
  </r>
  <r>
    <x v="849"/>
    <s v="n4"/>
    <x v="5"/>
    <n v="2"/>
    <x v="0"/>
    <s v="MANAUS"/>
    <s v="AM"/>
    <n v="110960"/>
    <n v="0"/>
    <n v="190"/>
    <n v="86711"/>
    <n v="21484"/>
    <n v="24250"/>
    <n v="-14442"/>
    <n v="1"/>
    <n v="0"/>
    <n v="0"/>
    <n v="-0.59554639175257729"/>
  </r>
  <r>
    <x v="850"/>
    <s v="b3S"/>
    <x v="4"/>
    <n v="2"/>
    <x v="0"/>
    <s v="PORTO ALEGRE"/>
    <s v="RS"/>
    <n v="110619"/>
    <n v="30324"/>
    <n v="65148"/>
    <n v="99125"/>
    <n v="88348"/>
    <n v="11493"/>
    <n v="851"/>
    <n v="0"/>
    <n v="1"/>
    <n v="0.27413012231171863"/>
    <n v="7.4045070912729494E-2"/>
  </r>
  <r>
    <x v="851"/>
    <s v="n4"/>
    <x v="5"/>
    <n v="3"/>
    <x v="2"/>
    <s v="SAO PAULO"/>
    <s v="SP"/>
    <n v="110323"/>
    <n v="0"/>
    <n v="97341"/>
    <n v="45011"/>
    <n v="17847"/>
    <n v="65312"/>
    <n v="-9392"/>
    <n v="1"/>
    <n v="0"/>
    <n v="0"/>
    <n v="-0.14380205781479666"/>
  </r>
  <r>
    <x v="852"/>
    <s v="n1"/>
    <x v="5"/>
    <n v="2"/>
    <x v="0"/>
    <s v="SAO PAULO"/>
    <s v="SP"/>
    <n v="109622"/>
    <n v="50101"/>
    <n v="46569"/>
    <n v="21268"/>
    <n v="0"/>
    <n v="88354"/>
    <n v="10432"/>
    <n v="2"/>
    <n v="0"/>
    <n v="0.45703417197277918"/>
    <n v="0.11807048916857188"/>
  </r>
  <r>
    <x v="853"/>
    <s v="n2"/>
    <x v="4"/>
    <n v="3"/>
    <x v="2"/>
    <s v="SAO PAULO"/>
    <s v="SP"/>
    <n v="109463"/>
    <n v="0"/>
    <n v="65435"/>
    <n v="71070"/>
    <n v="39835"/>
    <n v="38392"/>
    <n v="-2654"/>
    <n v="2"/>
    <n v="0"/>
    <n v="0"/>
    <n v="-6.9128985205251098E-2"/>
  </r>
  <r>
    <x v="854"/>
    <s v="b3S"/>
    <x v="5"/>
    <n v="2"/>
    <x v="0"/>
    <s v="SAO FRANCISCO DE SALES"/>
    <s v="MG"/>
    <n v="108214"/>
    <n v="78693"/>
    <n v="3991"/>
    <n v="85433"/>
    <n v="58924"/>
    <n v="22781"/>
    <n v="-4320"/>
    <n v="0"/>
    <n v="0"/>
    <n v="0.72719795959857325"/>
    <n v="-0.18963171063605636"/>
  </r>
  <r>
    <x v="855"/>
    <s v="b3S"/>
    <x v="5"/>
    <n v="2"/>
    <x v="0"/>
    <s v="SAO BERNARDO DO CAMPO"/>
    <s v="SP"/>
    <n v="107865"/>
    <n v="75516"/>
    <n v="26311"/>
    <n v="19177"/>
    <n v="6867"/>
    <n v="88688"/>
    <n v="6608"/>
    <n v="0"/>
    <n v="8"/>
    <n v="0.70009734390209988"/>
    <n v="7.4508388959047447E-2"/>
  </r>
  <r>
    <x v="856"/>
    <s v="n1"/>
    <x v="4"/>
    <n v="2"/>
    <x v="0"/>
    <s v="JOINVILLE"/>
    <s v="SC"/>
    <n v="107173"/>
    <n v="78118"/>
    <n v="26858"/>
    <n v="45054"/>
    <n v="42526"/>
    <n v="62119"/>
    <n v="-2451"/>
    <n v="2"/>
    <n v="0"/>
    <n v="0.7288962705158949"/>
    <n v="-3.9456526988522027E-2"/>
  </r>
  <r>
    <x v="857"/>
    <s v="b3S"/>
    <x v="4"/>
    <n v="2"/>
    <x v="0"/>
    <s v="PORTO ALEGRE"/>
    <s v="RS"/>
    <n v="105322"/>
    <n v="65301"/>
    <n v="22286"/>
    <n v="94223"/>
    <n v="80421"/>
    <n v="11099"/>
    <n v="162"/>
    <n v="0"/>
    <n v="2"/>
    <n v="0.62001291278175497"/>
    <n v="1.4595909541400127E-2"/>
  </r>
  <r>
    <x v="858"/>
    <s v="n1"/>
    <x v="4"/>
    <n v="1"/>
    <x v="1"/>
    <s v="NATAL"/>
    <s v="RN"/>
    <n v="104508"/>
    <n v="61607"/>
    <n v="36655"/>
    <n v="32801"/>
    <n v="13425"/>
    <n v="71707"/>
    <n v="2130"/>
    <n v="2"/>
    <n v="0"/>
    <n v="0.58949554101121449"/>
    <n v="2.9704212977812488E-2"/>
  </r>
  <r>
    <x v="859"/>
    <s v="n1"/>
    <x v="4"/>
    <n v="2"/>
    <x v="0"/>
    <s v="RIO DE JANEIRO"/>
    <s v="RJ"/>
    <n v="103832"/>
    <n v="72526"/>
    <n v="8853"/>
    <n v="82276"/>
    <n v="72865"/>
    <n v="21557"/>
    <n v="2429"/>
    <n v="2"/>
    <n v="0"/>
    <n v="0.69849372062562598"/>
    <n v="0.11267801642158"/>
  </r>
  <r>
    <x v="860"/>
    <s v="b3S"/>
    <x v="5"/>
    <n v="2"/>
    <x v="0"/>
    <s v="SAO PAULO"/>
    <s v="SP"/>
    <n v="103605"/>
    <n v="46726"/>
    <n v="53734"/>
    <n v="2606"/>
    <n v="0"/>
    <n v="100998"/>
    <n v="4891"/>
    <n v="0"/>
    <n v="1"/>
    <n v="0.45100139954635393"/>
    <n v="4.8426701518841958E-2"/>
  </r>
  <r>
    <x v="861"/>
    <s v="n1"/>
    <x v="5"/>
    <n v="2"/>
    <x v="0"/>
    <s v="SANTA CRUZ DO SUL"/>
    <s v="RS"/>
    <n v="103346"/>
    <n v="90127"/>
    <n v="7050"/>
    <n v="61477"/>
    <n v="57956"/>
    <n v="41869"/>
    <n v="5252"/>
    <n v="2"/>
    <n v="0"/>
    <n v="0.87208987285429529"/>
    <n v="0.12543886885285055"/>
  </r>
  <r>
    <x v="862"/>
    <s v="b3S"/>
    <x v="4"/>
    <n v="2"/>
    <x v="0"/>
    <s v="PORTO ALEGRE"/>
    <s v="RS"/>
    <n v="102927"/>
    <n v="31963"/>
    <n v="62673"/>
    <n v="93055"/>
    <n v="72589"/>
    <n v="9873"/>
    <n v="568"/>
    <n v="0"/>
    <n v="1"/>
    <n v="0.31054048014612295"/>
    <n v="5.7530639116783147E-2"/>
  </r>
  <r>
    <x v="863"/>
    <s v="b3S"/>
    <x v="5"/>
    <n v="2"/>
    <x v="0"/>
    <s v="SERTAOZINHO"/>
    <s v="SP"/>
    <n v="102394"/>
    <n v="48991"/>
    <n v="52252"/>
    <n v="61134"/>
    <n v="58196"/>
    <n v="41259"/>
    <n v="2188"/>
    <n v="0"/>
    <n v="1"/>
    <n v="0.47845576889270858"/>
    <n v="5.3030853874306214E-2"/>
  </r>
  <r>
    <x v="864"/>
    <s v="b2"/>
    <x v="4"/>
    <n v="3"/>
    <x v="2"/>
    <s v="SAO PAULO"/>
    <s v="SP"/>
    <n v="101701"/>
    <n v="46412"/>
    <n v="0"/>
    <n v="1805"/>
    <n v="0"/>
    <n v="99896"/>
    <n v="125"/>
    <n v="2"/>
    <n v="0"/>
    <n v="0.45635736128454979"/>
    <n v="1.2513013534075439E-3"/>
  </r>
  <r>
    <x v="865"/>
    <s v="n4"/>
    <x v="3"/>
    <n v="2"/>
    <x v="0"/>
    <s v="SAO PAULO"/>
    <s v="SP"/>
    <n v="100620"/>
    <n v="0"/>
    <n v="1110"/>
    <n v="87917"/>
    <n v="76755"/>
    <n v="12703"/>
    <n v="121"/>
    <n v="1"/>
    <n v="0"/>
    <n v="0"/>
    <n v="9.525308982130205E-3"/>
  </r>
  <r>
    <x v="866"/>
    <s v="b3S"/>
    <x v="5"/>
    <n v="2"/>
    <x v="0"/>
    <s v="SAO CARLOS"/>
    <s v="SP"/>
    <n v="100617"/>
    <n v="26405"/>
    <n v="70681"/>
    <n v="87009"/>
    <n v="85410"/>
    <n v="13608"/>
    <n v="-1198"/>
    <n v="0"/>
    <n v="4"/>
    <n v="0.26243080195195645"/>
    <n v="-8.8036449147560258E-2"/>
  </r>
  <r>
    <x v="867"/>
    <s v="n2"/>
    <x v="4"/>
    <n v="2"/>
    <x v="0"/>
    <s v="BELO HORIZONTE"/>
    <s v="MG"/>
    <n v="99753"/>
    <n v="0"/>
    <n v="74454"/>
    <n v="48350"/>
    <n v="0"/>
    <n v="51402"/>
    <n v="3204"/>
    <n v="2"/>
    <n v="0"/>
    <n v="0"/>
    <n v="6.2332204972569159E-2"/>
  </r>
  <r>
    <x v="868"/>
    <s v="b3S"/>
    <x v="5"/>
    <n v="2"/>
    <x v="0"/>
    <s v="UBERABA"/>
    <s v="MG"/>
    <n v="98135"/>
    <n v="49909"/>
    <n v="3041"/>
    <n v="82755"/>
    <n v="80897"/>
    <n v="15380"/>
    <n v="1013"/>
    <n v="0"/>
    <n v="0"/>
    <n v="0.50857492230091206"/>
    <n v="6.5864759427828351E-2"/>
  </r>
  <r>
    <x v="869"/>
    <s v="b3S"/>
    <x v="4"/>
    <n v="2"/>
    <x v="0"/>
    <s v="SAO LUIS"/>
    <s v="MA"/>
    <n v="97882"/>
    <n v="45562"/>
    <n v="32388"/>
    <n v="78129"/>
    <n v="69743"/>
    <n v="19752"/>
    <n v="1123"/>
    <n v="0"/>
    <n v="2"/>
    <n v="0.46547884187082406"/>
    <n v="5.685500202511138E-2"/>
  </r>
  <r>
    <x v="870"/>
    <s v="n2"/>
    <x v="4"/>
    <n v="2"/>
    <x v="0"/>
    <s v="SAO PAULO"/>
    <s v="SP"/>
    <n v="97586"/>
    <n v="0"/>
    <n v="11057"/>
    <n v="85555"/>
    <n v="74561"/>
    <n v="12031"/>
    <n v="3054"/>
    <n v="2"/>
    <n v="0"/>
    <n v="0"/>
    <n v="0.2538442357243787"/>
  </r>
  <r>
    <x v="871"/>
    <s v="n4"/>
    <x v="4"/>
    <n v="3"/>
    <x v="2"/>
    <s v="BARUERI"/>
    <s v="SP"/>
    <n v="97403"/>
    <n v="0"/>
    <n v="62"/>
    <n v="70253"/>
    <n v="116"/>
    <n v="27150"/>
    <n v="4890"/>
    <n v="1"/>
    <n v="0"/>
    <n v="0"/>
    <n v="0.18011049723756906"/>
  </r>
  <r>
    <x v="872"/>
    <s v="n4"/>
    <x v="3"/>
    <n v="2"/>
    <x v="0"/>
    <s v="SAO PAULO"/>
    <s v="SP"/>
    <n v="96567"/>
    <n v="0"/>
    <n v="2"/>
    <n v="107704"/>
    <n v="107181"/>
    <n v="-11137"/>
    <n v="-18345"/>
    <n v="1"/>
    <n v="0"/>
    <n v="0"/>
    <n v="1.6472119960492053"/>
  </r>
  <r>
    <x v="873"/>
    <s v="b1"/>
    <x v="4"/>
    <n v="3"/>
    <x v="2"/>
    <s v="SAO PAULO"/>
    <s v="SP"/>
    <n v="96498"/>
    <n v="33358"/>
    <n v="5684"/>
    <n v="65086"/>
    <n v="31979"/>
    <n v="31412"/>
    <n v="-1689"/>
    <n v="2"/>
    <n v="0"/>
    <n v="0.34568592095172956"/>
    <n v="-5.3769260155354638E-2"/>
  </r>
  <r>
    <x v="874"/>
    <s v="n1"/>
    <x v="5"/>
    <n v="2"/>
    <x v="0"/>
    <s v="PASSO FUNDO"/>
    <s v="RS"/>
    <n v="95989"/>
    <n v="87874"/>
    <n v="0"/>
    <n v="65269"/>
    <n v="58002"/>
    <n v="30720"/>
    <n v="6383"/>
    <n v="2"/>
    <n v="0"/>
    <n v="0.91545906301763746"/>
    <n v="0.20777994791666668"/>
  </r>
  <r>
    <x v="875"/>
    <s v="n2"/>
    <x v="4"/>
    <n v="2"/>
    <x v="0"/>
    <s v="SAO PAULO"/>
    <s v="SP"/>
    <n v="95959"/>
    <n v="0"/>
    <n v="63936"/>
    <n v="64580"/>
    <n v="46233"/>
    <n v="31379"/>
    <n v="-1056"/>
    <n v="2"/>
    <n v="0"/>
    <n v="0"/>
    <n v="-3.365308008540744E-2"/>
  </r>
  <r>
    <x v="876"/>
    <s v="n2"/>
    <x v="4"/>
    <n v="2"/>
    <x v="0"/>
    <s v="SAO PAULO"/>
    <s v="SP"/>
    <n v="92220"/>
    <n v="0"/>
    <n v="1979"/>
    <n v="86083"/>
    <n v="84424"/>
    <n v="6137"/>
    <n v="1259"/>
    <n v="2"/>
    <n v="0"/>
    <n v="0"/>
    <n v="0.20514909564934006"/>
  </r>
  <r>
    <x v="877"/>
    <s v="b3S"/>
    <x v="5"/>
    <n v="2"/>
    <x v="0"/>
    <s v="PIMENTA"/>
    <s v="MG"/>
    <n v="91861"/>
    <n v="24427"/>
    <n v="2462"/>
    <n v="78360"/>
    <n v="70908"/>
    <n v="13501"/>
    <n v="997"/>
    <n v="0"/>
    <n v="0"/>
    <n v="0.26591262886317368"/>
    <n v="7.3846381749500034E-2"/>
  </r>
  <r>
    <x v="878"/>
    <s v="b3S"/>
    <x v="5"/>
    <n v="2"/>
    <x v="0"/>
    <s v="SAO JOAO DA BOA VISTA"/>
    <s v="SP"/>
    <n v="91826"/>
    <n v="66852"/>
    <n v="3250"/>
    <n v="64968"/>
    <n v="63295"/>
    <n v="26858"/>
    <n v="808"/>
    <n v="0"/>
    <n v="1"/>
    <n v="0.72802909851240394"/>
    <n v="3.0084146250651575E-2"/>
  </r>
  <r>
    <x v="879"/>
    <s v="b3S"/>
    <x v="5"/>
    <n v="2"/>
    <x v="0"/>
    <s v="BELO HORIZONTE"/>
    <s v="MG"/>
    <n v="91470"/>
    <n v="5746"/>
    <n v="2558"/>
    <n v="77271"/>
    <n v="75709"/>
    <n v="14199"/>
    <n v="1499"/>
    <n v="0"/>
    <n v="0"/>
    <n v="6.2818410407783978E-2"/>
    <n v="0.10557081484611593"/>
  </r>
  <r>
    <x v="880"/>
    <s v="n1"/>
    <x v="5"/>
    <n v="3"/>
    <x v="2"/>
    <s v="SAO PAULO"/>
    <s v="SP"/>
    <n v="91105"/>
    <n v="0"/>
    <n v="351"/>
    <n v="42487"/>
    <n v="173"/>
    <n v="48618"/>
    <n v="-1410"/>
    <n v="2"/>
    <n v="0"/>
    <n v="0"/>
    <n v="-2.9001604344070099E-2"/>
  </r>
  <r>
    <x v="881"/>
    <s v="b3S"/>
    <x v="5"/>
    <n v="2"/>
    <x v="0"/>
    <s v="AMERICANA"/>
    <s v="SP"/>
    <n v="90931"/>
    <n v="39643"/>
    <n v="49349"/>
    <n v="81677"/>
    <n v="77988"/>
    <n v="9254"/>
    <n v="-971"/>
    <n v="0"/>
    <n v="7"/>
    <n v="0.43596793172845344"/>
    <n v="-0.10492759887616165"/>
  </r>
  <r>
    <x v="882"/>
    <s v="n1"/>
    <x v="5"/>
    <n v="3"/>
    <x v="2"/>
    <s v="SAO PAULO"/>
    <s v="SP"/>
    <n v="89545"/>
    <n v="11122"/>
    <n v="14745"/>
    <n v="11124"/>
    <n v="0"/>
    <n v="78421"/>
    <n v="1988"/>
    <n v="2"/>
    <n v="0"/>
    <n v="0.12420570662795243"/>
    <n v="2.5350352584129252E-2"/>
  </r>
  <r>
    <x v="883"/>
    <s v="n1"/>
    <x v="5"/>
    <n v="2"/>
    <x v="0"/>
    <s v="MARINGA"/>
    <s v="PR"/>
    <n v="88622"/>
    <n v="3503"/>
    <n v="34661"/>
    <n v="26792"/>
    <n v="0"/>
    <n v="61830"/>
    <n v="11768"/>
    <n v="2"/>
    <n v="0"/>
    <n v="3.9527431111913522E-2"/>
    <n v="0.1903283195859615"/>
  </r>
  <r>
    <x v="884"/>
    <s v="n1"/>
    <x v="5"/>
    <n v="2"/>
    <x v="0"/>
    <s v="SAO PAULO"/>
    <s v="SP"/>
    <n v="87607"/>
    <n v="6148"/>
    <n v="60"/>
    <n v="77531"/>
    <n v="55181"/>
    <n v="10076"/>
    <n v="474"/>
    <n v="2"/>
    <n v="0"/>
    <n v="7.017704064743685E-2"/>
    <n v="4.7042477173481541E-2"/>
  </r>
  <r>
    <x v="885"/>
    <s v="b3S"/>
    <x v="5"/>
    <n v="2"/>
    <x v="0"/>
    <s v="FRANCA"/>
    <s v="SP"/>
    <n v="86529"/>
    <n v="27557"/>
    <n v="57739"/>
    <n v="7100"/>
    <n v="0"/>
    <n v="79430"/>
    <n v="6545"/>
    <n v="0"/>
    <n v="0"/>
    <n v="0.31847126396930509"/>
    <n v="8.239959712954803E-2"/>
  </r>
  <r>
    <x v="886"/>
    <s v="b3S"/>
    <x v="5"/>
    <n v="2"/>
    <x v="0"/>
    <s v="CARIACICA"/>
    <s v="ES"/>
    <n v="86019"/>
    <n v="35390"/>
    <n v="36719"/>
    <n v="14146"/>
    <n v="0"/>
    <n v="71873"/>
    <n v="4277"/>
    <n v="0"/>
    <n v="0"/>
    <n v="0.41142073262883783"/>
    <n v="5.9507742824148148E-2"/>
  </r>
  <r>
    <x v="887"/>
    <s v="n1"/>
    <x v="4"/>
    <n v="2"/>
    <x v="0"/>
    <s v="OURO PRETO"/>
    <s v="MG"/>
    <n v="85877"/>
    <n v="61185"/>
    <n v="0"/>
    <n v="76777"/>
    <n v="72394"/>
    <n v="9101"/>
    <n v="1773"/>
    <n v="2"/>
    <n v="0"/>
    <n v="0.71247248972367461"/>
    <n v="0.19481375673002968"/>
  </r>
  <r>
    <x v="888"/>
    <s v="n2"/>
    <x v="4"/>
    <n v="3"/>
    <x v="2"/>
    <s v="SAO PAULO"/>
    <s v="SP"/>
    <n v="85540"/>
    <n v="0"/>
    <n v="54861"/>
    <n v="10415"/>
    <n v="4954"/>
    <n v="75125"/>
    <n v="2021"/>
    <n v="2"/>
    <n v="0"/>
    <n v="0"/>
    <n v="2.6901830282861895E-2"/>
  </r>
  <r>
    <x v="889"/>
    <s v="n1"/>
    <x v="5"/>
    <n v="2"/>
    <x v="0"/>
    <s v="SANTOS"/>
    <s v="SP"/>
    <n v="83962"/>
    <n v="6730"/>
    <n v="65468"/>
    <n v="805"/>
    <n v="0"/>
    <n v="83157"/>
    <n v="1658"/>
    <n v="3"/>
    <n v="0"/>
    <n v="8.0155308353779084E-2"/>
    <n v="1.99381892083649E-2"/>
  </r>
  <r>
    <x v="890"/>
    <s v="n4"/>
    <x v="3"/>
    <n v="2"/>
    <x v="0"/>
    <s v="BARUERI"/>
    <s v="SP"/>
    <n v="82196"/>
    <n v="0"/>
    <n v="7571"/>
    <n v="61538"/>
    <n v="3260"/>
    <n v="20658"/>
    <n v="-2584"/>
    <n v="1"/>
    <n v="0"/>
    <n v="0"/>
    <n v="-0.12508471294413787"/>
  </r>
  <r>
    <x v="891"/>
    <s v="b3S"/>
    <x v="5"/>
    <n v="2"/>
    <x v="0"/>
    <s v="ERECHIM"/>
    <s v="RS"/>
    <n v="82122"/>
    <n v="50064"/>
    <n v="1706"/>
    <n v="68755"/>
    <n v="63160"/>
    <n v="13367"/>
    <n v="805"/>
    <n v="0"/>
    <n v="1"/>
    <n v="0.60962957550960761"/>
    <n v="6.0222937083863247E-2"/>
  </r>
  <r>
    <x v="892"/>
    <s v="n2"/>
    <x v="4"/>
    <n v="2"/>
    <x v="0"/>
    <s v="SAO PAULO"/>
    <s v="SP"/>
    <n v="81461"/>
    <n v="0"/>
    <n v="1063"/>
    <n v="77338"/>
    <n v="73745"/>
    <n v="4123"/>
    <n v="421"/>
    <n v="2"/>
    <n v="0"/>
    <n v="0"/>
    <n v="0.10211011399466408"/>
  </r>
  <r>
    <x v="893"/>
    <s v="n1"/>
    <x v="4"/>
    <n v="1"/>
    <x v="1"/>
    <s v="PALMAS"/>
    <s v="TO"/>
    <n v="81401"/>
    <n v="44291"/>
    <n v="35380"/>
    <n v="35692"/>
    <n v="34633"/>
    <n v="45709"/>
    <n v="-351"/>
    <n v="1"/>
    <n v="0"/>
    <n v="0.54410879473225149"/>
    <n v="-7.6790128858649281E-3"/>
  </r>
  <r>
    <x v="894"/>
    <s v="b3S"/>
    <x v="5"/>
    <n v="2"/>
    <x v="0"/>
    <s v="CAXIAS DO SUL"/>
    <s v="RS"/>
    <n v="81301"/>
    <n v="31766"/>
    <n v="9577"/>
    <n v="13848"/>
    <n v="8837"/>
    <n v="67453"/>
    <n v="1979"/>
    <n v="0"/>
    <n v="0"/>
    <n v="0.39072090134192694"/>
    <n v="2.9338947118734526E-2"/>
  </r>
  <r>
    <x v="895"/>
    <s v="b3S"/>
    <x v="5"/>
    <n v="2"/>
    <x v="0"/>
    <s v="SANTO ANDRE"/>
    <s v="SP"/>
    <n v="81197"/>
    <n v="52940"/>
    <n v="25412"/>
    <n v="45643"/>
    <n v="42847"/>
    <n v="35554"/>
    <n v="-969"/>
    <n v="0"/>
    <n v="6"/>
    <n v="0.65199453181767797"/>
    <n v="-2.7254317376385218E-2"/>
  </r>
  <r>
    <x v="896"/>
    <s v="b2"/>
    <x v="4"/>
    <n v="2"/>
    <x v="0"/>
    <s v="SAO PAULO"/>
    <s v="SP"/>
    <n v="80988"/>
    <n v="8348"/>
    <n v="63362"/>
    <n v="2699"/>
    <n v="1936"/>
    <n v="78289"/>
    <n v="-905"/>
    <n v="2"/>
    <n v="0"/>
    <n v="0.10307699906158937"/>
    <n v="-1.1559733806792781E-2"/>
  </r>
  <r>
    <x v="897"/>
    <s v="n2"/>
    <x v="4"/>
    <n v="2"/>
    <x v="0"/>
    <s v="SAO PAULO"/>
    <s v="SP"/>
    <n v="80677"/>
    <n v="0"/>
    <n v="2815"/>
    <n v="53617"/>
    <n v="49850"/>
    <n v="27060"/>
    <n v="135"/>
    <n v="2"/>
    <n v="0"/>
    <n v="0"/>
    <n v="4.9889135254988911E-3"/>
  </r>
  <r>
    <x v="898"/>
    <s v="b3S"/>
    <x v="5"/>
    <n v="2"/>
    <x v="0"/>
    <s v="PORTO ALEGRE"/>
    <s v="RS"/>
    <n v="80343"/>
    <n v="72812"/>
    <n v="11"/>
    <n v="37775"/>
    <n v="36148"/>
    <n v="42568"/>
    <n v="765"/>
    <n v="0"/>
    <n v="0"/>
    <n v="0.90626439142177917"/>
    <n v="1.7971246006389777E-2"/>
  </r>
  <r>
    <x v="899"/>
    <s v="b3S"/>
    <x v="5"/>
    <n v="2"/>
    <x v="0"/>
    <s v="BELO HORIZONTE"/>
    <s v="MG"/>
    <n v="79194"/>
    <n v="36091"/>
    <n v="18973"/>
    <n v="45581"/>
    <n v="37432"/>
    <n v="33613"/>
    <n v="990"/>
    <n v="0"/>
    <n v="4"/>
    <n v="0.45572896936636614"/>
    <n v="2.9452890250795824E-2"/>
  </r>
  <r>
    <x v="900"/>
    <s v="n2"/>
    <x v="4"/>
    <n v="2"/>
    <x v="0"/>
    <s v="CURITIBA"/>
    <s v="PR"/>
    <n v="77904"/>
    <n v="0"/>
    <n v="7094"/>
    <n v="57206"/>
    <n v="49902"/>
    <n v="20698"/>
    <n v="8901"/>
    <n v="2"/>
    <n v="0"/>
    <n v="0"/>
    <n v="0.4300415499082037"/>
  </r>
  <r>
    <x v="901"/>
    <s v="n1"/>
    <x v="4"/>
    <n v="1"/>
    <x v="1"/>
    <s v="RECIFE"/>
    <s v="PE"/>
    <n v="77787"/>
    <n v="21007"/>
    <n v="55460"/>
    <n v="15328"/>
    <n v="13577"/>
    <n v="62459"/>
    <n v="-1308"/>
    <n v="1"/>
    <n v="0"/>
    <n v="0.27005797883965188"/>
    <n v="-2.094173777998367E-2"/>
  </r>
  <r>
    <x v="902"/>
    <s v="b3S"/>
    <x v="5"/>
    <n v="2"/>
    <x v="0"/>
    <s v="SAO PAULO"/>
    <s v="SP"/>
    <n v="77112"/>
    <n v="3204"/>
    <n v="69338"/>
    <n v="6558"/>
    <n v="0"/>
    <n v="70554"/>
    <n v="3236"/>
    <n v="0"/>
    <n v="0"/>
    <n v="4.1549953314659195E-2"/>
    <n v="4.5865578138730614E-2"/>
  </r>
  <r>
    <x v="903"/>
    <s v="b3S"/>
    <x v="4"/>
    <n v="2"/>
    <x v="0"/>
    <s v="IMPERATRIZ"/>
    <s v="MA"/>
    <n v="76862"/>
    <n v="12148"/>
    <n v="44773"/>
    <n v="67507"/>
    <n v="60610"/>
    <n v="9354"/>
    <n v="-543"/>
    <n v="0"/>
    <n v="2"/>
    <n v="0.15804949129608908"/>
    <n v="-5.8050032071840924E-2"/>
  </r>
  <r>
    <x v="904"/>
    <s v="b2"/>
    <x v="4"/>
    <n v="2"/>
    <x v="0"/>
    <s v="CURITIBA"/>
    <s v="PR"/>
    <n v="75906"/>
    <n v="50267"/>
    <n v="3107"/>
    <n v="54803"/>
    <n v="51386"/>
    <n v="21104"/>
    <n v="-379"/>
    <n v="2"/>
    <n v="0"/>
    <n v="0.66222696493030853"/>
    <n v="-1.7958680818802124E-2"/>
  </r>
  <r>
    <x v="905"/>
    <s v="n4"/>
    <x v="3"/>
    <n v="2"/>
    <x v="0"/>
    <s v="NOVA LIMA"/>
    <s v="MG"/>
    <n v="73824"/>
    <n v="0"/>
    <n v="51880"/>
    <n v="62590"/>
    <n v="1390"/>
    <n v="11234"/>
    <n v="4707"/>
    <n v="1"/>
    <n v="0"/>
    <n v="0"/>
    <n v="0.41899590528752001"/>
  </r>
  <r>
    <x v="906"/>
    <s v="n4"/>
    <x v="1"/>
    <n v="3"/>
    <x v="2"/>
    <s v="SAO PAULO"/>
    <s v="SP"/>
    <n v="73123"/>
    <n v="0"/>
    <n v="62365"/>
    <n v="2023"/>
    <n v="0"/>
    <n v="71100"/>
    <n v="3708"/>
    <n v="1"/>
    <n v="0"/>
    <n v="0"/>
    <n v="5.2151898734177214E-2"/>
  </r>
  <r>
    <x v="907"/>
    <s v="b3S"/>
    <x v="5"/>
    <n v="2"/>
    <x v="0"/>
    <s v="RIO DE JANEIRO"/>
    <s v="RJ"/>
    <n v="71619"/>
    <n v="27796"/>
    <n v="3980"/>
    <n v="64179"/>
    <n v="59839"/>
    <n v="7440"/>
    <n v="121"/>
    <n v="0"/>
    <n v="6"/>
    <n v="0.38810930060458815"/>
    <n v="1.6263440860215053E-2"/>
  </r>
  <r>
    <x v="908"/>
    <s v="b3S"/>
    <x v="5"/>
    <n v="2"/>
    <x v="0"/>
    <s v="ITABUNA"/>
    <s v="BA"/>
    <n v="70569"/>
    <n v="40274"/>
    <n v="9693"/>
    <n v="36493"/>
    <n v="32656"/>
    <n v="34076"/>
    <n v="789"/>
    <n v="0"/>
    <n v="1"/>
    <n v="0.57070385013249447"/>
    <n v="2.3154126071135109E-2"/>
  </r>
  <r>
    <x v="909"/>
    <s v="b1"/>
    <x v="4"/>
    <n v="2"/>
    <x v="0"/>
    <s v="RIO DE JANEIRO"/>
    <s v="RJ"/>
    <n v="70283"/>
    <n v="0"/>
    <n v="219"/>
    <n v="11953"/>
    <n v="7145"/>
    <n v="58330"/>
    <n v="-277"/>
    <n v="2"/>
    <n v="0"/>
    <n v="0"/>
    <n v="-4.7488427910166294E-3"/>
  </r>
  <r>
    <x v="910"/>
    <s v="n4"/>
    <x v="3"/>
    <n v="2"/>
    <x v="0"/>
    <s v="BELO HORIZONTE"/>
    <s v="MG"/>
    <n v="70195"/>
    <n v="0"/>
    <n v="8062"/>
    <n v="50434"/>
    <n v="47552"/>
    <n v="19761"/>
    <n v="3475"/>
    <n v="1"/>
    <n v="0"/>
    <n v="0"/>
    <n v="0.17585142452305044"/>
  </r>
  <r>
    <x v="911"/>
    <s v="n4"/>
    <x v="3"/>
    <n v="2"/>
    <x v="0"/>
    <s v="SAO PAULO"/>
    <s v="SP"/>
    <n v="70010"/>
    <n v="0"/>
    <n v="679"/>
    <n v="53742"/>
    <n v="48842"/>
    <n v="16269"/>
    <n v="236"/>
    <n v="1"/>
    <n v="0"/>
    <n v="0"/>
    <n v="1.4506115925994222E-2"/>
  </r>
  <r>
    <x v="912"/>
    <s v="n4"/>
    <x v="3"/>
    <n v="2"/>
    <x v="0"/>
    <s v="SAO CAETANO DO SUL"/>
    <s v="SP"/>
    <n v="68888"/>
    <n v="0"/>
    <n v="16345"/>
    <n v="45658"/>
    <n v="7939"/>
    <n v="23229"/>
    <n v="5604"/>
    <n v="1"/>
    <n v="0"/>
    <n v="0"/>
    <n v="0.24125016143613587"/>
  </r>
  <r>
    <x v="913"/>
    <s v="n1"/>
    <x v="5"/>
    <n v="2"/>
    <x v="0"/>
    <s v="OSASCO"/>
    <s v="SP"/>
    <n v="68721"/>
    <n v="0"/>
    <n v="0"/>
    <n v="22007"/>
    <n v="0"/>
    <n v="46714"/>
    <n v="21586"/>
    <n v="2"/>
    <n v="0"/>
    <n v="0"/>
    <n v="0.46208845314038616"/>
  </r>
  <r>
    <x v="914"/>
    <s v="n1"/>
    <x v="5"/>
    <n v="2"/>
    <x v="0"/>
    <s v="CURITIBA"/>
    <s v="PR"/>
    <n v="68526"/>
    <n v="0"/>
    <n v="56658"/>
    <n v="68165"/>
    <n v="66641"/>
    <n v="361"/>
    <n v="-5113"/>
    <n v="2"/>
    <n v="0"/>
    <n v="0"/>
    <n v="-14.163434903047092"/>
  </r>
  <r>
    <x v="915"/>
    <s v="n4"/>
    <x v="4"/>
    <n v="2"/>
    <x v="0"/>
    <s v="ERECHIM"/>
    <s v="RS"/>
    <n v="68010"/>
    <n v="0"/>
    <n v="9994"/>
    <n v="60038"/>
    <n v="0"/>
    <n v="7971"/>
    <n v="1796"/>
    <n v="1"/>
    <n v="0"/>
    <n v="0"/>
    <n v="0.22531677330322419"/>
  </r>
  <r>
    <x v="916"/>
    <s v="n1"/>
    <x v="5"/>
    <n v="2"/>
    <x v="0"/>
    <s v="SAO PAULO"/>
    <s v="SP"/>
    <n v="66777"/>
    <n v="60222"/>
    <n v="2908"/>
    <n v="23146"/>
    <n v="10670"/>
    <n v="43631"/>
    <n v="4114"/>
    <n v="2"/>
    <n v="0"/>
    <n v="0.90183745900534618"/>
    <n v="9.4290756572162002E-2"/>
  </r>
  <r>
    <x v="917"/>
    <s v="n2"/>
    <x v="4"/>
    <n v="2"/>
    <x v="0"/>
    <s v="SAO PAULO"/>
    <s v="SP"/>
    <n v="66428"/>
    <n v="0"/>
    <n v="3047"/>
    <n v="61864"/>
    <n v="59716"/>
    <n v="4565"/>
    <n v="-1537"/>
    <n v="2"/>
    <n v="0"/>
    <n v="0"/>
    <n v="-0.3366922234392114"/>
  </r>
  <r>
    <x v="918"/>
    <s v="b1"/>
    <x v="4"/>
    <n v="2"/>
    <x v="0"/>
    <s v="CURITIBA"/>
    <s v="PR"/>
    <n v="65132"/>
    <n v="0"/>
    <n v="25723"/>
    <n v="46288"/>
    <n v="14132"/>
    <n v="18844"/>
    <n v="-3414"/>
    <n v="4"/>
    <n v="0"/>
    <n v="0"/>
    <n v="-0.18117172574824877"/>
  </r>
  <r>
    <x v="919"/>
    <s v="b3S"/>
    <x v="5"/>
    <n v="2"/>
    <x v="0"/>
    <s v="SAO PAULO"/>
    <s v="SP"/>
    <n v="65000"/>
    <n v="34784"/>
    <n v="30068"/>
    <n v="13298"/>
    <n v="11234"/>
    <n v="51702"/>
    <n v="3737"/>
    <n v="0"/>
    <n v="0"/>
    <n v="0.53513846153846156"/>
    <n v="7.2279602336466672E-2"/>
  </r>
  <r>
    <x v="920"/>
    <s v="b3S"/>
    <x v="5"/>
    <n v="2"/>
    <x v="0"/>
    <s v="FLORIANOPOLIS"/>
    <s v="SC"/>
    <n v="64843"/>
    <n v="27735"/>
    <n v="2515"/>
    <n v="52141"/>
    <n v="49120"/>
    <n v="12702"/>
    <n v="386"/>
    <n v="0"/>
    <n v="5"/>
    <n v="0.42772542911339695"/>
    <n v="3.0388915131475357E-2"/>
  </r>
  <r>
    <x v="921"/>
    <s v="n2"/>
    <x v="4"/>
    <n v="2"/>
    <x v="0"/>
    <s v="BELO HORIZONTE"/>
    <s v="MG"/>
    <n v="64242"/>
    <n v="0"/>
    <n v="1"/>
    <n v="60510"/>
    <n v="0"/>
    <n v="3732"/>
    <n v="-101"/>
    <n v="3"/>
    <n v="0"/>
    <n v="0"/>
    <n v="-2.7063236870310824E-2"/>
  </r>
  <r>
    <x v="922"/>
    <s v="n4"/>
    <x v="3"/>
    <n v="2"/>
    <x v="0"/>
    <s v="RIO DE JANEIRO"/>
    <s v="RJ"/>
    <n v="63541"/>
    <n v="0"/>
    <n v="2067"/>
    <n v="11372"/>
    <n v="1690"/>
    <n v="52170"/>
    <n v="6037"/>
    <n v="1"/>
    <n v="0"/>
    <n v="0"/>
    <n v="0.11571784550507955"/>
  </r>
  <r>
    <x v="923"/>
    <s v="n4"/>
    <x v="3"/>
    <n v="3"/>
    <x v="2"/>
    <s v="PORTO ALEGRE"/>
    <s v="RS"/>
    <n v="63207"/>
    <n v="9"/>
    <n v="17704"/>
    <n v="42317"/>
    <n v="7822"/>
    <n v="20889"/>
    <n v="-942"/>
    <n v="1"/>
    <n v="0"/>
    <n v="1.4238929232521716E-4"/>
    <n v="-4.5095504811144618E-2"/>
  </r>
  <r>
    <x v="924"/>
    <s v="b3S"/>
    <x v="5"/>
    <n v="2"/>
    <x v="0"/>
    <s v="SAO BERNARDO DO CAMPO"/>
    <s v="SP"/>
    <n v="62417"/>
    <n v="18670"/>
    <n v="43424"/>
    <n v="1865"/>
    <n v="0"/>
    <n v="60552"/>
    <n v="3555"/>
    <n v="0"/>
    <n v="1"/>
    <n v="0.29911722767835686"/>
    <n v="5.8709869203329372E-2"/>
  </r>
  <r>
    <x v="925"/>
    <s v="b2"/>
    <x v="4"/>
    <n v="2"/>
    <x v="0"/>
    <s v="SAO PAULO"/>
    <s v="SP"/>
    <n v="62300"/>
    <n v="0"/>
    <n v="4715"/>
    <n v="33065"/>
    <n v="3222"/>
    <n v="29235"/>
    <n v="726"/>
    <n v="2"/>
    <n v="0"/>
    <n v="0"/>
    <n v="2.4833247819394562E-2"/>
  </r>
  <r>
    <x v="926"/>
    <s v="b3S"/>
    <x v="5"/>
    <n v="2"/>
    <x v="0"/>
    <s v="ITAPETININGA"/>
    <s v="SP"/>
    <n v="62228"/>
    <n v="8431"/>
    <n v="51938"/>
    <n v="52885"/>
    <n v="51693"/>
    <n v="9343"/>
    <n v="1103"/>
    <n v="0"/>
    <n v="0"/>
    <n v="0.13548563347689144"/>
    <n v="0.11805629883335117"/>
  </r>
  <r>
    <x v="927"/>
    <s v="b3S"/>
    <x v="5"/>
    <n v="2"/>
    <x v="0"/>
    <s v="SAO BERNARDO DO CAMPO"/>
    <s v="SP"/>
    <n v="62063"/>
    <n v="44413"/>
    <n v="12992"/>
    <n v="32790"/>
    <n v="30167"/>
    <n v="29273"/>
    <n v="656"/>
    <n v="0"/>
    <n v="1"/>
    <n v="0.71561155599954884"/>
    <n v="2.2409729101902778E-2"/>
  </r>
  <r>
    <x v="928"/>
    <s v="n4"/>
    <x v="3"/>
    <n v="2"/>
    <x v="0"/>
    <s v="SAO PAULO"/>
    <s v="SP"/>
    <n v="61905"/>
    <n v="0"/>
    <n v="24474"/>
    <n v="53994"/>
    <n v="51521"/>
    <n v="7912"/>
    <n v="859"/>
    <n v="1"/>
    <n v="0"/>
    <n v="0"/>
    <n v="0.10856926188068756"/>
  </r>
  <r>
    <x v="929"/>
    <s v="b3S"/>
    <x v="5"/>
    <n v="2"/>
    <x v="0"/>
    <s v="GUARULHOS"/>
    <s v="SP"/>
    <n v="61039"/>
    <n v="50293"/>
    <n v="10577"/>
    <n v="743"/>
    <n v="0"/>
    <n v="60296"/>
    <n v="3163"/>
    <n v="0"/>
    <n v="0"/>
    <n v="0.82394862301151728"/>
    <n v="5.2457874485869707E-2"/>
  </r>
  <r>
    <x v="930"/>
    <s v="n4"/>
    <x v="3"/>
    <n v="3"/>
    <x v="2"/>
    <s v="SAO PAULO"/>
    <s v="SP"/>
    <n v="60441"/>
    <n v="0"/>
    <n v="39305"/>
    <n v="34653"/>
    <n v="4771"/>
    <n v="25789"/>
    <n v="888"/>
    <n v="1"/>
    <n v="0"/>
    <n v="0"/>
    <n v="3.443328550932568E-2"/>
  </r>
  <r>
    <x v="931"/>
    <s v="n1"/>
    <x v="5"/>
    <n v="2"/>
    <x v="0"/>
    <s v="PORTO ALEGRE"/>
    <s v="RS"/>
    <n v="59591"/>
    <n v="10899"/>
    <n v="8094"/>
    <n v="49919"/>
    <n v="0"/>
    <n v="9672"/>
    <n v="-5816"/>
    <n v="2"/>
    <n v="0"/>
    <n v="0.18289674615294255"/>
    <n v="-0.60132340777502069"/>
  </r>
  <r>
    <x v="932"/>
    <s v="n4"/>
    <x v="3"/>
    <n v="2"/>
    <x v="0"/>
    <s v="BALNEARIO CAMBORIU"/>
    <s v="SC"/>
    <n v="59324"/>
    <n v="0"/>
    <n v="32906"/>
    <n v="18057"/>
    <n v="17855"/>
    <n v="41267"/>
    <n v="233"/>
    <n v="1"/>
    <n v="0"/>
    <n v="0"/>
    <n v="5.6461579470278916E-3"/>
  </r>
  <r>
    <x v="933"/>
    <s v="n1"/>
    <x v="5"/>
    <n v="2"/>
    <x v="0"/>
    <s v="BELO HORIZONTE"/>
    <s v="MG"/>
    <n v="59187"/>
    <n v="4583"/>
    <n v="35543"/>
    <n v="33869"/>
    <n v="14743"/>
    <n v="25317"/>
    <n v="496"/>
    <n v="3"/>
    <n v="0"/>
    <n v="7.7432544308716447E-2"/>
    <n v="1.9591578781056208E-2"/>
  </r>
  <r>
    <x v="934"/>
    <s v="n1"/>
    <x v="4"/>
    <n v="2"/>
    <x v="0"/>
    <s v="SAO PAULO"/>
    <s v="SP"/>
    <n v="58324"/>
    <n v="640"/>
    <n v="40034"/>
    <n v="3455"/>
    <n v="201"/>
    <n v="54870"/>
    <n v="214"/>
    <n v="2"/>
    <n v="0"/>
    <n v="1.0973184280913517E-2"/>
    <n v="3.900127574266448E-3"/>
  </r>
  <r>
    <x v="935"/>
    <s v="n1"/>
    <x v="4"/>
    <n v="2"/>
    <x v="0"/>
    <s v="BARUERI"/>
    <s v="SP"/>
    <n v="58227"/>
    <n v="0"/>
    <n v="54525"/>
    <n v="2879"/>
    <n v="659"/>
    <n v="55348"/>
    <n v="448"/>
    <n v="4"/>
    <n v="0"/>
    <n v="0"/>
    <n v="8.0942400809424012E-3"/>
  </r>
  <r>
    <x v="936"/>
    <s v="n1"/>
    <x v="4"/>
    <n v="2"/>
    <x v="0"/>
    <s v="BARUERI"/>
    <s v="SP"/>
    <n v="58036"/>
    <n v="0"/>
    <n v="0"/>
    <n v="13729"/>
    <n v="8669"/>
    <n v="44308"/>
    <n v="15738"/>
    <n v="1"/>
    <n v="0"/>
    <n v="0"/>
    <n v="0.35519545003159703"/>
  </r>
  <r>
    <x v="937"/>
    <s v="b3S"/>
    <x v="5"/>
    <n v="2"/>
    <x v="0"/>
    <s v="JOACABA"/>
    <s v="SC"/>
    <n v="57173"/>
    <n v="5572"/>
    <n v="51025"/>
    <n v="43039"/>
    <n v="41218"/>
    <n v="14134"/>
    <n v="939"/>
    <n v="0"/>
    <n v="0"/>
    <n v="9.7458590593461944E-2"/>
    <n v="6.6435545493137113E-2"/>
  </r>
  <r>
    <x v="938"/>
    <s v="b3S"/>
    <x v="5"/>
    <n v="2"/>
    <x v="0"/>
    <s v="SAO PAULO"/>
    <s v="SP"/>
    <n v="57012"/>
    <n v="12368"/>
    <n v="42672"/>
    <n v="5928"/>
    <n v="0"/>
    <n v="51084"/>
    <n v="1337"/>
    <n v="0"/>
    <n v="0"/>
    <n v="0.21693678523819546"/>
    <n v="2.6172578498159894E-2"/>
  </r>
  <r>
    <x v="939"/>
    <s v="n2"/>
    <x v="4"/>
    <n v="2"/>
    <x v="0"/>
    <s v="SAO PAULO"/>
    <s v="SP"/>
    <n v="56599"/>
    <n v="0"/>
    <n v="11643"/>
    <n v="11622"/>
    <n v="0"/>
    <n v="44976"/>
    <n v="1985"/>
    <n v="2"/>
    <n v="0"/>
    <n v="0"/>
    <n v="4.4134649590892923E-2"/>
  </r>
  <r>
    <x v="940"/>
    <s v="n4"/>
    <x v="5"/>
    <n v="3"/>
    <x v="2"/>
    <s v="SAO PAULO"/>
    <s v="SP"/>
    <n v="56548"/>
    <n v="0"/>
    <n v="0"/>
    <n v="38514"/>
    <n v="10106"/>
    <n v="18035"/>
    <n v="-1974"/>
    <n v="1"/>
    <n v="0"/>
    <n v="0"/>
    <n v="-0.10945383975602994"/>
  </r>
  <r>
    <x v="941"/>
    <s v="n2"/>
    <x v="4"/>
    <n v="3"/>
    <x v="2"/>
    <s v="SAO PAULO"/>
    <s v="SP"/>
    <n v="54714"/>
    <n v="0"/>
    <n v="0"/>
    <n v="3925"/>
    <n v="0"/>
    <n v="50789"/>
    <n v="1436"/>
    <n v="2"/>
    <n v="0"/>
    <n v="0"/>
    <n v="2.8273838823367266E-2"/>
  </r>
  <r>
    <x v="942"/>
    <s v="n2"/>
    <x v="4"/>
    <n v="2"/>
    <x v="0"/>
    <s v="SAO PAULO"/>
    <s v="SP"/>
    <n v="54475"/>
    <n v="0"/>
    <n v="7116"/>
    <n v="43003"/>
    <n v="0"/>
    <n v="11473"/>
    <n v="553"/>
    <n v="2"/>
    <n v="0"/>
    <n v="0"/>
    <n v="4.8200122025625382E-2"/>
  </r>
  <r>
    <x v="943"/>
    <s v="b3S"/>
    <x v="5"/>
    <n v="2"/>
    <x v="0"/>
    <s v="LENCOIS PAULISTA"/>
    <s v="SP"/>
    <n v="54458"/>
    <n v="22284"/>
    <n v="29313"/>
    <n v="41638"/>
    <n v="39610"/>
    <n v="12820"/>
    <n v="148"/>
    <n v="0"/>
    <n v="2"/>
    <n v="0.40919607771126371"/>
    <n v="1.1544461778471139E-2"/>
  </r>
  <r>
    <x v="944"/>
    <s v="b3S"/>
    <x v="5"/>
    <n v="2"/>
    <x v="0"/>
    <s v="BELEM"/>
    <s v="PA"/>
    <n v="54012"/>
    <n v="21456"/>
    <n v="3089"/>
    <n v="11858"/>
    <n v="0"/>
    <n v="42154"/>
    <n v="2583"/>
    <n v="0"/>
    <n v="0"/>
    <n v="0.39724505665407689"/>
    <n v="6.1275323812686813E-2"/>
  </r>
  <r>
    <x v="945"/>
    <s v="n1"/>
    <x v="4"/>
    <n v="1"/>
    <x v="1"/>
    <s v="MACEIO"/>
    <s v="AL"/>
    <n v="53901"/>
    <n v="21420"/>
    <n v="30469"/>
    <n v="19874"/>
    <n v="17651"/>
    <n v="34027"/>
    <n v="-5726"/>
    <n v="1"/>
    <n v="0"/>
    <n v="0.39739522457839371"/>
    <n v="-0.1682781320715902"/>
  </r>
  <r>
    <x v="946"/>
    <s v="b3S"/>
    <x v="5"/>
    <n v="2"/>
    <x v="0"/>
    <s v="BELO HORIZONTE"/>
    <s v="MG"/>
    <n v="53539"/>
    <n v="32947"/>
    <n v="6374"/>
    <n v="27418"/>
    <n v="25458"/>
    <n v="26122"/>
    <n v="1314"/>
    <n v="0"/>
    <n v="2"/>
    <n v="0.61538317861745639"/>
    <n v="5.0302427072965318E-2"/>
  </r>
  <r>
    <x v="947"/>
    <s v="n1"/>
    <x v="4"/>
    <n v="2"/>
    <x v="0"/>
    <s v="SAO JOSE DOS CAMPOS"/>
    <s v="SP"/>
    <n v="53464"/>
    <n v="30"/>
    <n v="5973"/>
    <n v="48125"/>
    <n v="34230"/>
    <n v="5339"/>
    <n v="-504"/>
    <n v="2"/>
    <n v="0"/>
    <n v="5.6112524315427199E-4"/>
    <n v="-9.4399700318411689E-2"/>
  </r>
  <r>
    <x v="948"/>
    <s v="b3S"/>
    <x v="5"/>
    <n v="2"/>
    <x v="0"/>
    <s v="MACEIO"/>
    <s v="AL"/>
    <n v="52508"/>
    <n v="14416"/>
    <n v="35946"/>
    <n v="3230"/>
    <n v="1832"/>
    <n v="49279"/>
    <n v="1224"/>
    <n v="0"/>
    <n v="0"/>
    <n v="0.27454864020720654"/>
    <n v="2.4838166358895269E-2"/>
  </r>
  <r>
    <x v="949"/>
    <s v="b3S"/>
    <x v="5"/>
    <n v="2"/>
    <x v="0"/>
    <s v="GUAIRA"/>
    <s v="SP"/>
    <n v="52454"/>
    <n v="44438"/>
    <n v="3534"/>
    <n v="2111"/>
    <n v="0"/>
    <n v="50342"/>
    <n v="4543"/>
    <n v="0"/>
    <n v="0"/>
    <n v="0.84718038662447093"/>
    <n v="9.0242739660720675E-2"/>
  </r>
  <r>
    <x v="950"/>
    <s v="n2"/>
    <x v="4"/>
    <n v="2"/>
    <x v="0"/>
    <s v="SAO PAULO"/>
    <s v="SP"/>
    <n v="52319"/>
    <n v="0"/>
    <n v="7389"/>
    <n v="44779"/>
    <n v="42532"/>
    <n v="7539"/>
    <n v="625"/>
    <n v="2"/>
    <n v="0"/>
    <n v="0"/>
    <n v="8.2902241676614932E-2"/>
  </r>
  <r>
    <x v="951"/>
    <s v="n2"/>
    <x v="4"/>
    <n v="3"/>
    <x v="2"/>
    <s v="RIO DE JANEIRO"/>
    <s v="RJ"/>
    <n v="51011"/>
    <n v="0"/>
    <n v="8616"/>
    <n v="32039"/>
    <n v="29924"/>
    <n v="18972"/>
    <n v="-2075"/>
    <n v="16"/>
    <n v="0"/>
    <n v="0"/>
    <n v="-0.10937170567151591"/>
  </r>
  <r>
    <x v="952"/>
    <s v="n1"/>
    <x v="5"/>
    <n v="2"/>
    <x v="0"/>
    <s v="BRASILIA"/>
    <s v="DF"/>
    <n v="50017"/>
    <n v="57462"/>
    <n v="0"/>
    <n v="41748"/>
    <n v="24"/>
    <n v="8269"/>
    <n v="2396"/>
    <n v="2"/>
    <n v="0"/>
    <n v="1.1488493912069897"/>
    <n v="0.28975692344902648"/>
  </r>
  <r>
    <x v="953"/>
    <s v="b2"/>
    <x v="4"/>
    <n v="3"/>
    <x v="2"/>
    <s v="SAO PAULO"/>
    <s v="SP"/>
    <n v="48096"/>
    <n v="0"/>
    <n v="0"/>
    <n v="27358"/>
    <n v="0"/>
    <n v="20737"/>
    <n v="552"/>
    <n v="2"/>
    <n v="0"/>
    <n v="0"/>
    <n v="2.6619086656700583E-2"/>
  </r>
  <r>
    <x v="954"/>
    <s v="n2"/>
    <x v="5"/>
    <n v="2"/>
    <x v="0"/>
    <s v="SAO PAULO"/>
    <s v="SP"/>
    <n v="46931"/>
    <n v="0"/>
    <n v="1217"/>
    <n v="23228"/>
    <n v="0"/>
    <n v="23704"/>
    <n v="-1385"/>
    <n v="4"/>
    <n v="0"/>
    <n v="0"/>
    <n v="-5.8428957138035774E-2"/>
  </r>
  <r>
    <x v="955"/>
    <s v="n2"/>
    <x v="4"/>
    <n v="3"/>
    <x v="2"/>
    <s v="CAMPINAS"/>
    <s v="SP"/>
    <n v="46662"/>
    <n v="0"/>
    <n v="33589"/>
    <n v="12795"/>
    <n v="288"/>
    <n v="33866"/>
    <n v="1049"/>
    <n v="2"/>
    <n v="0"/>
    <n v="0"/>
    <n v="3.0975019193291205E-2"/>
  </r>
  <r>
    <x v="956"/>
    <s v="n1"/>
    <x v="5"/>
    <n v="2"/>
    <x v="0"/>
    <s v="LONDRINA"/>
    <s v="PR"/>
    <n v="46250"/>
    <n v="23268"/>
    <n v="10300"/>
    <n v="14308"/>
    <n v="5322"/>
    <n v="31941"/>
    <n v="633"/>
    <n v="3"/>
    <n v="0"/>
    <n v="0.50309189189189185"/>
    <n v="1.9817789048558278E-2"/>
  </r>
  <r>
    <x v="957"/>
    <s v="b3S"/>
    <x v="5"/>
    <n v="2"/>
    <x v="0"/>
    <s v="PORTO ALEGRE"/>
    <s v="RS"/>
    <n v="45977"/>
    <n v="20401"/>
    <n v="20791"/>
    <n v="32233"/>
    <n v="29842"/>
    <n v="13744"/>
    <n v="209"/>
    <n v="0"/>
    <n v="4"/>
    <n v="0.44372186093046523"/>
    <n v="1.520663562281723E-2"/>
  </r>
  <r>
    <x v="958"/>
    <s v="n1"/>
    <x v="4"/>
    <n v="2"/>
    <x v="0"/>
    <s v="ERECHIM"/>
    <s v="RS"/>
    <n v="45572"/>
    <n v="2727"/>
    <n v="203"/>
    <n v="31459"/>
    <n v="30762"/>
    <n v="14112"/>
    <n v="185"/>
    <n v="2"/>
    <n v="0"/>
    <n v="5.9839375054858243E-2"/>
    <n v="1.3109410430839002E-2"/>
  </r>
  <r>
    <x v="959"/>
    <s v="b3S"/>
    <x v="5"/>
    <n v="2"/>
    <x v="0"/>
    <s v="RIO VERDE"/>
    <s v="GO"/>
    <n v="44405"/>
    <n v="20121"/>
    <n v="2622"/>
    <n v="20661"/>
    <n v="17666"/>
    <n v="23744"/>
    <n v="1152"/>
    <n v="0"/>
    <n v="1"/>
    <n v="0.45312464812521114"/>
    <n v="4.8517520215633422E-2"/>
  </r>
  <r>
    <x v="960"/>
    <s v="b3S"/>
    <x v="5"/>
    <n v="2"/>
    <x v="0"/>
    <s v="SAO PAULO"/>
    <s v="SP"/>
    <n v="44098"/>
    <n v="6399"/>
    <n v="25835"/>
    <n v="25837"/>
    <n v="24777"/>
    <n v="18261"/>
    <n v="2138"/>
    <n v="0"/>
    <n v="0"/>
    <n v="0.14510862170619981"/>
    <n v="0.11708011609440885"/>
  </r>
  <r>
    <x v="961"/>
    <s v="n1"/>
    <x v="5"/>
    <n v="2"/>
    <x v="0"/>
    <s v="SAO JOSE"/>
    <s v="SC"/>
    <n v="43822"/>
    <n v="30603"/>
    <n v="0"/>
    <n v="32424"/>
    <n v="11663"/>
    <n v="11398"/>
    <n v="2094"/>
    <n v="2"/>
    <n v="0"/>
    <n v="0.69834786180457309"/>
    <n v="0.18371644148096158"/>
  </r>
  <r>
    <x v="962"/>
    <s v="n1"/>
    <x v="5"/>
    <n v="2"/>
    <x v="0"/>
    <s v="BELO HORIZONTE"/>
    <s v="MG"/>
    <n v="42736"/>
    <n v="19645"/>
    <n v="21444"/>
    <n v="21131"/>
    <n v="0"/>
    <n v="21605"/>
    <n v="1330"/>
    <n v="2"/>
    <n v="0"/>
    <n v="0.45968270310745041"/>
    <n v="6.1559824114788241E-2"/>
  </r>
  <r>
    <x v="963"/>
    <s v="n4"/>
    <x v="3"/>
    <n v="2"/>
    <x v="0"/>
    <s v="JOINVILLE"/>
    <s v="SC"/>
    <n v="42677"/>
    <n v="0"/>
    <n v="20"/>
    <n v="23788"/>
    <n v="16656"/>
    <n v="18889"/>
    <n v="10610"/>
    <n v="1"/>
    <n v="0"/>
    <n v="0"/>
    <n v="0.56170257822012815"/>
  </r>
  <r>
    <x v="964"/>
    <s v="n1"/>
    <x v="5"/>
    <n v="3"/>
    <x v="2"/>
    <s v="SAO PAULO"/>
    <s v="SP"/>
    <n v="41968"/>
    <n v="0"/>
    <n v="119"/>
    <n v="15814"/>
    <n v="13688"/>
    <n v="26155"/>
    <n v="1565"/>
    <n v="2"/>
    <n v="0"/>
    <n v="0"/>
    <n v="5.9835595488434333E-2"/>
  </r>
  <r>
    <x v="965"/>
    <s v="n2"/>
    <x v="4"/>
    <n v="2"/>
    <x v="0"/>
    <s v="PORTO ALEGRE"/>
    <s v="RS"/>
    <n v="41820"/>
    <n v="0"/>
    <n v="33198"/>
    <n v="26436"/>
    <n v="9813"/>
    <n v="15384"/>
    <n v="581"/>
    <n v="2"/>
    <n v="0"/>
    <n v="0"/>
    <n v="3.7766510660426418E-2"/>
  </r>
  <r>
    <x v="966"/>
    <s v="b3S"/>
    <x v="5"/>
    <n v="2"/>
    <x v="0"/>
    <s v="JOAO PESSOA"/>
    <s v="PB"/>
    <n v="41311"/>
    <n v="24438"/>
    <n v="2622"/>
    <n v="29444"/>
    <n v="28144"/>
    <n v="11866"/>
    <n v="19"/>
    <n v="0"/>
    <n v="1"/>
    <n v="0.59156156955774486"/>
    <n v="1.601213551323108E-3"/>
  </r>
  <r>
    <x v="967"/>
    <s v="b3S"/>
    <x v="5"/>
    <n v="2"/>
    <x v="0"/>
    <s v="ARARAQUARA"/>
    <s v="SP"/>
    <n v="41076"/>
    <n v="15190"/>
    <n v="21198"/>
    <n v="16573"/>
    <n v="13655"/>
    <n v="24504"/>
    <n v="421"/>
    <n v="0"/>
    <n v="1"/>
    <n v="0.36980231765507837"/>
    <n v="1.7180868429644138E-2"/>
  </r>
  <r>
    <x v="968"/>
    <s v="n2"/>
    <x v="4"/>
    <n v="2"/>
    <x v="0"/>
    <s v="BELO HORIZONTE"/>
    <s v="MG"/>
    <n v="40920"/>
    <n v="0"/>
    <n v="4048"/>
    <n v="36558"/>
    <n v="36061"/>
    <n v="4362"/>
    <n v="531"/>
    <n v="2"/>
    <n v="0"/>
    <n v="0"/>
    <n v="0.12173314993122421"/>
  </r>
  <r>
    <x v="969"/>
    <s v="n1"/>
    <x v="5"/>
    <n v="2"/>
    <x v="0"/>
    <s v="GOVERNADOR VALADARES"/>
    <s v="MG"/>
    <n v="40682"/>
    <n v="27339"/>
    <n v="0"/>
    <n v="14411"/>
    <n v="0"/>
    <n v="26271"/>
    <n v="5871"/>
    <n v="2"/>
    <n v="0"/>
    <n v="0.67201710830342654"/>
    <n v="0.22347836016900766"/>
  </r>
  <r>
    <x v="970"/>
    <s v="n4"/>
    <x v="3"/>
    <n v="2"/>
    <x v="0"/>
    <s v="SAO PAULO"/>
    <s v="SP"/>
    <n v="40669"/>
    <n v="0"/>
    <n v="12998"/>
    <n v="29911"/>
    <n v="12556"/>
    <n v="10758"/>
    <n v="3804"/>
    <n v="1"/>
    <n v="0"/>
    <n v="0"/>
    <n v="0.35359732292247631"/>
  </r>
  <r>
    <x v="971"/>
    <s v="b3S"/>
    <x v="5"/>
    <n v="2"/>
    <x v="0"/>
    <s v="SOROCABA"/>
    <s v="SP"/>
    <n v="39815"/>
    <n v="25014"/>
    <n v="14564"/>
    <n v="640"/>
    <n v="0"/>
    <n v="39175"/>
    <n v="1869"/>
    <n v="0"/>
    <n v="0"/>
    <n v="0.62825568253170916"/>
    <n v="4.7708998085513724E-2"/>
  </r>
  <r>
    <x v="972"/>
    <s v="n4"/>
    <x v="3"/>
    <n v="2"/>
    <x v="0"/>
    <s v="PORTO ALEGRE"/>
    <s v="RS"/>
    <n v="39719"/>
    <n v="0"/>
    <n v="12212"/>
    <n v="607"/>
    <n v="0"/>
    <n v="39112"/>
    <n v="383"/>
    <n v="1"/>
    <n v="0"/>
    <n v="0"/>
    <n v="9.7923910820208633E-3"/>
  </r>
  <r>
    <x v="973"/>
    <s v="n4"/>
    <x v="3"/>
    <n v="2"/>
    <x v="0"/>
    <s v="GUARULHOS"/>
    <s v="SP"/>
    <n v="39196"/>
    <n v="0"/>
    <n v="15262"/>
    <n v="32553"/>
    <n v="30027"/>
    <n v="6643"/>
    <n v="748"/>
    <n v="1"/>
    <n v="0"/>
    <n v="0"/>
    <n v="0.1125997290380852"/>
  </r>
  <r>
    <x v="974"/>
    <s v="n2"/>
    <x v="4"/>
    <n v="3"/>
    <x v="2"/>
    <s v="SAO PAULO"/>
    <s v="SP"/>
    <n v="38558"/>
    <n v="0"/>
    <n v="15210"/>
    <n v="22900"/>
    <n v="18431"/>
    <n v="15658"/>
    <n v="-33"/>
    <n v="2"/>
    <n v="0"/>
    <n v="0"/>
    <n v="-2.1075488568144079E-3"/>
  </r>
  <r>
    <x v="975"/>
    <s v="n4"/>
    <x v="4"/>
    <n v="2"/>
    <x v="0"/>
    <s v="SAO PAULO"/>
    <s v="SP"/>
    <n v="37900"/>
    <n v="0"/>
    <n v="36910"/>
    <n v="239"/>
    <n v="1"/>
    <n v="37661"/>
    <n v="-457"/>
    <n v="1"/>
    <n v="0"/>
    <n v="0"/>
    <n v="-1.2134568917447758E-2"/>
  </r>
  <r>
    <x v="976"/>
    <s v="b3S"/>
    <x v="5"/>
    <n v="2"/>
    <x v="0"/>
    <s v="SAO PAULO"/>
    <s v="SP"/>
    <n v="37686"/>
    <n v="18370"/>
    <n v="17853"/>
    <n v="1001"/>
    <n v="0"/>
    <n v="36684"/>
    <n v="2255"/>
    <n v="0"/>
    <n v="0"/>
    <n v="0.48744892002335083"/>
    <n v="6.1470941009704502E-2"/>
  </r>
  <r>
    <x v="977"/>
    <s v="n2"/>
    <x v="5"/>
    <n v="2"/>
    <x v="0"/>
    <s v="SAO PAULO"/>
    <s v="SP"/>
    <n v="37559"/>
    <n v="0"/>
    <n v="374"/>
    <n v="17935"/>
    <n v="0"/>
    <n v="19624"/>
    <n v="-321"/>
    <n v="2"/>
    <n v="0"/>
    <n v="0"/>
    <n v="-1.6357521402364451E-2"/>
  </r>
  <r>
    <x v="978"/>
    <s v="n4"/>
    <x v="3"/>
    <n v="2"/>
    <x v="0"/>
    <s v="BARUERI"/>
    <s v="SP"/>
    <n v="37554"/>
    <n v="0"/>
    <n v="24963"/>
    <n v="28818"/>
    <n v="0"/>
    <n v="8736"/>
    <n v="-4583"/>
    <n v="1"/>
    <n v="0"/>
    <n v="0"/>
    <n v="-0.52461080586080588"/>
  </r>
  <r>
    <x v="979"/>
    <s v="n1"/>
    <x v="5"/>
    <n v="2"/>
    <x v="0"/>
    <s v="SAO PAULO"/>
    <s v="SP"/>
    <n v="37441"/>
    <n v="0"/>
    <n v="26104"/>
    <n v="30879"/>
    <n v="0"/>
    <n v="6561"/>
    <n v="-412"/>
    <n v="2"/>
    <n v="0"/>
    <n v="0"/>
    <n v="-6.2795305593659506E-2"/>
  </r>
  <r>
    <x v="980"/>
    <s v="b3S"/>
    <x v="5"/>
    <n v="2"/>
    <x v="0"/>
    <s v="CANOAS"/>
    <s v="RS"/>
    <n v="37114"/>
    <n v="14121"/>
    <n v="21685"/>
    <n v="15655"/>
    <n v="14096"/>
    <n v="21459"/>
    <n v="1154"/>
    <n v="0"/>
    <n v="4"/>
    <n v="0.38047637010292612"/>
    <n v="5.3776970035882381E-2"/>
  </r>
  <r>
    <x v="981"/>
    <s v="b3S"/>
    <x v="5"/>
    <n v="2"/>
    <x v="0"/>
    <s v="SAO BERNARDO DO CAMPO"/>
    <s v="SP"/>
    <n v="36985"/>
    <n v="21206"/>
    <n v="11406"/>
    <n v="15790"/>
    <n v="13354"/>
    <n v="21195"/>
    <n v="392"/>
    <n v="0"/>
    <n v="2"/>
    <n v="0.57336758145194"/>
    <n v="1.8494928049068177E-2"/>
  </r>
  <r>
    <x v="982"/>
    <s v="b3S"/>
    <x v="5"/>
    <n v="2"/>
    <x v="0"/>
    <s v="ARAXA"/>
    <s v="MG"/>
    <n v="36688"/>
    <n v="26282"/>
    <n v="10114"/>
    <n v="2213"/>
    <n v="0"/>
    <n v="34475"/>
    <n v="3039"/>
    <n v="0"/>
    <n v="1"/>
    <n v="0.71636502398604451"/>
    <n v="8.8150833937635967E-2"/>
  </r>
  <r>
    <x v="983"/>
    <s v="b3S"/>
    <x v="5"/>
    <n v="2"/>
    <x v="0"/>
    <s v="CAMPINAS"/>
    <s v="SP"/>
    <n v="36671"/>
    <n v="20352"/>
    <n v="15232"/>
    <n v="2951"/>
    <n v="0"/>
    <n v="33720"/>
    <n v="2196"/>
    <n v="0"/>
    <n v="0"/>
    <n v="0.55498895585067221"/>
    <n v="6.5124555160142344E-2"/>
  </r>
  <r>
    <x v="984"/>
    <s v="n1"/>
    <x v="5"/>
    <n v="2"/>
    <x v="0"/>
    <s v="SAO PAULO"/>
    <s v="SP"/>
    <n v="36312"/>
    <n v="0"/>
    <n v="17239"/>
    <n v="20712"/>
    <n v="0"/>
    <n v="15600"/>
    <n v="427"/>
    <n v="2"/>
    <n v="0"/>
    <n v="0"/>
    <n v="2.737179487179487E-2"/>
  </r>
  <r>
    <x v="985"/>
    <s v="n4"/>
    <x v="3"/>
    <n v="2"/>
    <x v="0"/>
    <s v="SAO PAULO"/>
    <s v="SP"/>
    <n v="35775"/>
    <n v="0"/>
    <n v="16532"/>
    <n v="20411"/>
    <n v="7666"/>
    <n v="15364"/>
    <n v="-2190"/>
    <n v="1"/>
    <n v="0"/>
    <n v="0"/>
    <n v="-0.14254100494662847"/>
  </r>
  <r>
    <x v="986"/>
    <s v="n1"/>
    <x v="4"/>
    <n v="2"/>
    <x v="0"/>
    <s v="SAO PAULO"/>
    <s v="SP"/>
    <n v="35465"/>
    <n v="13696"/>
    <n v="14260"/>
    <n v="17608"/>
    <n v="12227"/>
    <n v="17857"/>
    <n v="1200"/>
    <n v="4"/>
    <n v="0"/>
    <n v="0.38618356125757791"/>
    <n v="6.7200537604300836E-2"/>
  </r>
  <r>
    <x v="987"/>
    <s v="n1"/>
    <x v="4"/>
    <n v="2"/>
    <x v="0"/>
    <s v="BELO HORIZONTE"/>
    <s v="MG"/>
    <n v="35146"/>
    <n v="0"/>
    <n v="3559"/>
    <n v="29836"/>
    <n v="28772"/>
    <n v="5310"/>
    <n v="269"/>
    <n v="2"/>
    <n v="0"/>
    <n v="0"/>
    <n v="5.0659133709981166E-2"/>
  </r>
  <r>
    <x v="988"/>
    <s v="b3S"/>
    <x v="5"/>
    <n v="2"/>
    <x v="0"/>
    <s v="SAO PAULO"/>
    <s v="SP"/>
    <n v="34511"/>
    <n v="21861"/>
    <n v="12080"/>
    <n v="14925"/>
    <n v="13457"/>
    <n v="19586"/>
    <n v="44"/>
    <n v="0"/>
    <n v="1"/>
    <n v="0.6334502042826925"/>
    <n v="2.2465026039007454E-3"/>
  </r>
  <r>
    <x v="989"/>
    <s v="n1"/>
    <x v="5"/>
    <n v="2"/>
    <x v="0"/>
    <s v="RECIFE"/>
    <s v="PE"/>
    <n v="34055"/>
    <n v="2873"/>
    <n v="0"/>
    <n v="14993"/>
    <n v="9275"/>
    <n v="19063"/>
    <n v="-15561"/>
    <n v="2"/>
    <n v="0"/>
    <n v="8.4363529584495667E-2"/>
    <n v="-0.81629334312542623"/>
  </r>
  <r>
    <x v="990"/>
    <s v="n4"/>
    <x v="3"/>
    <n v="3"/>
    <x v="2"/>
    <s v="SAO PAULO"/>
    <s v="SP"/>
    <n v="33839"/>
    <n v="0"/>
    <n v="827"/>
    <n v="20215"/>
    <n v="17730"/>
    <n v="13624"/>
    <n v="667"/>
    <n v="1"/>
    <n v="0"/>
    <n v="0"/>
    <n v="4.8957721667645331E-2"/>
  </r>
  <r>
    <x v="991"/>
    <s v="n4"/>
    <x v="3"/>
    <n v="2"/>
    <x v="0"/>
    <s v="RIO DE JANEIRO"/>
    <s v="RJ"/>
    <n v="33695"/>
    <n v="0"/>
    <n v="27502"/>
    <n v="29383"/>
    <n v="29057"/>
    <n v="4312"/>
    <n v="653"/>
    <n v="1"/>
    <n v="0"/>
    <n v="0"/>
    <n v="0.15143784786641928"/>
  </r>
  <r>
    <x v="992"/>
    <s v="n4"/>
    <x v="3"/>
    <n v="2"/>
    <x v="0"/>
    <s v="SAO PAULO"/>
    <s v="SP"/>
    <n v="33680"/>
    <n v="0"/>
    <n v="0"/>
    <n v="28156"/>
    <n v="25957"/>
    <n v="5524"/>
    <n v="-879"/>
    <n v="1"/>
    <n v="0"/>
    <n v="0"/>
    <n v="-0.15912382331643737"/>
  </r>
  <r>
    <x v="993"/>
    <s v="n2"/>
    <x v="4"/>
    <n v="2"/>
    <x v="0"/>
    <s v="SAO PAULO"/>
    <s v="SP"/>
    <n v="33107"/>
    <n v="0"/>
    <n v="17794"/>
    <n v="25513"/>
    <n v="14453"/>
    <n v="7594"/>
    <n v="-2439"/>
    <n v="2"/>
    <n v="0"/>
    <n v="0"/>
    <n v="-0.3211746115354227"/>
  </r>
  <r>
    <x v="994"/>
    <s v="n1"/>
    <x v="5"/>
    <n v="2"/>
    <x v="0"/>
    <s v="RIO DE JANEIRO"/>
    <s v="RJ"/>
    <n v="32846"/>
    <n v="3094"/>
    <n v="29401"/>
    <n v="260"/>
    <n v="0"/>
    <n v="32586"/>
    <n v="459"/>
    <n v="2"/>
    <n v="0"/>
    <n v="9.4197162515983687E-2"/>
    <n v="1.4085803719388695E-2"/>
  </r>
  <r>
    <x v="995"/>
    <s v="n2"/>
    <x v="5"/>
    <n v="2"/>
    <x v="0"/>
    <s v="MANAUS"/>
    <s v="AM"/>
    <n v="32609"/>
    <n v="0"/>
    <n v="2297"/>
    <n v="30399"/>
    <n v="0"/>
    <n v="2209"/>
    <n v="-387"/>
    <n v="2"/>
    <n v="0"/>
    <n v="0"/>
    <n v="-0.17519239474875509"/>
  </r>
  <r>
    <x v="996"/>
    <s v="b3S"/>
    <x v="5"/>
    <n v="2"/>
    <x v="0"/>
    <s v="IBIAM"/>
    <s v="SC"/>
    <n v="32478"/>
    <n v="13483"/>
    <n v="1680"/>
    <n v="30253"/>
    <n v="27570"/>
    <n v="2225"/>
    <n v="-1203"/>
    <n v="0"/>
    <n v="4"/>
    <n v="0.41514255803928812"/>
    <n v="-0.54067415730337076"/>
  </r>
  <r>
    <x v="997"/>
    <s v="n2"/>
    <x v="4"/>
    <n v="2"/>
    <x v="0"/>
    <s v="SAO PAULO"/>
    <s v="SP"/>
    <n v="32362"/>
    <n v="0"/>
    <n v="0"/>
    <n v="3746"/>
    <n v="8"/>
    <n v="28616"/>
    <n v="2055"/>
    <n v="2"/>
    <n v="0"/>
    <n v="0"/>
    <n v="7.1812971764048092E-2"/>
  </r>
  <r>
    <x v="998"/>
    <s v="b2"/>
    <x v="4"/>
    <n v="2"/>
    <x v="0"/>
    <s v="PORTO REAL"/>
    <s v="RJ"/>
    <n v="32201"/>
    <n v="8507"/>
    <n v="0"/>
    <n v="574"/>
    <n v="0"/>
    <n v="31627"/>
    <n v="577"/>
    <n v="2"/>
    <n v="0"/>
    <n v="0.26418434210117697"/>
    <n v="1.8243905523761345E-2"/>
  </r>
  <r>
    <x v="999"/>
    <s v="n2"/>
    <x v="4"/>
    <n v="2"/>
    <x v="0"/>
    <s v="BARUERI"/>
    <s v="SP"/>
    <n v="32166"/>
    <n v="0"/>
    <n v="585"/>
    <n v="11399"/>
    <n v="103"/>
    <n v="20767"/>
    <n v="-1381"/>
    <n v="4"/>
    <n v="0"/>
    <n v="0"/>
    <n v="-6.6499735156739057E-2"/>
  </r>
  <r>
    <x v="1000"/>
    <s v="b3S"/>
    <x v="5"/>
    <n v="2"/>
    <x v="0"/>
    <s v="BARRA BONITA"/>
    <s v="SP"/>
    <n v="32136"/>
    <n v="20177"/>
    <n v="11417"/>
    <n v="6192"/>
    <n v="3317"/>
    <n v="25944"/>
    <n v="992"/>
    <n v="0"/>
    <n v="0"/>
    <n v="0.62786283295992029"/>
    <n v="3.8236201048411966E-2"/>
  </r>
  <r>
    <x v="1001"/>
    <s v="n1"/>
    <x v="5"/>
    <n v="3"/>
    <x v="2"/>
    <s v="SAO PAULO"/>
    <s v="SP"/>
    <n v="31966"/>
    <n v="0"/>
    <n v="30911"/>
    <n v="6288"/>
    <n v="123"/>
    <n v="25679"/>
    <n v="-5234"/>
    <n v="2"/>
    <n v="0"/>
    <n v="0"/>
    <n v="-0.20382413645391176"/>
  </r>
  <r>
    <x v="1002"/>
    <s v="n4"/>
    <x v="3"/>
    <n v="2"/>
    <x v="0"/>
    <s v="PARANAVAI"/>
    <s v="PR"/>
    <n v="31898"/>
    <n v="0"/>
    <n v="3932"/>
    <n v="26624"/>
    <n v="0"/>
    <n v="5274"/>
    <n v="189"/>
    <n v="1"/>
    <n v="0"/>
    <n v="0"/>
    <n v="3.5836177474402729E-2"/>
  </r>
  <r>
    <x v="1003"/>
    <s v="n4"/>
    <x v="3"/>
    <n v="3"/>
    <x v="2"/>
    <s v="SAO PAULO"/>
    <s v="SP"/>
    <n v="31699"/>
    <n v="0"/>
    <n v="0"/>
    <n v="1203"/>
    <n v="0"/>
    <n v="30496"/>
    <n v="-3767"/>
    <n v="1"/>
    <n v="0"/>
    <n v="0"/>
    <n v="-0.12352439664218258"/>
  </r>
  <r>
    <x v="1004"/>
    <s v="b3S"/>
    <x v="5"/>
    <n v="2"/>
    <x v="0"/>
    <s v="PINHAO"/>
    <s v="PR"/>
    <n v="31581"/>
    <n v="20117"/>
    <n v="1076"/>
    <n v="22242"/>
    <n v="19623"/>
    <n v="9339"/>
    <n v="856"/>
    <n v="0"/>
    <n v="1"/>
    <n v="0.63699692853297873"/>
    <n v="9.165863582824714E-2"/>
  </r>
  <r>
    <x v="1005"/>
    <s v="b3S"/>
    <x v="5"/>
    <n v="2"/>
    <x v="0"/>
    <s v="SAO PAULO"/>
    <s v="SP"/>
    <n v="31519"/>
    <n v="13137"/>
    <n v="18016"/>
    <n v="666"/>
    <n v="0"/>
    <n v="30853"/>
    <n v="1643"/>
    <n v="0"/>
    <n v="0"/>
    <n v="0.41679621815412926"/>
    <n v="5.3252520014261173E-2"/>
  </r>
  <r>
    <x v="1006"/>
    <s v="n4"/>
    <x v="3"/>
    <n v="2"/>
    <x v="0"/>
    <s v="SAO PAULO"/>
    <s v="SP"/>
    <n v="31141"/>
    <n v="0"/>
    <n v="10314"/>
    <n v="20042"/>
    <n v="13424"/>
    <n v="11100"/>
    <n v="2252"/>
    <n v="1"/>
    <n v="0"/>
    <n v="0"/>
    <n v="0.20288288288288289"/>
  </r>
  <r>
    <x v="1007"/>
    <s v="n4"/>
    <x v="3"/>
    <n v="3"/>
    <x v="2"/>
    <s v="SAO PAULO"/>
    <s v="SP"/>
    <n v="30993"/>
    <n v="0"/>
    <n v="0"/>
    <n v="22005"/>
    <n v="2309"/>
    <n v="8988"/>
    <n v="-59902"/>
    <n v="1"/>
    <n v="0"/>
    <n v="0"/>
    <n v="-6.664663996439697"/>
  </r>
  <r>
    <x v="1008"/>
    <s v="b3S"/>
    <x v="5"/>
    <n v="2"/>
    <x v="0"/>
    <s v="TABOAO DA SERRA"/>
    <s v="SP"/>
    <n v="30796"/>
    <n v="8627"/>
    <n v="19928"/>
    <n v="3467"/>
    <n v="1"/>
    <n v="27329"/>
    <n v="743"/>
    <n v="0"/>
    <n v="0"/>
    <n v="0.2801337836082608"/>
    <n v="2.7187237000987963E-2"/>
  </r>
  <r>
    <x v="1009"/>
    <s v="n1"/>
    <x v="5"/>
    <n v="2"/>
    <x v="0"/>
    <s v="TERESINA"/>
    <s v="PI"/>
    <n v="30544"/>
    <n v="90"/>
    <n v="30319"/>
    <n v="341"/>
    <n v="0"/>
    <n v="30203"/>
    <n v="771"/>
    <n v="2"/>
    <n v="0"/>
    <n v="2.9465688842325827E-3"/>
    <n v="2.5527265503426811E-2"/>
  </r>
  <r>
    <x v="1010"/>
    <s v="b3S"/>
    <x v="5"/>
    <n v="2"/>
    <x v="0"/>
    <s v="OSASCO"/>
    <s v="SP"/>
    <n v="30389"/>
    <n v="12657"/>
    <n v="17193"/>
    <n v="18294"/>
    <n v="17251"/>
    <n v="12095"/>
    <n v="-587"/>
    <n v="0"/>
    <n v="2"/>
    <n v="0.41649939122708873"/>
    <n v="-4.8532451426209176E-2"/>
  </r>
  <r>
    <x v="1011"/>
    <s v="n1"/>
    <x v="5"/>
    <n v="2"/>
    <x v="0"/>
    <s v="BARUERI"/>
    <s v="SP"/>
    <n v="29961"/>
    <n v="0"/>
    <n v="0"/>
    <n v="15822"/>
    <n v="14806"/>
    <n v="14138"/>
    <n v="-3745"/>
    <n v="2"/>
    <n v="0"/>
    <n v="0"/>
    <n v="-0.26488895176121091"/>
  </r>
  <r>
    <x v="1012"/>
    <s v="n1"/>
    <x v="5"/>
    <n v="2"/>
    <x v="0"/>
    <s v="SALVADOR"/>
    <s v="BA"/>
    <n v="29956"/>
    <n v="9508"/>
    <n v="11525"/>
    <n v="21423"/>
    <n v="8432"/>
    <n v="8533"/>
    <n v="2008"/>
    <n v="2"/>
    <n v="0"/>
    <n v="0.31739885164908532"/>
    <n v="0.23532169225360366"/>
  </r>
  <r>
    <x v="1013"/>
    <s v="n4"/>
    <x v="3"/>
    <n v="2"/>
    <x v="0"/>
    <s v="BALNEARIO CAMBORIU"/>
    <s v="SC"/>
    <n v="29927"/>
    <n v="0"/>
    <n v="2549"/>
    <n v="24128"/>
    <n v="22738"/>
    <n v="5799"/>
    <n v="564"/>
    <n v="1"/>
    <n v="0"/>
    <n v="0"/>
    <n v="9.7258147956544236E-2"/>
  </r>
  <r>
    <x v="1014"/>
    <s v="b3S"/>
    <x v="5"/>
    <n v="2"/>
    <x v="0"/>
    <s v="MONTE MOR"/>
    <s v="SP"/>
    <n v="29271"/>
    <n v="16998"/>
    <n v="11227"/>
    <n v="297"/>
    <n v="0"/>
    <n v="28975"/>
    <n v="2333"/>
    <n v="0"/>
    <n v="0"/>
    <n v="0.58071128420621088"/>
    <n v="8.0517687661777401E-2"/>
  </r>
  <r>
    <x v="1015"/>
    <s v="n1"/>
    <x v="5"/>
    <n v="2"/>
    <x v="0"/>
    <s v="SAO PAULO"/>
    <s v="SP"/>
    <n v="29234"/>
    <n v="2601"/>
    <n v="0"/>
    <n v="23941"/>
    <n v="19851"/>
    <n v="5293"/>
    <n v="-728"/>
    <n v="2"/>
    <n v="0"/>
    <n v="8.8971745228158997E-2"/>
    <n v="-0.13754014736444362"/>
  </r>
  <r>
    <x v="1016"/>
    <s v="b3S"/>
    <x v="5"/>
    <n v="2"/>
    <x v="0"/>
    <s v="PAULINIA"/>
    <s v="SP"/>
    <n v="28428"/>
    <n v="16129"/>
    <n v="11584"/>
    <n v="8208"/>
    <n v="6743"/>
    <n v="20221"/>
    <n v="855"/>
    <n v="0"/>
    <n v="1"/>
    <n v="0.56736316307865486"/>
    <n v="4.2282775332575046E-2"/>
  </r>
  <r>
    <x v="1017"/>
    <s v="b3S"/>
    <x v="5"/>
    <n v="2"/>
    <x v="0"/>
    <s v="VISCONDE DO RIO BRANCO"/>
    <s v="MG"/>
    <n v="28283"/>
    <n v="13337"/>
    <n v="4566"/>
    <n v="5035"/>
    <n v="3234"/>
    <n v="23248"/>
    <n v="1048"/>
    <n v="0"/>
    <n v="1"/>
    <n v="0.47155535127108156"/>
    <n v="4.5079146593255334E-2"/>
  </r>
  <r>
    <x v="1018"/>
    <s v="n1"/>
    <x v="4"/>
    <n v="2"/>
    <x v="0"/>
    <s v="SAO PAULO"/>
    <s v="SP"/>
    <n v="28229"/>
    <n v="106"/>
    <n v="23794"/>
    <n v="3173"/>
    <n v="2432"/>
    <n v="25055"/>
    <n v="-2693"/>
    <n v="2"/>
    <n v="0"/>
    <n v="3.7550037195791561E-3"/>
    <n v="-0.10748353622031531"/>
  </r>
  <r>
    <x v="1019"/>
    <s v="b3S"/>
    <x v="5"/>
    <n v="2"/>
    <x v="0"/>
    <s v="CONTAGEM"/>
    <s v="MG"/>
    <n v="28177"/>
    <n v="9176"/>
    <n v="18944"/>
    <n v="2877"/>
    <n v="0"/>
    <n v="25299"/>
    <n v="1783"/>
    <n v="0"/>
    <n v="0"/>
    <n v="0.32565567661567946"/>
    <n v="7.0477093956282863E-2"/>
  </r>
  <r>
    <x v="1020"/>
    <s v="n4"/>
    <x v="3"/>
    <n v="2"/>
    <x v="0"/>
    <s v="BARUERI"/>
    <s v="SP"/>
    <n v="27880"/>
    <n v="0"/>
    <n v="0"/>
    <n v="20713"/>
    <n v="17666"/>
    <n v="7167"/>
    <n v="863"/>
    <n v="1"/>
    <n v="0"/>
    <n v="0"/>
    <n v="0.12041300404632342"/>
  </r>
  <r>
    <x v="1021"/>
    <s v="n4"/>
    <x v="3"/>
    <n v="2"/>
    <x v="0"/>
    <s v="SAO PAULO"/>
    <s v="SP"/>
    <n v="27795"/>
    <n v="0"/>
    <n v="16998"/>
    <n v="1601"/>
    <n v="0"/>
    <n v="26194"/>
    <n v="-1395"/>
    <n v="1"/>
    <n v="0"/>
    <n v="0"/>
    <n v="-5.3256470947545237E-2"/>
  </r>
  <r>
    <x v="1022"/>
    <s v="b3S"/>
    <x v="5"/>
    <n v="2"/>
    <x v="0"/>
    <s v="RIO DE JANEIRO"/>
    <s v="RJ"/>
    <n v="27533"/>
    <n v="19943"/>
    <n v="7360"/>
    <n v="16317"/>
    <n v="15372"/>
    <n v="11216"/>
    <n v="339"/>
    <n v="0"/>
    <n v="2"/>
    <n v="0.72433080303635633"/>
    <n v="3.0224679029957204E-2"/>
  </r>
  <r>
    <x v="1023"/>
    <s v="n1"/>
    <x v="5"/>
    <n v="2"/>
    <x v="0"/>
    <s v="SAO PAULO"/>
    <s v="SP"/>
    <n v="27482"/>
    <n v="0"/>
    <n v="14600"/>
    <n v="152"/>
    <n v="0"/>
    <n v="27330"/>
    <n v="661"/>
    <n v="2"/>
    <n v="0"/>
    <n v="0"/>
    <n v="2.4185876326381264E-2"/>
  </r>
  <r>
    <x v="1024"/>
    <s v="n2"/>
    <x v="4"/>
    <n v="2"/>
    <x v="0"/>
    <s v="SAO PAULO"/>
    <s v="SP"/>
    <n v="27382"/>
    <n v="0"/>
    <n v="3984"/>
    <n v="19331"/>
    <n v="0"/>
    <n v="8051"/>
    <n v="1027"/>
    <n v="2"/>
    <n v="0"/>
    <n v="0"/>
    <n v="0.12756179356601666"/>
  </r>
  <r>
    <x v="1025"/>
    <s v="n1"/>
    <x v="5"/>
    <n v="2"/>
    <x v="0"/>
    <s v="BELO HORIZONTE"/>
    <s v="MG"/>
    <n v="27244"/>
    <n v="6001"/>
    <n v="12523"/>
    <n v="18237"/>
    <n v="16779"/>
    <n v="9007"/>
    <n v="-24"/>
    <n v="2"/>
    <n v="0"/>
    <n v="0.22026868301277344"/>
    <n v="-2.664594204507605E-3"/>
  </r>
  <r>
    <x v="1026"/>
    <s v="n4"/>
    <x v="3"/>
    <n v="2"/>
    <x v="0"/>
    <s v="SAO PAULO"/>
    <s v="SP"/>
    <n v="26945"/>
    <n v="0"/>
    <n v="14529"/>
    <n v="2526"/>
    <n v="0"/>
    <n v="24419"/>
    <n v="1502"/>
    <n v="1"/>
    <n v="0"/>
    <n v="0"/>
    <n v="6.1509480322699539E-2"/>
  </r>
  <r>
    <x v="1027"/>
    <s v="n2"/>
    <x v="4"/>
    <n v="2"/>
    <x v="0"/>
    <s v="CUIABA"/>
    <s v="MT"/>
    <n v="26928"/>
    <n v="0"/>
    <n v="0"/>
    <n v="18078"/>
    <n v="0"/>
    <n v="8851"/>
    <n v="689"/>
    <n v="2"/>
    <n v="0"/>
    <n v="0"/>
    <n v="7.7844311377245512E-2"/>
  </r>
  <r>
    <x v="1028"/>
    <s v="n1"/>
    <x v="5"/>
    <n v="2"/>
    <x v="0"/>
    <s v="CASCAVEL"/>
    <s v="PR"/>
    <n v="26534"/>
    <n v="5740"/>
    <n v="214"/>
    <n v="19327"/>
    <n v="18257"/>
    <n v="7207"/>
    <n v="922"/>
    <n v="2"/>
    <n v="0"/>
    <n v="0.21632622295922213"/>
    <n v="0.12793117802136811"/>
  </r>
  <r>
    <x v="1029"/>
    <s v="b3S"/>
    <x v="5"/>
    <n v="2"/>
    <x v="0"/>
    <s v="SAO PAULO"/>
    <s v="SP"/>
    <n v="26382"/>
    <n v="23349"/>
    <n v="2992"/>
    <n v="1031"/>
    <n v="0"/>
    <n v="25351"/>
    <n v="1713"/>
    <n v="0"/>
    <n v="0"/>
    <n v="0.88503525130770977"/>
    <n v="6.7571298962565585E-2"/>
  </r>
  <r>
    <x v="1030"/>
    <s v="n1"/>
    <x v="5"/>
    <n v="2"/>
    <x v="0"/>
    <s v="FORTALEZA"/>
    <s v="CE"/>
    <n v="26351"/>
    <n v="3891"/>
    <n v="1"/>
    <n v="19018"/>
    <n v="15467"/>
    <n v="7333"/>
    <n v="2227"/>
    <n v="2"/>
    <n v="0"/>
    <n v="0.14766043034419946"/>
    <n v="0.30369562252829674"/>
  </r>
  <r>
    <x v="1031"/>
    <s v="n1"/>
    <x v="4"/>
    <n v="2"/>
    <x v="0"/>
    <s v="SAO PAULO"/>
    <s v="SP"/>
    <n v="25568"/>
    <n v="15920"/>
    <n v="1397"/>
    <n v="14074"/>
    <n v="6038"/>
    <n v="11495"/>
    <n v="4564"/>
    <n v="2"/>
    <n v="0"/>
    <n v="0.62265331664580725"/>
    <n v="0.39704219225750326"/>
  </r>
  <r>
    <x v="1032"/>
    <s v="b3S"/>
    <x v="5"/>
    <n v="2"/>
    <x v="0"/>
    <s v="MATAO"/>
    <s v="SP"/>
    <n v="25178"/>
    <n v="17182"/>
    <n v="6209"/>
    <n v="4064"/>
    <n v="1833"/>
    <n v="21114"/>
    <n v="624"/>
    <n v="0"/>
    <n v="0"/>
    <n v="0.68242116133132102"/>
    <n v="2.9553850525717535E-2"/>
  </r>
  <r>
    <x v="1033"/>
    <s v="b3S"/>
    <x v="5"/>
    <n v="2"/>
    <x v="0"/>
    <s v="OURO BRANCO"/>
    <s v="MG"/>
    <n v="25083"/>
    <n v="7048"/>
    <n v="16835"/>
    <n v="3746"/>
    <n v="0"/>
    <n v="21337"/>
    <n v="1163"/>
    <n v="0"/>
    <n v="0"/>
    <n v="0.28098712275246185"/>
    <n v="5.450625673712331E-2"/>
  </r>
  <r>
    <x v="1034"/>
    <s v="n2"/>
    <x v="5"/>
    <n v="2"/>
    <x v="0"/>
    <s v="SAO PAULO"/>
    <s v="SP"/>
    <n v="25013"/>
    <n v="0"/>
    <n v="19329"/>
    <n v="4723"/>
    <n v="0"/>
    <n v="20290"/>
    <n v="8920"/>
    <n v="2"/>
    <n v="0"/>
    <n v="0"/>
    <n v="0.43962543124691966"/>
  </r>
  <r>
    <x v="1035"/>
    <s v="n1"/>
    <x v="5"/>
    <n v="2"/>
    <x v="0"/>
    <s v="SAO PAULO"/>
    <s v="SP"/>
    <n v="24812"/>
    <n v="0"/>
    <n v="18507"/>
    <n v="4850"/>
    <n v="0"/>
    <n v="19963"/>
    <n v="4265"/>
    <n v="2"/>
    <n v="0"/>
    <n v="0"/>
    <n v="0.21364524370084656"/>
  </r>
  <r>
    <x v="1036"/>
    <s v="b3S"/>
    <x v="5"/>
    <n v="2"/>
    <x v="0"/>
    <s v="JABOTICABAL"/>
    <s v="SP"/>
    <n v="24808"/>
    <n v="12906"/>
    <n v="11414"/>
    <n v="4078"/>
    <n v="2505"/>
    <n v="20729"/>
    <n v="1227"/>
    <n v="0"/>
    <n v="0"/>
    <n v="0.52023540793292489"/>
    <n v="5.9192435718076128E-2"/>
  </r>
  <r>
    <x v="1037"/>
    <s v="n4"/>
    <x v="3"/>
    <n v="2"/>
    <x v="0"/>
    <s v="FORTALEZA"/>
    <s v="CE"/>
    <n v="24714"/>
    <n v="0"/>
    <n v="270"/>
    <n v="10667"/>
    <n v="5558"/>
    <n v="14047"/>
    <n v="2266"/>
    <n v="1"/>
    <n v="0"/>
    <n v="0"/>
    <n v="0.16131558339859045"/>
  </r>
  <r>
    <x v="1038"/>
    <s v="b3S"/>
    <x v="5"/>
    <n v="2"/>
    <x v="0"/>
    <s v="ALUMINIO"/>
    <s v="SP"/>
    <n v="24299"/>
    <n v="11075"/>
    <n v="12064"/>
    <n v="1436"/>
    <n v="100"/>
    <n v="22863"/>
    <n v="469"/>
    <n v="0"/>
    <n v="0"/>
    <n v="0.45578007325404335"/>
    <n v="2.0513493417311814E-2"/>
  </r>
  <r>
    <x v="1039"/>
    <s v="n2"/>
    <x v="4"/>
    <n v="2"/>
    <x v="0"/>
    <s v="SAO PAULO"/>
    <s v="SP"/>
    <n v="24255"/>
    <n v="0"/>
    <n v="11191"/>
    <n v="6559"/>
    <n v="0"/>
    <n v="17696"/>
    <n v="7163"/>
    <n v="2"/>
    <n v="0"/>
    <n v="0"/>
    <n v="0.40478074141048825"/>
  </r>
  <r>
    <x v="1040"/>
    <s v="n2"/>
    <x v="4"/>
    <n v="2"/>
    <x v="0"/>
    <s v="RIO DE JANEIRO"/>
    <s v="RJ"/>
    <n v="24099"/>
    <n v="0"/>
    <n v="7227"/>
    <n v="13257"/>
    <n v="1"/>
    <n v="10842"/>
    <n v="-3165"/>
    <n v="2"/>
    <n v="0"/>
    <n v="0"/>
    <n v="-0.29192030990592144"/>
  </r>
  <r>
    <x v="1041"/>
    <s v="n4"/>
    <x v="3"/>
    <n v="2"/>
    <x v="0"/>
    <s v="FLORES DA CUNHA"/>
    <s v="RS"/>
    <n v="23695"/>
    <n v="0"/>
    <n v="19738"/>
    <n v="18411"/>
    <n v="18379"/>
    <n v="5284"/>
    <n v="102"/>
    <n v="1"/>
    <n v="0"/>
    <n v="0"/>
    <n v="1.9303557910673733E-2"/>
  </r>
  <r>
    <x v="1042"/>
    <s v="n2"/>
    <x v="4"/>
    <n v="2"/>
    <x v="0"/>
    <s v="SAO PAULO"/>
    <s v="SP"/>
    <n v="23533"/>
    <n v="0"/>
    <n v="12296"/>
    <n v="8856"/>
    <n v="2647"/>
    <n v="14677"/>
    <n v="949"/>
    <n v="2"/>
    <n v="0"/>
    <n v="0"/>
    <n v="6.4658990256864488E-2"/>
  </r>
  <r>
    <x v="1043"/>
    <s v="b3S"/>
    <x v="5"/>
    <n v="2"/>
    <x v="0"/>
    <s v="SUMARE"/>
    <s v="SP"/>
    <n v="23280"/>
    <n v="19361"/>
    <n v="3871"/>
    <n v="317"/>
    <n v="0"/>
    <n v="22963"/>
    <n v="1341"/>
    <n v="0"/>
    <n v="0"/>
    <n v="0.83165807560137461"/>
    <n v="5.8398292905979185E-2"/>
  </r>
  <r>
    <x v="1044"/>
    <s v="b3S"/>
    <x v="5"/>
    <n v="2"/>
    <x v="0"/>
    <s v="SAO PAULO"/>
    <s v="SP"/>
    <n v="23141"/>
    <n v="7312"/>
    <n v="15138"/>
    <n v="861"/>
    <n v="0"/>
    <n v="22280"/>
    <n v="1138"/>
    <n v="0"/>
    <n v="0"/>
    <n v="0.31597597338057992"/>
    <n v="5.1077199281867144E-2"/>
  </r>
  <r>
    <x v="1045"/>
    <s v="n1"/>
    <x v="5"/>
    <n v="2"/>
    <x v="0"/>
    <s v="SAO JOSE DO RIO PRETO"/>
    <s v="SP"/>
    <n v="23007"/>
    <n v="1228"/>
    <n v="4908"/>
    <n v="12759"/>
    <n v="12592"/>
    <n v="10248"/>
    <n v="247"/>
    <n v="2"/>
    <n v="0"/>
    <n v="5.3375059764419523E-2"/>
    <n v="2.4102263856362216E-2"/>
  </r>
  <r>
    <x v="1046"/>
    <s v="b3S"/>
    <x v="5"/>
    <n v="2"/>
    <x v="0"/>
    <s v="ORLANDIA"/>
    <s v="SP"/>
    <n v="22977"/>
    <n v="17560"/>
    <n v="4228"/>
    <n v="418"/>
    <n v="0"/>
    <n v="22559"/>
    <n v="1091"/>
    <n v="0"/>
    <n v="0"/>
    <n v="0.7642425033729382"/>
    <n v="4.836207278691431E-2"/>
  </r>
  <r>
    <x v="1047"/>
    <s v="n1"/>
    <x v="5"/>
    <n v="2"/>
    <x v="0"/>
    <s v="VOTORANTIM"/>
    <s v="SP"/>
    <n v="22966"/>
    <n v="0"/>
    <n v="6840"/>
    <n v="13824"/>
    <n v="0"/>
    <n v="9142"/>
    <n v="1955"/>
    <n v="2"/>
    <n v="0"/>
    <n v="0"/>
    <n v="0.21384817326624372"/>
  </r>
  <r>
    <x v="1048"/>
    <s v="n2"/>
    <x v="4"/>
    <n v="2"/>
    <x v="0"/>
    <s v="SAO PAULO"/>
    <s v="SP"/>
    <n v="22585"/>
    <n v="0"/>
    <n v="11703"/>
    <n v="10103"/>
    <n v="9163"/>
    <n v="12481"/>
    <n v="563"/>
    <n v="2"/>
    <n v="0"/>
    <n v="0"/>
    <n v="4.5108565018828622E-2"/>
  </r>
  <r>
    <x v="1049"/>
    <s v="b3S"/>
    <x v="5"/>
    <n v="2"/>
    <x v="0"/>
    <s v="PORTO ALEGRE"/>
    <s v="RS"/>
    <n v="22299"/>
    <n v="10634"/>
    <n v="504"/>
    <n v="13235"/>
    <n v="8833"/>
    <n v="9064"/>
    <n v="-283"/>
    <n v="0"/>
    <n v="0"/>
    <n v="0.47688237140678952"/>
    <n v="-3.1222418358340689E-2"/>
  </r>
  <r>
    <x v="1050"/>
    <s v="n1"/>
    <x v="4"/>
    <n v="2"/>
    <x v="0"/>
    <s v="BARUERI"/>
    <s v="SP"/>
    <n v="22045"/>
    <n v="0"/>
    <n v="276"/>
    <n v="12381"/>
    <n v="11561"/>
    <n v="9664"/>
    <n v="274"/>
    <n v="2"/>
    <n v="0"/>
    <n v="0"/>
    <n v="2.8352649006622516E-2"/>
  </r>
  <r>
    <x v="1051"/>
    <s v="b3S"/>
    <x v="5"/>
    <n v="2"/>
    <x v="0"/>
    <s v="SAO JOAO DE MERITI"/>
    <s v="RJ"/>
    <n v="21781"/>
    <n v="5144"/>
    <n v="6646"/>
    <n v="3288"/>
    <n v="0"/>
    <n v="18493"/>
    <n v="752"/>
    <n v="0"/>
    <n v="0"/>
    <n v="0.23616913823975025"/>
    <n v="4.0664035040285512E-2"/>
  </r>
  <r>
    <x v="1052"/>
    <s v="n2"/>
    <x v="4"/>
    <n v="2"/>
    <x v="0"/>
    <s v="SAO PAULO"/>
    <s v="SP"/>
    <n v="21749"/>
    <n v="0"/>
    <n v="10252"/>
    <n v="9540"/>
    <n v="0"/>
    <n v="12209"/>
    <n v="1209"/>
    <n v="2"/>
    <n v="0"/>
    <n v="0"/>
    <n v="9.902530919813253E-2"/>
  </r>
  <r>
    <x v="1053"/>
    <s v="b3S"/>
    <x v="5"/>
    <n v="2"/>
    <x v="0"/>
    <s v="ORIXIMINA"/>
    <s v="PA"/>
    <n v="21393"/>
    <n v="14048"/>
    <n v="6276"/>
    <n v="656"/>
    <n v="0"/>
    <n v="20737"/>
    <n v="901"/>
    <n v="0"/>
    <n v="0"/>
    <n v="0.65666339456831679"/>
    <n v="4.3448907749433378E-2"/>
  </r>
  <r>
    <x v="1054"/>
    <s v="n1"/>
    <x v="4"/>
    <n v="2"/>
    <x v="0"/>
    <s v="JOINVILLE"/>
    <s v="SC"/>
    <n v="21338"/>
    <n v="501"/>
    <n v="20407"/>
    <n v="503"/>
    <n v="0"/>
    <n v="20835"/>
    <n v="558"/>
    <n v="2"/>
    <n v="0"/>
    <n v="2.3479238916487018E-2"/>
    <n v="2.6781857451403889E-2"/>
  </r>
  <r>
    <x v="1055"/>
    <s v="n1"/>
    <x v="5"/>
    <n v="2"/>
    <x v="0"/>
    <s v="PORTO ALEGRE"/>
    <s v="RS"/>
    <n v="21256"/>
    <n v="11987"/>
    <n v="881"/>
    <n v="7102"/>
    <n v="0"/>
    <n v="14154"/>
    <n v="3002"/>
    <n v="2"/>
    <n v="0"/>
    <n v="0.56393488897252542"/>
    <n v="0.21209552070086193"/>
  </r>
  <r>
    <x v="1056"/>
    <s v="n4"/>
    <x v="3"/>
    <n v="3"/>
    <x v="2"/>
    <s v="SAO PAULO"/>
    <s v="SP"/>
    <n v="21005"/>
    <n v="0"/>
    <n v="32"/>
    <n v="15333"/>
    <n v="0"/>
    <n v="5672"/>
    <n v="-458"/>
    <n v="1"/>
    <n v="0"/>
    <n v="0"/>
    <n v="-8.0747531734837799E-2"/>
  </r>
  <r>
    <x v="1057"/>
    <s v="b1"/>
    <x v="4"/>
    <n v="2"/>
    <x v="0"/>
    <s v="SALVADOR"/>
    <s v="BA"/>
    <n v="20972"/>
    <n v="2071"/>
    <n v="0"/>
    <n v="2216"/>
    <n v="2066"/>
    <n v="18755"/>
    <n v="-502"/>
    <n v="1"/>
    <n v="0"/>
    <n v="9.8750715239366779E-2"/>
    <n v="-2.6766195681151694E-2"/>
  </r>
  <r>
    <x v="1058"/>
    <s v="n4"/>
    <x v="3"/>
    <n v="3"/>
    <x v="2"/>
    <s v="SAO PAULO"/>
    <s v="SP"/>
    <n v="20904"/>
    <n v="0"/>
    <n v="7615"/>
    <n v="11091"/>
    <n v="0"/>
    <n v="9812"/>
    <n v="-285"/>
    <n v="1"/>
    <n v="0"/>
    <n v="0"/>
    <n v="-2.9046066041581737E-2"/>
  </r>
  <r>
    <x v="1059"/>
    <s v="b3S"/>
    <x v="5"/>
    <n v="2"/>
    <x v="0"/>
    <s v="SAO PAULO"/>
    <s v="SP"/>
    <n v="20436"/>
    <n v="12157"/>
    <n v="1917"/>
    <n v="999"/>
    <n v="0"/>
    <n v="19437"/>
    <n v="941"/>
    <n v="0"/>
    <n v="0"/>
    <n v="0.5948815815228029"/>
    <n v="4.8412820908576425E-2"/>
  </r>
  <r>
    <x v="1060"/>
    <s v="n2"/>
    <x v="4"/>
    <n v="2"/>
    <x v="0"/>
    <s v="BELO HORIZONTE"/>
    <s v="MG"/>
    <n v="20122"/>
    <n v="9215"/>
    <n v="0"/>
    <n v="1246"/>
    <n v="12"/>
    <n v="18876"/>
    <n v="-88"/>
    <n v="2"/>
    <n v="0"/>
    <n v="0.45795646556008351"/>
    <n v="-4.662004662004662E-3"/>
  </r>
  <r>
    <x v="1061"/>
    <s v="b3S"/>
    <x v="5"/>
    <n v="2"/>
    <x v="0"/>
    <s v="VILA VELHA"/>
    <s v="ES"/>
    <n v="20121"/>
    <n v="8010"/>
    <n v="10127"/>
    <n v="17392"/>
    <n v="16315"/>
    <n v="2729"/>
    <n v="-100"/>
    <n v="0"/>
    <n v="0"/>
    <n v="0.39809154614581782"/>
    <n v="-3.6643459142543057E-2"/>
  </r>
  <r>
    <x v="1062"/>
    <s v="b3S"/>
    <x v="5"/>
    <n v="2"/>
    <x v="0"/>
    <s v="SAO PAULO"/>
    <s v="SP"/>
    <n v="20062"/>
    <n v="3396"/>
    <n v="15170"/>
    <n v="4145"/>
    <n v="0"/>
    <n v="15917"/>
    <n v="887"/>
    <n v="0"/>
    <n v="0"/>
    <n v="0.16927524673512112"/>
    <n v="5.572658164226927E-2"/>
  </r>
  <r>
    <x v="1063"/>
    <s v="b3S"/>
    <x v="5"/>
    <n v="2"/>
    <x v="0"/>
    <s v="JACAREI"/>
    <s v="SP"/>
    <n v="20060"/>
    <n v="16849"/>
    <n v="3139"/>
    <n v="399"/>
    <n v="0"/>
    <n v="19661"/>
    <n v="1195"/>
    <n v="0"/>
    <n v="2"/>
    <n v="0.83993020937188434"/>
    <n v="6.078022481053863E-2"/>
  </r>
  <r>
    <x v="1064"/>
    <s v="b3S"/>
    <x v="5"/>
    <n v="2"/>
    <x v="0"/>
    <s v="BELO HORIZONTE"/>
    <s v="MG"/>
    <n v="20029"/>
    <n v="7013"/>
    <n v="2267"/>
    <n v="10091"/>
    <n v="9006"/>
    <n v="9938"/>
    <n v="392"/>
    <n v="0"/>
    <n v="0"/>
    <n v="0.35014229367417243"/>
    <n v="3.9444556248742199E-2"/>
  </r>
  <r>
    <x v="1065"/>
    <s v="n1"/>
    <x v="5"/>
    <n v="2"/>
    <x v="0"/>
    <s v="MARINGA"/>
    <s v="PR"/>
    <n v="19896"/>
    <n v="1875"/>
    <n v="0"/>
    <n v="12946"/>
    <n v="8573"/>
    <n v="6950"/>
    <n v="-33"/>
    <n v="2"/>
    <n v="0"/>
    <n v="9.4240048250904707E-2"/>
    <n v="-4.7482014388489212E-3"/>
  </r>
  <r>
    <x v="1066"/>
    <s v="n1"/>
    <x v="5"/>
    <n v="2"/>
    <x v="0"/>
    <s v="SAO PAULO"/>
    <s v="SP"/>
    <n v="19811"/>
    <n v="0"/>
    <n v="19274"/>
    <n v="897"/>
    <n v="0"/>
    <n v="18914"/>
    <n v="678"/>
    <n v="2"/>
    <n v="0"/>
    <n v="0"/>
    <n v="3.584646293750661E-2"/>
  </r>
  <r>
    <x v="1067"/>
    <s v="n1"/>
    <x v="4"/>
    <n v="3"/>
    <x v="2"/>
    <s v="SAO PAULO"/>
    <s v="SP"/>
    <n v="19773"/>
    <n v="584"/>
    <n v="16007"/>
    <n v="1015"/>
    <n v="0"/>
    <n v="18758"/>
    <n v="831"/>
    <n v="2"/>
    <n v="0"/>
    <n v="2.9535224801496989E-2"/>
    <n v="4.4301098198102143E-2"/>
  </r>
  <r>
    <x v="1068"/>
    <s v="b3S"/>
    <x v="5"/>
    <n v="2"/>
    <x v="0"/>
    <s v="GUACUI"/>
    <s v="ES"/>
    <n v="19742"/>
    <n v="5235"/>
    <n v="12764"/>
    <n v="9348"/>
    <n v="7119"/>
    <n v="10394"/>
    <n v="468"/>
    <n v="0"/>
    <n v="0"/>
    <n v="0.26517070205652921"/>
    <n v="4.5025976524918222E-2"/>
  </r>
  <r>
    <x v="1069"/>
    <s v="b3S"/>
    <x v="5"/>
    <n v="2"/>
    <x v="0"/>
    <s v="VITORIA"/>
    <s v="ES"/>
    <n v="19739"/>
    <n v="12725"/>
    <n v="4115"/>
    <n v="1795"/>
    <n v="0"/>
    <n v="17945"/>
    <n v="339"/>
    <n v="0"/>
    <n v="1"/>
    <n v="0.64466285019504532"/>
    <n v="1.8891056004458066E-2"/>
  </r>
  <r>
    <x v="1070"/>
    <s v="n1"/>
    <x v="5"/>
    <n v="2"/>
    <x v="0"/>
    <s v="SAO PAULO"/>
    <s v="SP"/>
    <n v="19558"/>
    <n v="342"/>
    <n v="0"/>
    <n v="3480"/>
    <n v="492"/>
    <n v="16078"/>
    <n v="4657"/>
    <n v="2"/>
    <n v="0"/>
    <n v="1.74864505573167E-2"/>
    <n v="0.28965045403657169"/>
  </r>
  <r>
    <x v="1071"/>
    <s v="n2"/>
    <x v="4"/>
    <n v="2"/>
    <x v="0"/>
    <s v="RIO DE JANEIRO"/>
    <s v="RJ"/>
    <n v="19523"/>
    <n v="0"/>
    <n v="13747"/>
    <n v="3878"/>
    <n v="0"/>
    <n v="15645"/>
    <n v="1961"/>
    <n v="3"/>
    <n v="0"/>
    <n v="0"/>
    <n v="0.12534356024288909"/>
  </r>
  <r>
    <x v="1072"/>
    <s v="b3S"/>
    <x v="5"/>
    <n v="2"/>
    <x v="0"/>
    <s v="JOAO MONLEVADE"/>
    <s v="MG"/>
    <n v="19518"/>
    <n v="14400"/>
    <n v="4004"/>
    <n v="1824"/>
    <n v="0"/>
    <n v="17694"/>
    <n v="902"/>
    <n v="0"/>
    <n v="0"/>
    <n v="0.73778051029818625"/>
    <n v="5.0977732564711199E-2"/>
  </r>
  <r>
    <x v="1073"/>
    <s v="b3S"/>
    <x v="5"/>
    <n v="2"/>
    <x v="0"/>
    <s v="SAO PAULO"/>
    <s v="SP"/>
    <n v="18914"/>
    <n v="13050"/>
    <n v="5619"/>
    <n v="2395"/>
    <n v="0"/>
    <n v="16519"/>
    <n v="1198"/>
    <n v="0"/>
    <n v="0"/>
    <n v="0.68996510521306964"/>
    <n v="7.2522549791149582E-2"/>
  </r>
  <r>
    <x v="1074"/>
    <s v="b3S"/>
    <x v="5"/>
    <n v="2"/>
    <x v="0"/>
    <s v="ITAPIRA"/>
    <s v="SP"/>
    <n v="18554"/>
    <n v="13401"/>
    <n v="4017"/>
    <n v="760"/>
    <n v="0"/>
    <n v="17794"/>
    <n v="1021"/>
    <n v="0"/>
    <n v="0"/>
    <n v="0.72227013043009591"/>
    <n v="5.7378891761267842E-2"/>
  </r>
  <r>
    <x v="1075"/>
    <s v="n2"/>
    <x v="4"/>
    <n v="2"/>
    <x v="0"/>
    <s v="SAO PAULO"/>
    <s v="SP"/>
    <n v="18545"/>
    <n v="0"/>
    <n v="2048"/>
    <n v="9330"/>
    <n v="1217"/>
    <n v="9215"/>
    <n v="-3275"/>
    <n v="2"/>
    <n v="0"/>
    <n v="0"/>
    <n v="-0.35539880629408571"/>
  </r>
  <r>
    <x v="1076"/>
    <s v="n1"/>
    <x v="5"/>
    <n v="2"/>
    <x v="0"/>
    <s v="SAO PAULO"/>
    <s v="SP"/>
    <n v="18497"/>
    <n v="220"/>
    <n v="10621"/>
    <n v="7553"/>
    <n v="6175"/>
    <n v="10944"/>
    <n v="712"/>
    <n v="2"/>
    <n v="0"/>
    <n v="1.1893820619559929E-2"/>
    <n v="6.5058479532163746E-2"/>
  </r>
  <r>
    <x v="1077"/>
    <s v="n1"/>
    <x v="4"/>
    <n v="2"/>
    <x v="0"/>
    <s v="SAO PAULO"/>
    <s v="SP"/>
    <n v="18474"/>
    <n v="103"/>
    <n v="11784"/>
    <n v="1108"/>
    <n v="0"/>
    <n v="17366"/>
    <n v="181"/>
    <n v="4"/>
    <n v="0"/>
    <n v="5.5754032694597814E-3"/>
    <n v="1.0422664977542325E-2"/>
  </r>
  <r>
    <x v="1078"/>
    <s v="n1"/>
    <x v="5"/>
    <n v="2"/>
    <x v="0"/>
    <s v="PORTO ALEGRE"/>
    <s v="RS"/>
    <n v="18324"/>
    <n v="0"/>
    <n v="124"/>
    <n v="7188"/>
    <n v="5497"/>
    <n v="11136"/>
    <n v="897"/>
    <n v="2"/>
    <n v="0"/>
    <n v="0"/>
    <n v="8.0549568965517238E-2"/>
  </r>
  <r>
    <x v="1079"/>
    <s v="b3S"/>
    <x v="5"/>
    <n v="2"/>
    <x v="0"/>
    <s v="VILA VELHA"/>
    <s v="ES"/>
    <n v="18255"/>
    <n v="10793"/>
    <n v="7135"/>
    <n v="12929"/>
    <n v="12248"/>
    <n v="5326"/>
    <n v="79"/>
    <n v="0"/>
    <n v="1"/>
    <n v="0.59123527800602571"/>
    <n v="1.4832895230942547E-2"/>
  </r>
  <r>
    <x v="1080"/>
    <s v="n2"/>
    <x v="4"/>
    <n v="2"/>
    <x v="0"/>
    <s v="PORTO ALEGRE"/>
    <s v="RS"/>
    <n v="18226"/>
    <n v="0"/>
    <n v="0"/>
    <n v="15827"/>
    <n v="0"/>
    <n v="2398"/>
    <n v="-142"/>
    <n v="2"/>
    <n v="0"/>
    <n v="0"/>
    <n v="-5.9216013344453713E-2"/>
  </r>
  <r>
    <x v="1081"/>
    <s v="n1"/>
    <x v="5"/>
    <n v="2"/>
    <x v="0"/>
    <s v="SAO PAULO"/>
    <s v="SP"/>
    <n v="18119"/>
    <n v="0"/>
    <n v="13544"/>
    <n v="1579"/>
    <n v="0"/>
    <n v="16540"/>
    <n v="-809"/>
    <n v="2"/>
    <n v="0"/>
    <n v="0"/>
    <n v="-4.8911729141475214E-2"/>
  </r>
  <r>
    <x v="1082"/>
    <s v="b3S"/>
    <x v="5"/>
    <n v="2"/>
    <x v="0"/>
    <s v="BELO HORIZONTE"/>
    <s v="MG"/>
    <n v="18081"/>
    <n v="8151"/>
    <n v="9679"/>
    <n v="956"/>
    <n v="0"/>
    <n v="17125"/>
    <n v="713"/>
    <n v="0"/>
    <n v="0"/>
    <n v="0.45080471212875395"/>
    <n v="4.1635036496350364E-2"/>
  </r>
  <r>
    <x v="1083"/>
    <s v="b3S"/>
    <x v="5"/>
    <n v="2"/>
    <x v="0"/>
    <s v="SAO PAULO"/>
    <s v="SP"/>
    <n v="18052"/>
    <n v="13763"/>
    <n v="4139"/>
    <n v="242"/>
    <n v="0"/>
    <n v="17810"/>
    <n v="908"/>
    <n v="0"/>
    <n v="0"/>
    <n v="0.76240859738533129"/>
    <n v="5.0982594048287477E-2"/>
  </r>
  <r>
    <x v="1084"/>
    <s v="n1"/>
    <x v="5"/>
    <n v="2"/>
    <x v="0"/>
    <s v="SANTOS"/>
    <s v="SP"/>
    <n v="18010"/>
    <n v="107"/>
    <n v="7819"/>
    <n v="7796"/>
    <n v="0"/>
    <n v="10215"/>
    <n v="34"/>
    <n v="2"/>
    <n v="0"/>
    <n v="5.9411438089950024E-3"/>
    <n v="3.3284385707293197E-3"/>
  </r>
  <r>
    <x v="1085"/>
    <s v="b3S"/>
    <x v="5"/>
    <n v="2"/>
    <x v="0"/>
    <s v="BELO HORIZONTE"/>
    <s v="MG"/>
    <n v="18010"/>
    <n v="10247"/>
    <n v="7472"/>
    <n v="1900"/>
    <n v="0"/>
    <n v="16110"/>
    <n v="430"/>
    <n v="0"/>
    <n v="0"/>
    <n v="0.56896168795113822"/>
    <n v="2.6691495965238982E-2"/>
  </r>
  <r>
    <x v="1086"/>
    <s v="n1"/>
    <x v="4"/>
    <n v="2"/>
    <x v="0"/>
    <s v="FLORIANOPOLIS"/>
    <s v="SC"/>
    <n v="17967"/>
    <n v="0"/>
    <n v="8440"/>
    <n v="9233"/>
    <n v="9084"/>
    <n v="8733"/>
    <n v="484"/>
    <n v="2"/>
    <n v="0"/>
    <n v="0"/>
    <n v="5.5421962670330928E-2"/>
  </r>
  <r>
    <x v="1087"/>
    <s v="n1"/>
    <x v="5"/>
    <n v="2"/>
    <x v="0"/>
    <s v="SAO PAULO"/>
    <s v="SP"/>
    <n v="17901"/>
    <n v="0"/>
    <n v="5753"/>
    <n v="9179"/>
    <n v="3821"/>
    <n v="8722"/>
    <n v="1002"/>
    <n v="2"/>
    <n v="0"/>
    <n v="0"/>
    <n v="0.1148819078193075"/>
  </r>
  <r>
    <x v="1088"/>
    <s v="b3S"/>
    <x v="5"/>
    <n v="2"/>
    <x v="0"/>
    <s v="TIMOTEO"/>
    <s v="MG"/>
    <n v="17680"/>
    <n v="13948"/>
    <n v="0"/>
    <n v="820"/>
    <n v="0"/>
    <n v="16860"/>
    <n v="936"/>
    <n v="0"/>
    <n v="0"/>
    <n v="0.78891402714932124"/>
    <n v="5.5516014234875448E-2"/>
  </r>
  <r>
    <x v="1089"/>
    <s v="n2"/>
    <x v="4"/>
    <n v="2"/>
    <x v="0"/>
    <s v="SAO PAULO"/>
    <s v="SP"/>
    <n v="17667"/>
    <n v="0"/>
    <n v="0"/>
    <n v="13142"/>
    <n v="0"/>
    <n v="4526"/>
    <n v="1495"/>
    <n v="4"/>
    <n v="0"/>
    <n v="0"/>
    <n v="0.33031374281926645"/>
  </r>
  <r>
    <x v="1090"/>
    <s v="n4"/>
    <x v="3"/>
    <n v="2"/>
    <x v="0"/>
    <s v="SAO PAULO"/>
    <s v="SP"/>
    <n v="17608"/>
    <n v="0"/>
    <n v="10802"/>
    <n v="9444"/>
    <n v="4393"/>
    <n v="8164"/>
    <n v="-2802"/>
    <n v="1"/>
    <n v="0"/>
    <n v="0"/>
    <n v="-0.34321411073003427"/>
  </r>
  <r>
    <x v="1091"/>
    <s v="n4"/>
    <x v="3"/>
    <n v="2"/>
    <x v="0"/>
    <s v="SAO PAULO"/>
    <s v="SP"/>
    <n v="17586"/>
    <n v="266"/>
    <n v="0"/>
    <n v="13773"/>
    <n v="4103"/>
    <n v="3813"/>
    <n v="-2791"/>
    <n v="1"/>
    <n v="0"/>
    <n v="1.5125668145115432E-2"/>
    <n v="-0.7319695777602937"/>
  </r>
  <r>
    <x v="1092"/>
    <s v="n2"/>
    <x v="4"/>
    <n v="2"/>
    <x v="0"/>
    <s v="SAO PAULO"/>
    <s v="SP"/>
    <n v="17513"/>
    <n v="0"/>
    <n v="10"/>
    <n v="13860"/>
    <n v="8795"/>
    <n v="3652"/>
    <n v="-822"/>
    <n v="2"/>
    <n v="0"/>
    <n v="0"/>
    <n v="-0.22508214676889376"/>
  </r>
  <r>
    <x v="1093"/>
    <s v="n4"/>
    <x v="3"/>
    <n v="2"/>
    <x v="0"/>
    <s v="GOIANIA"/>
    <s v="GO"/>
    <n v="17490"/>
    <n v="0"/>
    <n v="0"/>
    <n v="11828"/>
    <n v="8429"/>
    <n v="5662"/>
    <n v="268"/>
    <n v="1"/>
    <n v="0"/>
    <n v="0"/>
    <n v="4.7333097845284354E-2"/>
  </r>
  <r>
    <x v="1094"/>
    <s v="b3S"/>
    <x v="5"/>
    <n v="2"/>
    <x v="0"/>
    <s v="SAO PAULO"/>
    <s v="SP"/>
    <n v="17467"/>
    <n v="11581"/>
    <n v="5044"/>
    <n v="411"/>
    <n v="0"/>
    <n v="17056"/>
    <n v="789"/>
    <n v="0"/>
    <n v="0"/>
    <n v="0.66302169805919731"/>
    <n v="4.62593808630394E-2"/>
  </r>
  <r>
    <x v="1095"/>
    <s v="b3S"/>
    <x v="5"/>
    <n v="2"/>
    <x v="0"/>
    <s v="PORTO ALEGRE"/>
    <s v="RS"/>
    <n v="17381"/>
    <n v="10460"/>
    <n v="0"/>
    <n v="1000"/>
    <n v="0"/>
    <n v="16381"/>
    <n v="1087"/>
    <n v="0"/>
    <n v="0"/>
    <n v="0.60180657039295782"/>
    <n v="6.635736524021732E-2"/>
  </r>
  <r>
    <x v="1096"/>
    <s v="n4"/>
    <x v="3"/>
    <n v="2"/>
    <x v="0"/>
    <s v="RIO DE JANEIRO"/>
    <s v="RJ"/>
    <n v="17138"/>
    <n v="0"/>
    <n v="11213"/>
    <n v="2429"/>
    <n v="1312"/>
    <n v="14709"/>
    <n v="-889"/>
    <n v="1"/>
    <n v="0"/>
    <n v="0"/>
    <n v="-6.0439186892378816E-2"/>
  </r>
  <r>
    <x v="1097"/>
    <s v="b3S"/>
    <x v="5"/>
    <n v="2"/>
    <x v="0"/>
    <s v="POCOS DE CALDAS"/>
    <s v="MG"/>
    <n v="17091"/>
    <n v="13263"/>
    <n v="2352"/>
    <n v="3390"/>
    <n v="588"/>
    <n v="13701"/>
    <n v="670"/>
    <n v="0"/>
    <n v="0"/>
    <n v="0.77602246796559593"/>
    <n v="4.8901540033574192E-2"/>
  </r>
  <r>
    <x v="1098"/>
    <s v="n4"/>
    <x v="3"/>
    <n v="3"/>
    <x v="2"/>
    <s v="SAO PAULO"/>
    <s v="SP"/>
    <n v="17034"/>
    <n v="0"/>
    <n v="3273"/>
    <n v="2833"/>
    <n v="0"/>
    <n v="14201"/>
    <n v="1401"/>
    <n v="1"/>
    <n v="0"/>
    <n v="0"/>
    <n v="9.8655024294063795E-2"/>
  </r>
  <r>
    <x v="1099"/>
    <s v="n4"/>
    <x v="3"/>
    <n v="2"/>
    <x v="0"/>
    <s v="SAO PAULO"/>
    <s v="SP"/>
    <n v="17015"/>
    <n v="0"/>
    <n v="8706"/>
    <n v="7110"/>
    <n v="3695"/>
    <n v="9905"/>
    <n v="438"/>
    <n v="1"/>
    <n v="0"/>
    <n v="0"/>
    <n v="4.4220090863200404E-2"/>
  </r>
  <r>
    <x v="1100"/>
    <s v="n2"/>
    <x v="4"/>
    <n v="2"/>
    <x v="0"/>
    <s v="SAO PAULO"/>
    <s v="SP"/>
    <n v="16963"/>
    <n v="0"/>
    <n v="3"/>
    <n v="11927"/>
    <n v="0"/>
    <n v="5036"/>
    <n v="851"/>
    <n v="2"/>
    <n v="0"/>
    <n v="0"/>
    <n v="0.16898332009531375"/>
  </r>
  <r>
    <x v="1101"/>
    <s v="n1"/>
    <x v="4"/>
    <n v="1"/>
    <x v="1"/>
    <s v="MACAPA"/>
    <s v="AP"/>
    <n v="16550"/>
    <n v="11333"/>
    <n v="1172"/>
    <n v="5269"/>
    <n v="3086"/>
    <n v="11281"/>
    <n v="-596"/>
    <n v="2"/>
    <n v="0"/>
    <n v="0.68477341389728097"/>
    <n v="-5.283219572732914E-2"/>
  </r>
  <r>
    <x v="1102"/>
    <s v="b3S"/>
    <x v="5"/>
    <n v="2"/>
    <x v="0"/>
    <s v="COTIA"/>
    <s v="SP"/>
    <n v="16452"/>
    <n v="10834"/>
    <n v="5617"/>
    <n v="514"/>
    <n v="0"/>
    <n v="15938"/>
    <n v="660"/>
    <n v="0"/>
    <n v="0"/>
    <n v="0.65852176027230735"/>
    <n v="4.1410465554021836E-2"/>
  </r>
  <r>
    <x v="1103"/>
    <s v="n4"/>
    <x v="3"/>
    <n v="2"/>
    <x v="0"/>
    <s v="CAMPO GRANDE"/>
    <s v="MS"/>
    <n v="16403"/>
    <n v="0"/>
    <n v="4417"/>
    <n v="6164"/>
    <n v="5542"/>
    <n v="10239"/>
    <n v="2962"/>
    <n v="1"/>
    <n v="0"/>
    <n v="0"/>
    <n v="0.28928606309209881"/>
  </r>
  <r>
    <x v="1104"/>
    <s v="n2"/>
    <x v="4"/>
    <n v="2"/>
    <x v="0"/>
    <s v="RIO DE JANEIRO"/>
    <s v="RJ"/>
    <n v="15796"/>
    <n v="0"/>
    <n v="6799"/>
    <n v="3988"/>
    <n v="787"/>
    <n v="11808"/>
    <n v="371"/>
    <n v="3"/>
    <n v="0"/>
    <n v="0"/>
    <n v="3.1419376693766939E-2"/>
  </r>
  <r>
    <x v="1105"/>
    <s v="b3S"/>
    <x v="5"/>
    <n v="2"/>
    <x v="0"/>
    <s v="RIO DE JANEIRO"/>
    <s v="RJ"/>
    <n v="15745"/>
    <n v="10943"/>
    <n v="1872"/>
    <n v="1013"/>
    <n v="0"/>
    <n v="14732"/>
    <n v="1010"/>
    <n v="0"/>
    <n v="0"/>
    <n v="0.69501429025087325"/>
    <n v="6.8558240564756998E-2"/>
  </r>
  <r>
    <x v="1106"/>
    <s v="n1"/>
    <x v="4"/>
    <n v="2"/>
    <x v="0"/>
    <s v="PORTO ALEGRE"/>
    <s v="RS"/>
    <n v="15684"/>
    <n v="10376"/>
    <n v="672"/>
    <n v="4015"/>
    <n v="2209"/>
    <n v="11669"/>
    <n v="-778"/>
    <n v="4"/>
    <n v="0"/>
    <n v="0.66156592705942363"/>
    <n v="-6.6672379809752338E-2"/>
  </r>
  <r>
    <x v="1107"/>
    <s v="n2"/>
    <x v="4"/>
    <n v="2"/>
    <x v="0"/>
    <s v="RIO DE JANEIRO"/>
    <s v="RJ"/>
    <n v="15666"/>
    <n v="0"/>
    <n v="6796"/>
    <n v="7317"/>
    <n v="2581"/>
    <n v="8349"/>
    <n v="-84"/>
    <n v="3"/>
    <n v="0"/>
    <n v="0"/>
    <n v="-1.006108515989939E-2"/>
  </r>
  <r>
    <x v="1108"/>
    <s v="b3S"/>
    <x v="5"/>
    <n v="2"/>
    <x v="0"/>
    <s v="CURITIBA"/>
    <s v="PR"/>
    <n v="15577"/>
    <n v="12698"/>
    <n v="236"/>
    <n v="8616"/>
    <n v="8351"/>
    <n v="6962"/>
    <n v="-646"/>
    <n v="0"/>
    <n v="1"/>
    <n v="0.8151762213519933"/>
    <n v="-9.2789428325193907E-2"/>
  </r>
  <r>
    <x v="1109"/>
    <s v="n1"/>
    <x v="4"/>
    <n v="2"/>
    <x v="0"/>
    <s v="GOIANIA"/>
    <s v="GO"/>
    <n v="15389"/>
    <n v="1563"/>
    <n v="0"/>
    <n v="7825"/>
    <n v="3083"/>
    <n v="7563"/>
    <n v="-537"/>
    <n v="4"/>
    <n v="0"/>
    <n v="0.10156605367470271"/>
    <n v="-7.1003570011900038E-2"/>
  </r>
  <r>
    <x v="1110"/>
    <s v="b3S"/>
    <x v="5"/>
    <n v="2"/>
    <x v="0"/>
    <s v="BELFORD ROXO"/>
    <s v="RJ"/>
    <n v="15334"/>
    <n v="6390"/>
    <n v="6519"/>
    <n v="1135"/>
    <n v="0"/>
    <n v="14199"/>
    <n v="636"/>
    <n v="0"/>
    <n v="0"/>
    <n v="0.41672101212990742"/>
    <n v="4.479188675258821E-2"/>
  </r>
  <r>
    <x v="1111"/>
    <s v="n4"/>
    <x v="3"/>
    <n v="2"/>
    <x v="0"/>
    <s v="CURITIBA"/>
    <s v="PR"/>
    <n v="15105"/>
    <n v="0"/>
    <n v="7"/>
    <n v="14520"/>
    <n v="9676"/>
    <n v="585"/>
    <n v="-2213"/>
    <n v="1"/>
    <n v="0"/>
    <n v="0"/>
    <n v="-3.7829059829059828"/>
  </r>
  <r>
    <x v="1112"/>
    <s v="b3S"/>
    <x v="5"/>
    <n v="2"/>
    <x v="0"/>
    <s v="SAO PAULO"/>
    <s v="SP"/>
    <n v="14973"/>
    <n v="9692"/>
    <n v="4854"/>
    <n v="13456"/>
    <n v="13208"/>
    <n v="1516"/>
    <n v="-565"/>
    <n v="0"/>
    <n v="15"/>
    <n v="0.64729847058037804"/>
    <n v="-0.37269129287598945"/>
  </r>
  <r>
    <x v="1113"/>
    <s v="b3S"/>
    <x v="5"/>
    <n v="2"/>
    <x v="0"/>
    <s v="SANTO ANDRE"/>
    <s v="SP"/>
    <n v="14929"/>
    <n v="8375"/>
    <n v="5880"/>
    <n v="1266"/>
    <n v="0"/>
    <n v="13663"/>
    <n v="280"/>
    <n v="0"/>
    <n v="0"/>
    <n v="0.56098867975082056"/>
    <n v="2.0493303081314498E-2"/>
  </r>
  <r>
    <x v="1114"/>
    <s v="n2"/>
    <x v="4"/>
    <n v="3"/>
    <x v="2"/>
    <s v="SAO PAULO"/>
    <s v="SP"/>
    <n v="14731"/>
    <n v="0"/>
    <n v="6442"/>
    <n v="7420"/>
    <n v="2843"/>
    <n v="7311"/>
    <n v="-857"/>
    <n v="2"/>
    <n v="0"/>
    <n v="0"/>
    <n v="-0.11722062645328957"/>
  </r>
  <r>
    <x v="1115"/>
    <s v="n4"/>
    <x v="3"/>
    <n v="3"/>
    <x v="2"/>
    <s v="SAO PAULO"/>
    <s v="SP"/>
    <n v="14724"/>
    <n v="0"/>
    <n v="0"/>
    <n v="14274"/>
    <n v="0"/>
    <n v="450"/>
    <n v="-77"/>
    <n v="1"/>
    <n v="0"/>
    <n v="0"/>
    <n v="-0.1711111111111111"/>
  </r>
  <r>
    <x v="1116"/>
    <s v="n1"/>
    <x v="5"/>
    <n v="2"/>
    <x v="0"/>
    <s v="AGUAS LINDAS DE GOIAS"/>
    <s v="GO"/>
    <n v="14241"/>
    <n v="9239"/>
    <n v="4682"/>
    <n v="1116"/>
    <n v="0"/>
    <n v="13126"/>
    <n v="1331"/>
    <n v="2"/>
    <n v="0"/>
    <n v="0.6487606207429254"/>
    <n v="0.1014017979582508"/>
  </r>
  <r>
    <x v="1117"/>
    <s v="n4"/>
    <x v="3"/>
    <n v="2"/>
    <x v="0"/>
    <s v="JOAO PESSOA"/>
    <s v="PB"/>
    <n v="14203"/>
    <n v="0"/>
    <n v="5292"/>
    <n v="7312"/>
    <n v="948"/>
    <n v="6891"/>
    <n v="-655"/>
    <n v="1"/>
    <n v="0"/>
    <n v="0"/>
    <n v="-9.5051516470758962E-2"/>
  </r>
  <r>
    <x v="1118"/>
    <s v="n2"/>
    <x v="4"/>
    <n v="2"/>
    <x v="0"/>
    <s v="SAO PAULO"/>
    <s v="SP"/>
    <n v="13910"/>
    <n v="0"/>
    <n v="205"/>
    <n v="13166"/>
    <n v="0"/>
    <n v="744"/>
    <n v="122"/>
    <n v="2"/>
    <n v="0"/>
    <n v="0"/>
    <n v="0.16397849462365591"/>
  </r>
  <r>
    <x v="1119"/>
    <s v="n4"/>
    <x v="3"/>
    <n v="2"/>
    <x v="0"/>
    <s v="SAO PAULO"/>
    <s v="SP"/>
    <n v="13863"/>
    <n v="0"/>
    <n v="6539"/>
    <n v="10490"/>
    <n v="4306"/>
    <n v="3373"/>
    <n v="508"/>
    <n v="1"/>
    <n v="0"/>
    <n v="0"/>
    <n v="0.15060776756596503"/>
  </r>
  <r>
    <x v="1120"/>
    <s v="b3S"/>
    <x v="5"/>
    <n v="2"/>
    <x v="0"/>
    <s v="VITORIA"/>
    <s v="ES"/>
    <n v="13844"/>
    <n v="5729"/>
    <n v="5545"/>
    <n v="1367"/>
    <n v="320"/>
    <n v="12478"/>
    <n v="4"/>
    <n v="0"/>
    <n v="0"/>
    <n v="0.41382548396417218"/>
    <n v="3.2056419297964416E-4"/>
  </r>
  <r>
    <x v="1121"/>
    <s v="n2"/>
    <x v="5"/>
    <n v="2"/>
    <x v="0"/>
    <s v="PORTO ALEGRE"/>
    <s v="RS"/>
    <n v="13821"/>
    <n v="0"/>
    <n v="30"/>
    <n v="6914"/>
    <n v="0"/>
    <n v="6906"/>
    <n v="77"/>
    <n v="3"/>
    <n v="0"/>
    <n v="0"/>
    <n v="1.1149724876918621E-2"/>
  </r>
  <r>
    <x v="1122"/>
    <s v="b3S"/>
    <x v="5"/>
    <n v="2"/>
    <x v="0"/>
    <s v="SAO PAULO"/>
    <s v="SP"/>
    <n v="13634"/>
    <n v="5387"/>
    <n v="7601"/>
    <n v="1175"/>
    <n v="0"/>
    <n v="12460"/>
    <n v="604"/>
    <n v="0"/>
    <n v="0"/>
    <n v="0.39511515329323749"/>
    <n v="4.8475120385232745E-2"/>
  </r>
  <r>
    <x v="1123"/>
    <s v="n1"/>
    <x v="5"/>
    <n v="2"/>
    <x v="0"/>
    <s v="SAO PAULO"/>
    <s v="SP"/>
    <n v="13592"/>
    <n v="0"/>
    <n v="12579"/>
    <n v="8566"/>
    <n v="8492"/>
    <n v="5026"/>
    <n v="-158"/>
    <n v="2"/>
    <n v="0"/>
    <n v="0"/>
    <n v="-3.1436530043772386E-2"/>
  </r>
  <r>
    <x v="1124"/>
    <s v="n4"/>
    <x v="3"/>
    <n v="2"/>
    <x v="0"/>
    <s v="SAO PAULO"/>
    <s v="SP"/>
    <n v="13503"/>
    <n v="0"/>
    <n v="0"/>
    <n v="5159"/>
    <n v="392"/>
    <n v="8344"/>
    <n v="-1354"/>
    <n v="1"/>
    <n v="0"/>
    <n v="0"/>
    <n v="-0.16227229146692235"/>
  </r>
  <r>
    <x v="1125"/>
    <s v="n1"/>
    <x v="5"/>
    <n v="2"/>
    <x v="0"/>
    <s v="ARARAQUARA"/>
    <s v="SP"/>
    <n v="13447"/>
    <n v="4629"/>
    <n v="5236"/>
    <n v="2317"/>
    <n v="2084"/>
    <n v="11130"/>
    <n v="357"/>
    <n v="2"/>
    <n v="0"/>
    <n v="0.34424035100765971"/>
    <n v="3.2075471698113207E-2"/>
  </r>
  <r>
    <x v="1126"/>
    <s v="n4"/>
    <x v="3"/>
    <n v="2"/>
    <x v="0"/>
    <s v="SAO PAULO"/>
    <s v="SP"/>
    <n v="13378"/>
    <n v="0"/>
    <n v="9"/>
    <n v="7178"/>
    <n v="5149"/>
    <n v="6200"/>
    <n v="-4561"/>
    <n v="1"/>
    <n v="0"/>
    <n v="0"/>
    <n v="-0.73564516129032254"/>
  </r>
  <r>
    <x v="1127"/>
    <s v="b3S"/>
    <x v="5"/>
    <n v="2"/>
    <x v="0"/>
    <s v="BELEM"/>
    <s v="PA"/>
    <n v="13366"/>
    <n v="9007"/>
    <n v="1699"/>
    <n v="1579"/>
    <n v="0"/>
    <n v="11787"/>
    <n v="312"/>
    <n v="0"/>
    <n v="0"/>
    <n v="0.67387400867873715"/>
    <n v="2.6469839653855944E-2"/>
  </r>
  <r>
    <x v="1128"/>
    <s v="n1"/>
    <x v="5"/>
    <n v="2"/>
    <x v="0"/>
    <s v="SAO PAULO"/>
    <s v="SP"/>
    <n v="13358"/>
    <n v="527"/>
    <n v="0"/>
    <n v="7257"/>
    <n v="0"/>
    <n v="6101"/>
    <n v="126"/>
    <n v="2"/>
    <n v="0"/>
    <n v="3.9452013774517146E-2"/>
    <n v="2.0652352073430587E-2"/>
  </r>
  <r>
    <x v="1129"/>
    <s v="n1"/>
    <x v="5"/>
    <n v="2"/>
    <x v="0"/>
    <s v="SAO PAULO"/>
    <s v="SP"/>
    <n v="13349"/>
    <n v="677"/>
    <n v="93"/>
    <n v="4965"/>
    <n v="45"/>
    <n v="8385"/>
    <n v="4274"/>
    <n v="2"/>
    <n v="0"/>
    <n v="5.0715409393962095E-2"/>
    <n v="0.50971973762671441"/>
  </r>
  <r>
    <x v="1130"/>
    <s v="n4"/>
    <x v="3"/>
    <n v="2"/>
    <x v="0"/>
    <s v="DOURADOS"/>
    <s v="MS"/>
    <n v="13338"/>
    <n v="3871"/>
    <n v="5253"/>
    <n v="6561"/>
    <n v="0"/>
    <n v="6777"/>
    <n v="-21"/>
    <n v="1"/>
    <n v="0"/>
    <n v="0.29022342180236915"/>
    <n v="-3.0987162461266048E-3"/>
  </r>
  <r>
    <x v="1131"/>
    <s v="b3S"/>
    <x v="5"/>
    <n v="2"/>
    <x v="0"/>
    <s v="BETIM"/>
    <s v="MG"/>
    <n v="13282"/>
    <n v="4429"/>
    <n v="8844"/>
    <n v="828"/>
    <n v="0"/>
    <n v="12455"/>
    <n v="610"/>
    <n v="0"/>
    <n v="0"/>
    <n v="0.33345881644330672"/>
    <n v="4.8976314733038942E-2"/>
  </r>
  <r>
    <x v="1132"/>
    <s v="n1"/>
    <x v="5"/>
    <n v="2"/>
    <x v="0"/>
    <s v="MANAUS"/>
    <s v="AM"/>
    <n v="13123"/>
    <n v="0"/>
    <n v="3505"/>
    <n v="2127"/>
    <n v="0"/>
    <n v="10996"/>
    <n v="1224"/>
    <n v="2"/>
    <n v="0"/>
    <n v="0"/>
    <n v="0.11131320480174609"/>
  </r>
  <r>
    <x v="1133"/>
    <s v="n2"/>
    <x v="4"/>
    <n v="2"/>
    <x v="0"/>
    <s v="SAO PAULO"/>
    <s v="SP"/>
    <n v="13070"/>
    <n v="0"/>
    <n v="6953"/>
    <n v="8056"/>
    <n v="0"/>
    <n v="5014"/>
    <n v="-686"/>
    <n v="2"/>
    <n v="0"/>
    <n v="0"/>
    <n v="-0.13681691264459514"/>
  </r>
  <r>
    <x v="1134"/>
    <s v="b3S"/>
    <x v="5"/>
    <n v="2"/>
    <x v="0"/>
    <s v="TOLEDO"/>
    <s v="PR"/>
    <n v="13009"/>
    <n v="1068"/>
    <n v="1"/>
    <n v="11296"/>
    <n v="10785"/>
    <n v="1713"/>
    <n v="8"/>
    <n v="0"/>
    <n v="2"/>
    <n v="8.209700976247214E-2"/>
    <n v="4.6701692936368944E-3"/>
  </r>
  <r>
    <x v="1135"/>
    <s v="n1"/>
    <x v="5"/>
    <n v="2"/>
    <x v="0"/>
    <s v="SAO JOSE"/>
    <s v="SC"/>
    <n v="12970"/>
    <n v="3996"/>
    <n v="4001"/>
    <n v="249"/>
    <n v="235"/>
    <n v="12721"/>
    <n v="-32"/>
    <n v="2"/>
    <n v="0"/>
    <n v="0.30809560524286816"/>
    <n v="-2.5155255090008647E-3"/>
  </r>
  <r>
    <x v="1136"/>
    <s v="b3S"/>
    <x v="5"/>
    <n v="2"/>
    <x v="0"/>
    <s v="PINDAMONHANGABA"/>
    <s v="SP"/>
    <n v="12959"/>
    <n v="8855"/>
    <n v="4016"/>
    <n v="241"/>
    <n v="0"/>
    <n v="12719"/>
    <n v="767"/>
    <n v="0"/>
    <n v="0"/>
    <n v="0.68330889729145772"/>
    <n v="6.0303482978221558E-2"/>
  </r>
  <r>
    <x v="1137"/>
    <s v="n1"/>
    <x v="5"/>
    <n v="2"/>
    <x v="0"/>
    <s v="AMERICANA"/>
    <s v="SP"/>
    <n v="12548"/>
    <n v="89"/>
    <n v="3586"/>
    <n v="7503"/>
    <n v="7393"/>
    <n v="5045"/>
    <n v="-332"/>
    <n v="2"/>
    <n v="0"/>
    <n v="7.0927637870576987E-3"/>
    <n v="-6.5807730426164515E-2"/>
  </r>
  <r>
    <x v="1138"/>
    <s v="b3S"/>
    <x v="5"/>
    <n v="2"/>
    <x v="0"/>
    <s v="CAJAMAR"/>
    <s v="SP"/>
    <n v="12522"/>
    <n v="7628"/>
    <n v="4886"/>
    <n v="115"/>
    <n v="0"/>
    <n v="12406"/>
    <n v="921"/>
    <n v="0"/>
    <n v="0"/>
    <n v="0.60916786455837724"/>
    <n v="7.4238271803965819E-2"/>
  </r>
  <r>
    <x v="1139"/>
    <s v="n1"/>
    <x v="5"/>
    <n v="2"/>
    <x v="0"/>
    <s v="LEOPOLDINA"/>
    <s v="MG"/>
    <n v="12371"/>
    <n v="558"/>
    <n v="0"/>
    <n v="4310"/>
    <n v="0"/>
    <n v="8062"/>
    <n v="2935"/>
    <n v="2"/>
    <n v="0"/>
    <n v="4.510548864279363E-2"/>
    <n v="0.36405358471843213"/>
  </r>
  <r>
    <x v="1140"/>
    <s v="n2"/>
    <x v="4"/>
    <n v="3"/>
    <x v="2"/>
    <s v="FLORIANOPOLIS"/>
    <s v="SC"/>
    <n v="12342"/>
    <n v="0"/>
    <n v="0"/>
    <n v="1839"/>
    <n v="241"/>
    <n v="10503"/>
    <n v="-386"/>
    <n v="2"/>
    <n v="0"/>
    <n v="0"/>
    <n v="-3.6751404360658858E-2"/>
  </r>
  <r>
    <x v="1141"/>
    <s v="n2"/>
    <x v="4"/>
    <n v="2"/>
    <x v="0"/>
    <s v="SAO PAULO"/>
    <s v="SP"/>
    <n v="12087"/>
    <n v="0"/>
    <n v="8791"/>
    <n v="3850"/>
    <n v="923"/>
    <n v="8237"/>
    <n v="-1812"/>
    <n v="2"/>
    <n v="0"/>
    <n v="0"/>
    <n v="-0.21998300352069927"/>
  </r>
  <r>
    <x v="1142"/>
    <s v="n1"/>
    <x v="5"/>
    <n v="2"/>
    <x v="0"/>
    <s v="SAO CAETANO DO SUL"/>
    <s v="SP"/>
    <n v="12085"/>
    <n v="1117"/>
    <n v="8970"/>
    <n v="2397"/>
    <n v="0"/>
    <n v="9688"/>
    <n v="-635"/>
    <n v="2"/>
    <n v="0"/>
    <n v="9.2428630533719483E-2"/>
    <n v="-6.5545004128819154E-2"/>
  </r>
  <r>
    <x v="1143"/>
    <s v="b3S"/>
    <x v="5"/>
    <n v="2"/>
    <x v="0"/>
    <s v="SAO PAULO"/>
    <s v="SP"/>
    <n v="12062"/>
    <n v="6234"/>
    <n v="5308"/>
    <n v="118"/>
    <n v="0"/>
    <n v="11944"/>
    <n v="561"/>
    <n v="0"/>
    <n v="0"/>
    <n v="0.51682971314873161"/>
    <n v="4.6969189551239118E-2"/>
  </r>
  <r>
    <x v="1144"/>
    <s v="b3S"/>
    <x v="5"/>
    <n v="2"/>
    <x v="0"/>
    <s v="SAO PAULO"/>
    <s v="SP"/>
    <n v="11988"/>
    <n v="6249"/>
    <n v="5676"/>
    <n v="823"/>
    <n v="0"/>
    <n v="11166"/>
    <n v="617"/>
    <n v="0"/>
    <n v="0"/>
    <n v="0.52127127127127126"/>
    <n v="5.5257030270463907E-2"/>
  </r>
  <r>
    <x v="1145"/>
    <s v="n1"/>
    <x v="5"/>
    <n v="2"/>
    <x v="0"/>
    <s v="LINS"/>
    <s v="SP"/>
    <n v="11985"/>
    <n v="7686"/>
    <n v="4178"/>
    <n v="1055"/>
    <n v="0"/>
    <n v="10931"/>
    <n v="849"/>
    <n v="2"/>
    <n v="0"/>
    <n v="0.64130162703379223"/>
    <n v="7.7669014728753094E-2"/>
  </r>
  <r>
    <x v="1146"/>
    <s v="n2"/>
    <x v="5"/>
    <n v="2"/>
    <x v="0"/>
    <s v="RECIFE"/>
    <s v="PE"/>
    <n v="11970"/>
    <n v="0"/>
    <n v="1525"/>
    <n v="4863"/>
    <n v="0"/>
    <n v="7107"/>
    <n v="-530"/>
    <n v="13"/>
    <n v="0"/>
    <n v="0"/>
    <n v="-7.4574363303785002E-2"/>
  </r>
  <r>
    <x v="1147"/>
    <s v="b3S"/>
    <x v="5"/>
    <n v="2"/>
    <x v="0"/>
    <s v="SAO BERNARDO DO CAMPO"/>
    <s v="SP"/>
    <n v="11948"/>
    <n v="10617"/>
    <n v="1300"/>
    <n v="885"/>
    <n v="0"/>
    <n v="11063"/>
    <n v="524"/>
    <n v="0"/>
    <n v="0"/>
    <n v="0.88860060261131568"/>
    <n v="4.7365090843351713E-2"/>
  </r>
  <r>
    <x v="1148"/>
    <s v="n1"/>
    <x v="5"/>
    <n v="2"/>
    <x v="0"/>
    <s v="RECIFE"/>
    <s v="PE"/>
    <n v="11851"/>
    <n v="0"/>
    <n v="9304"/>
    <n v="1566"/>
    <n v="1395"/>
    <n v="10285"/>
    <n v="136"/>
    <n v="2"/>
    <n v="0"/>
    <n v="0"/>
    <n v="1.3223140495867768E-2"/>
  </r>
  <r>
    <x v="1149"/>
    <s v="b3S"/>
    <x v="5"/>
    <n v="2"/>
    <x v="0"/>
    <s v="BELO HORIZONTE"/>
    <s v="MG"/>
    <n v="11788"/>
    <n v="10356"/>
    <n v="269"/>
    <n v="1507"/>
    <n v="0"/>
    <n v="10281"/>
    <n v="-1302"/>
    <n v="0"/>
    <n v="0"/>
    <n v="0.87852052935188329"/>
    <n v="-0.12664137729792821"/>
  </r>
  <r>
    <x v="1150"/>
    <s v="b3S"/>
    <x v="5"/>
    <n v="2"/>
    <x v="0"/>
    <s v="VITORIA"/>
    <s v="ES"/>
    <n v="11776"/>
    <n v="8649"/>
    <n v="1216"/>
    <n v="4862"/>
    <n v="3335"/>
    <n v="6914"/>
    <n v="67"/>
    <n v="0"/>
    <n v="0"/>
    <n v="0.73445991847826086"/>
    <n v="9.6904830778131324E-3"/>
  </r>
  <r>
    <x v="1151"/>
    <s v="b3S"/>
    <x v="5"/>
    <n v="2"/>
    <x v="0"/>
    <s v="RIO DE JANEIRO"/>
    <s v="RJ"/>
    <n v="11718"/>
    <n v="7200"/>
    <n v="2683"/>
    <n v="4302"/>
    <n v="2683"/>
    <n v="7416"/>
    <n v="-56"/>
    <n v="0"/>
    <n v="2"/>
    <n v="0.61443932411674351"/>
    <n v="-7.551240560949299E-3"/>
  </r>
  <r>
    <x v="1152"/>
    <s v="n4"/>
    <x v="3"/>
    <n v="2"/>
    <x v="0"/>
    <s v="CURITIBA"/>
    <s v="PR"/>
    <n v="11642"/>
    <n v="0"/>
    <n v="1472"/>
    <n v="3756"/>
    <n v="1351"/>
    <n v="7886"/>
    <n v="2399"/>
    <n v="1"/>
    <n v="0"/>
    <n v="0"/>
    <n v="0.30420999239158003"/>
  </r>
  <r>
    <x v="1153"/>
    <s v="n1"/>
    <x v="5"/>
    <n v="3"/>
    <x v="2"/>
    <s v="RIO DE JANEIRO"/>
    <s v="RJ"/>
    <n v="11539"/>
    <n v="2495"/>
    <n v="483"/>
    <n v="2794"/>
    <n v="572"/>
    <n v="8745"/>
    <n v="1090"/>
    <n v="2"/>
    <n v="0"/>
    <n v="0.21622324291533063"/>
    <n v="0.12464265294453973"/>
  </r>
  <r>
    <x v="1154"/>
    <s v="b3S"/>
    <x v="5"/>
    <n v="2"/>
    <x v="0"/>
    <s v="JOAO PESSOA"/>
    <s v="PB"/>
    <n v="11501"/>
    <n v="9574"/>
    <n v="1187"/>
    <n v="4397"/>
    <n v="4098"/>
    <n v="7103"/>
    <n v="81"/>
    <n v="0"/>
    <n v="1"/>
    <n v="0.83244935223024086"/>
    <n v="1.1403632268055752E-2"/>
  </r>
  <r>
    <x v="1155"/>
    <s v="n2"/>
    <x v="4"/>
    <n v="2"/>
    <x v="0"/>
    <s v="BELO HORIZONTE"/>
    <s v="MG"/>
    <n v="11443"/>
    <n v="0"/>
    <n v="1466"/>
    <n v="2480"/>
    <n v="939"/>
    <n v="8963"/>
    <n v="-273"/>
    <n v="2"/>
    <n v="0"/>
    <n v="0"/>
    <n v="-3.0458551824166017E-2"/>
  </r>
  <r>
    <x v="1156"/>
    <s v="n1"/>
    <x v="5"/>
    <n v="2"/>
    <x v="0"/>
    <s v="SALVADOR"/>
    <s v="BA"/>
    <n v="11427"/>
    <n v="5439"/>
    <n v="5322"/>
    <n v="434"/>
    <n v="345"/>
    <n v="10993"/>
    <n v="32"/>
    <n v="2"/>
    <n v="0"/>
    <n v="0.47597794696770807"/>
    <n v="2.9109433275720915E-3"/>
  </r>
  <r>
    <x v="1157"/>
    <s v="n4"/>
    <x v="3"/>
    <n v="2"/>
    <x v="0"/>
    <s v="PORTO VELHO"/>
    <s v="RO"/>
    <n v="11331"/>
    <n v="0"/>
    <n v="0"/>
    <n v="4708"/>
    <n v="4067"/>
    <n v="6622"/>
    <n v="-1562"/>
    <n v="1"/>
    <n v="0"/>
    <n v="0"/>
    <n v="-0.23588039867109634"/>
  </r>
  <r>
    <x v="1158"/>
    <s v="n1"/>
    <x v="5"/>
    <n v="2"/>
    <x v="0"/>
    <s v="PORTO ALEGRE"/>
    <s v="RS"/>
    <n v="11329"/>
    <n v="1216"/>
    <n v="4669"/>
    <n v="186"/>
    <n v="0"/>
    <n v="11143"/>
    <n v="-621"/>
    <n v="2"/>
    <n v="0"/>
    <n v="0.10733515756024362"/>
    <n v="-5.5730054742887912E-2"/>
  </r>
  <r>
    <x v="1159"/>
    <s v="n1"/>
    <x v="5"/>
    <n v="2"/>
    <x v="0"/>
    <s v="SALVADOR"/>
    <s v="BA"/>
    <n v="11215"/>
    <n v="6230"/>
    <n v="4116"/>
    <n v="717"/>
    <n v="0"/>
    <n v="10498"/>
    <n v="1004"/>
    <n v="2"/>
    <n v="0"/>
    <n v="0.555506018724922"/>
    <n v="9.5637264240807776E-2"/>
  </r>
  <r>
    <x v="1160"/>
    <s v="n2"/>
    <x v="4"/>
    <n v="2"/>
    <x v="0"/>
    <s v="SAO PAULO"/>
    <s v="SP"/>
    <n v="11175"/>
    <n v="0"/>
    <n v="5875"/>
    <n v="1130"/>
    <n v="0"/>
    <n v="10045"/>
    <n v="1082"/>
    <n v="2"/>
    <n v="0"/>
    <n v="0"/>
    <n v="0.107715281234445"/>
  </r>
  <r>
    <x v="1161"/>
    <s v="b3S"/>
    <x v="5"/>
    <n v="2"/>
    <x v="0"/>
    <s v="CACAPAVA"/>
    <s v="SP"/>
    <n v="11075"/>
    <n v="6828"/>
    <n v="3774"/>
    <n v="274"/>
    <n v="0"/>
    <n v="10801"/>
    <n v="664"/>
    <n v="0"/>
    <n v="0"/>
    <n v="0.61652370203160267"/>
    <n v="6.1475789278770482E-2"/>
  </r>
  <r>
    <x v="1162"/>
    <s v="b3S"/>
    <x v="5"/>
    <n v="2"/>
    <x v="0"/>
    <s v="JUNDIAI"/>
    <s v="SP"/>
    <n v="11046"/>
    <n v="44"/>
    <n v="16"/>
    <n v="2315"/>
    <n v="0"/>
    <n v="8731"/>
    <n v="-310"/>
    <n v="0"/>
    <n v="0"/>
    <n v="3.9833423863842119E-3"/>
    <n v="-3.5505669453670827E-2"/>
  </r>
  <r>
    <x v="1163"/>
    <s v="n1"/>
    <x v="5"/>
    <n v="2"/>
    <x v="0"/>
    <s v="FORTALEZA"/>
    <s v="CE"/>
    <n v="10985"/>
    <n v="9076"/>
    <n v="0"/>
    <n v="6826"/>
    <n v="0"/>
    <n v="4158"/>
    <n v="836"/>
    <n v="2"/>
    <n v="0"/>
    <n v="0.82621756941283564"/>
    <n v="0.20105820105820105"/>
  </r>
  <r>
    <x v="1164"/>
    <s v="n1"/>
    <x v="5"/>
    <n v="2"/>
    <x v="0"/>
    <s v="LAGOA DA PRATA"/>
    <s v="MG"/>
    <n v="10941"/>
    <n v="3527"/>
    <n v="3981"/>
    <n v="4837"/>
    <n v="1058"/>
    <n v="6104"/>
    <n v="21"/>
    <n v="2"/>
    <n v="0"/>
    <n v="0.32236541449593276"/>
    <n v="3.4403669724770644E-3"/>
  </r>
  <r>
    <x v="1165"/>
    <s v="b3S"/>
    <x v="5"/>
    <n v="2"/>
    <x v="0"/>
    <s v="IGARAPAVA"/>
    <s v="SP"/>
    <n v="10893"/>
    <n v="6681"/>
    <n v="0"/>
    <n v="1603"/>
    <n v="0"/>
    <n v="9290"/>
    <n v="199"/>
    <n v="0"/>
    <n v="0"/>
    <n v="0.61332966125034427"/>
    <n v="2.1420882669537136E-2"/>
  </r>
  <r>
    <x v="1166"/>
    <s v="n2"/>
    <x v="4"/>
    <n v="2"/>
    <x v="0"/>
    <s v="SAO PAULO"/>
    <s v="SP"/>
    <n v="10748"/>
    <n v="0"/>
    <n v="6686"/>
    <n v="1216"/>
    <n v="0"/>
    <n v="9532"/>
    <n v="-1049"/>
    <n v="2"/>
    <n v="0"/>
    <n v="0"/>
    <n v="-0.11005035669324381"/>
  </r>
  <r>
    <x v="1167"/>
    <s v="n1"/>
    <x v="5"/>
    <n v="2"/>
    <x v="0"/>
    <s v="TERESINA"/>
    <s v="PI"/>
    <n v="10684"/>
    <n v="841"/>
    <n v="9597"/>
    <n v="182"/>
    <n v="0"/>
    <n v="10501"/>
    <n v="219"/>
    <n v="2"/>
    <n v="0"/>
    <n v="7.8715836765256453E-2"/>
    <n v="2.0855156651747454E-2"/>
  </r>
  <r>
    <x v="1168"/>
    <s v="n1"/>
    <x v="5"/>
    <n v="2"/>
    <x v="0"/>
    <s v="IBIA"/>
    <s v="MG"/>
    <n v="10488"/>
    <n v="6763"/>
    <n v="2931"/>
    <n v="2326"/>
    <n v="0"/>
    <n v="8162"/>
    <n v="550"/>
    <n v="2"/>
    <n v="0"/>
    <n v="0.64483218916857366"/>
    <n v="6.7385444743935305E-2"/>
  </r>
  <r>
    <x v="1169"/>
    <s v="n1"/>
    <x v="5"/>
    <n v="2"/>
    <x v="0"/>
    <s v="RIO DE JANEIRO"/>
    <s v="RJ"/>
    <n v="10404"/>
    <n v="9160"/>
    <n v="210"/>
    <n v="170"/>
    <n v="0"/>
    <n v="10234"/>
    <n v="20"/>
    <n v="2"/>
    <n v="0"/>
    <n v="0.88043060361399461"/>
    <n v="1.9542700801250734E-3"/>
  </r>
  <r>
    <x v="1170"/>
    <s v="b3S"/>
    <x v="5"/>
    <n v="2"/>
    <x v="0"/>
    <s v="SAPIRANGA"/>
    <s v="RS"/>
    <n v="10324"/>
    <n v="6603"/>
    <n v="110"/>
    <n v="4288"/>
    <n v="3278"/>
    <n v="6036"/>
    <n v="100"/>
    <n v="0"/>
    <n v="0"/>
    <n v="0.6395776830685781"/>
    <n v="1.656726308813784E-2"/>
  </r>
  <r>
    <x v="1171"/>
    <s v="b3S"/>
    <x v="5"/>
    <n v="2"/>
    <x v="0"/>
    <s v="MOGI DAS CRUZES"/>
    <s v="SP"/>
    <n v="10035"/>
    <n v="6012"/>
    <n v="3780"/>
    <n v="652"/>
    <n v="0"/>
    <n v="9383"/>
    <n v="433"/>
    <n v="0"/>
    <n v="0"/>
    <n v="0.59910313901345291"/>
    <n v="4.6147287647873812E-2"/>
  </r>
  <r>
    <x v="1172"/>
    <s v="b3S"/>
    <x v="5"/>
    <n v="2"/>
    <x v="0"/>
    <s v="BELO HORIZONTE"/>
    <s v="MG"/>
    <n v="9956"/>
    <n v="3761"/>
    <n v="5844"/>
    <n v="660"/>
    <n v="0"/>
    <n v="9296"/>
    <n v="71"/>
    <n v="0"/>
    <n v="0"/>
    <n v="0.3777621534752913"/>
    <n v="7.6376936316695353E-3"/>
  </r>
  <r>
    <x v="1173"/>
    <s v="n1"/>
    <x v="5"/>
    <n v="2"/>
    <x v="0"/>
    <s v="SAO PAULO"/>
    <s v="SP"/>
    <n v="9918"/>
    <n v="25"/>
    <n v="6487"/>
    <n v="4559"/>
    <n v="879"/>
    <n v="5359"/>
    <n v="-714"/>
    <n v="2"/>
    <n v="0"/>
    <n v="2.5206694898164952E-3"/>
    <n v="-0.13323381227841016"/>
  </r>
  <r>
    <x v="1174"/>
    <s v="n1"/>
    <x v="5"/>
    <n v="2"/>
    <x v="0"/>
    <s v="RIO DE JANEIRO"/>
    <s v="RJ"/>
    <n v="9701"/>
    <n v="707"/>
    <n v="7925"/>
    <n v="78"/>
    <n v="0"/>
    <n v="9623"/>
    <n v="-1163"/>
    <n v="2"/>
    <n v="0"/>
    <n v="7.2879084630450466E-2"/>
    <n v="-0.12085628182479476"/>
  </r>
  <r>
    <x v="1175"/>
    <s v="b3S"/>
    <x v="5"/>
    <n v="2"/>
    <x v="0"/>
    <s v="JABOTICABAL"/>
    <s v="SP"/>
    <n v="9685"/>
    <n v="9281"/>
    <n v="78"/>
    <n v="606"/>
    <n v="0"/>
    <n v="9079"/>
    <n v="210"/>
    <n v="0"/>
    <n v="0"/>
    <n v="0.95828600929272068"/>
    <n v="2.313030069390902E-2"/>
  </r>
  <r>
    <x v="1176"/>
    <s v="b3S"/>
    <x v="5"/>
    <n v="2"/>
    <x v="0"/>
    <s v="BRASILIA"/>
    <s v="DF"/>
    <n v="9521"/>
    <n v="7948"/>
    <n v="112"/>
    <n v="4008"/>
    <n v="3576"/>
    <n v="5513"/>
    <n v="17"/>
    <n v="0"/>
    <n v="0"/>
    <n v="0.83478626194727445"/>
    <n v="3.0836205332849627E-3"/>
  </r>
  <r>
    <x v="1177"/>
    <s v="n1"/>
    <x v="5"/>
    <n v="2"/>
    <x v="0"/>
    <s v="BELEM"/>
    <s v="PA"/>
    <n v="9491"/>
    <n v="3307"/>
    <n v="0"/>
    <n v="97"/>
    <n v="9"/>
    <n v="9394"/>
    <n v="-87"/>
    <n v="2"/>
    <n v="0"/>
    <n v="0.34843535981456114"/>
    <n v="-9.2612305727059821E-3"/>
  </r>
  <r>
    <x v="1178"/>
    <s v="n4"/>
    <x v="3"/>
    <n v="2"/>
    <x v="0"/>
    <s v="FLORIANOPOLIS"/>
    <s v="SC"/>
    <n v="9444"/>
    <n v="0"/>
    <n v="6077"/>
    <n v="2925"/>
    <n v="0"/>
    <n v="6518"/>
    <n v="-4894"/>
    <n v="1"/>
    <n v="0"/>
    <n v="0"/>
    <n v="-0.75084381712181647"/>
  </r>
  <r>
    <x v="1179"/>
    <s v="n1"/>
    <x v="5"/>
    <n v="3"/>
    <x v="2"/>
    <s v="SAO PAULO"/>
    <s v="SP"/>
    <n v="9418"/>
    <n v="2"/>
    <n v="9178"/>
    <n v="353"/>
    <n v="201"/>
    <n v="9065"/>
    <n v="239"/>
    <n v="2"/>
    <n v="0"/>
    <n v="2.1235931195582927E-4"/>
    <n v="2.6365140650854938E-2"/>
  </r>
  <r>
    <x v="1180"/>
    <s v="b3S"/>
    <x v="5"/>
    <n v="2"/>
    <x v="0"/>
    <s v="CONGONHAS"/>
    <s v="MG"/>
    <n v="9234"/>
    <n v="6207"/>
    <n v="2132"/>
    <n v="868"/>
    <n v="0"/>
    <n v="8367"/>
    <n v="202"/>
    <n v="0"/>
    <n v="0"/>
    <n v="0.67218973359324241"/>
    <n v="2.4142464443647663E-2"/>
  </r>
  <r>
    <x v="1181"/>
    <s v="b3S"/>
    <x v="5"/>
    <n v="2"/>
    <x v="0"/>
    <s v="RIO DE JANEIRO"/>
    <s v="RJ"/>
    <n v="9217"/>
    <n v="905"/>
    <n v="0"/>
    <n v="222"/>
    <n v="89"/>
    <n v="8995"/>
    <n v="41"/>
    <n v="0"/>
    <n v="1"/>
    <n v="9.8188130628187043E-2"/>
    <n v="4.5580878265703171E-3"/>
  </r>
  <r>
    <x v="1182"/>
    <s v="n2"/>
    <x v="4"/>
    <n v="2"/>
    <x v="0"/>
    <s v="SAO PAULO"/>
    <s v="SP"/>
    <n v="9210"/>
    <n v="0"/>
    <n v="8589"/>
    <n v="638"/>
    <n v="0"/>
    <n v="8572"/>
    <n v="-7174"/>
    <n v="2"/>
    <n v="0"/>
    <n v="0"/>
    <n v="-0.83691087260849273"/>
  </r>
  <r>
    <x v="1183"/>
    <s v="b3S"/>
    <x v="5"/>
    <n v="2"/>
    <x v="0"/>
    <s v="SAO PAULO"/>
    <s v="SP"/>
    <n v="9160"/>
    <n v="3302"/>
    <n v="5793"/>
    <n v="350"/>
    <n v="0"/>
    <n v="8810"/>
    <n v="184"/>
    <n v="0"/>
    <n v="0"/>
    <n v="0.36048034934497819"/>
    <n v="2.0885357548240637E-2"/>
  </r>
  <r>
    <x v="1184"/>
    <s v="b3S"/>
    <x v="5"/>
    <n v="2"/>
    <x v="0"/>
    <s v="ORLANDIA"/>
    <s v="SP"/>
    <n v="9142"/>
    <n v="8109"/>
    <n v="456"/>
    <n v="217"/>
    <n v="0"/>
    <n v="8925"/>
    <n v="575"/>
    <n v="0"/>
    <n v="0"/>
    <n v="0.88700503172172396"/>
    <n v="6.4425770308123242E-2"/>
  </r>
  <r>
    <x v="1185"/>
    <s v="n4"/>
    <x v="3"/>
    <n v="2"/>
    <x v="0"/>
    <s v="LAGES"/>
    <s v="SC"/>
    <n v="9121"/>
    <n v="0"/>
    <n v="9111"/>
    <n v="21"/>
    <n v="1"/>
    <n v="9100"/>
    <n v="211"/>
    <n v="1"/>
    <n v="0"/>
    <n v="0"/>
    <n v="2.3186813186813187E-2"/>
  </r>
  <r>
    <x v="1186"/>
    <s v="n2"/>
    <x v="4"/>
    <n v="2"/>
    <x v="0"/>
    <s v="PORTO ALEGRE"/>
    <s v="RS"/>
    <n v="9060"/>
    <n v="0"/>
    <n v="7979"/>
    <n v="1618"/>
    <n v="0"/>
    <n v="7442"/>
    <n v="83"/>
    <n v="1"/>
    <n v="0"/>
    <n v="0"/>
    <n v="1.1152915882827198E-2"/>
  </r>
  <r>
    <x v="1187"/>
    <s v="b3S"/>
    <x v="5"/>
    <n v="2"/>
    <x v="0"/>
    <s v="VITORIA"/>
    <s v="ES"/>
    <n v="9031"/>
    <n v="1409"/>
    <n v="7312"/>
    <n v="1187"/>
    <n v="0"/>
    <n v="7844"/>
    <n v="117"/>
    <n v="0"/>
    <n v="1"/>
    <n v="0.15601815967224006"/>
    <n v="1.4915859255481898E-2"/>
  </r>
  <r>
    <x v="1188"/>
    <s v="n4"/>
    <x v="3"/>
    <n v="2"/>
    <x v="0"/>
    <s v="RIO DE JANEIRO"/>
    <s v="RJ"/>
    <n v="8963"/>
    <n v="0"/>
    <n v="1024"/>
    <n v="3667"/>
    <n v="2982"/>
    <n v="5296"/>
    <n v="-187"/>
    <n v="1"/>
    <n v="0"/>
    <n v="0"/>
    <n v="-3.530966767371601E-2"/>
  </r>
  <r>
    <x v="1189"/>
    <s v="b3S"/>
    <x v="5"/>
    <n v="2"/>
    <x v="0"/>
    <s v="ILHA SOLTEIRA"/>
    <s v="SP"/>
    <n v="8818"/>
    <n v="6421"/>
    <n v="2387"/>
    <n v="171"/>
    <n v="0"/>
    <n v="8647"/>
    <n v="413"/>
    <n v="0"/>
    <n v="0"/>
    <n v="0.72816965298253578"/>
    <n v="4.7762229675031805E-2"/>
  </r>
  <r>
    <x v="1190"/>
    <s v="b3S"/>
    <x v="5"/>
    <n v="2"/>
    <x v="0"/>
    <s v="CAJATI"/>
    <s v="SP"/>
    <n v="8796"/>
    <n v="4653"/>
    <n v="3862"/>
    <n v="525"/>
    <n v="0"/>
    <n v="8271"/>
    <n v="-86"/>
    <n v="0"/>
    <n v="0"/>
    <n v="0.52899045020463842"/>
    <n v="-1.0397775359690485E-2"/>
  </r>
  <r>
    <x v="1191"/>
    <s v="b3S"/>
    <x v="5"/>
    <n v="2"/>
    <x v="0"/>
    <s v="SAO PAULO"/>
    <s v="SP"/>
    <n v="8696"/>
    <n v="2318"/>
    <n v="5733"/>
    <n v="359"/>
    <n v="0"/>
    <n v="8337"/>
    <n v="240"/>
    <n v="0"/>
    <n v="0"/>
    <n v="0.26655933762649492"/>
    <n v="2.8787333573227779E-2"/>
  </r>
  <r>
    <x v="1192"/>
    <s v="n4"/>
    <x v="3"/>
    <n v="3"/>
    <x v="2"/>
    <s v="SAO PAULO"/>
    <s v="SP"/>
    <n v="8679"/>
    <n v="0"/>
    <n v="8242"/>
    <n v="153"/>
    <n v="0"/>
    <n v="8526"/>
    <n v="331"/>
    <n v="1"/>
    <n v="0"/>
    <n v="0"/>
    <n v="3.8822425521932914E-2"/>
  </r>
  <r>
    <x v="1193"/>
    <s v="b3S"/>
    <x v="5"/>
    <n v="2"/>
    <x v="0"/>
    <s v="MAUA"/>
    <s v="SP"/>
    <n v="8603"/>
    <n v="4592"/>
    <n v="3672"/>
    <n v="573"/>
    <n v="0"/>
    <n v="8031"/>
    <n v="408"/>
    <n v="0"/>
    <n v="0"/>
    <n v="0.5337672904800651"/>
    <n v="5.0803137840866638E-2"/>
  </r>
  <r>
    <x v="1194"/>
    <s v="b3S"/>
    <x v="5"/>
    <n v="2"/>
    <x v="0"/>
    <s v="SAO PAULO"/>
    <s v="SP"/>
    <n v="8487"/>
    <n v="6203"/>
    <n v="2228"/>
    <n v="159"/>
    <n v="0"/>
    <n v="8329"/>
    <n v="347"/>
    <n v="0"/>
    <n v="0"/>
    <n v="0.73088252621656646"/>
    <n v="4.1661664065313964E-2"/>
  </r>
  <r>
    <x v="1195"/>
    <s v="n2"/>
    <x v="5"/>
    <n v="2"/>
    <x v="0"/>
    <s v="SAO PAULO"/>
    <s v="SP"/>
    <n v="8455"/>
    <n v="0"/>
    <n v="531"/>
    <n v="1537"/>
    <n v="0"/>
    <n v="6918"/>
    <n v="-658"/>
    <n v="2"/>
    <n v="0"/>
    <n v="0"/>
    <n v="-9.5114194854004047E-2"/>
  </r>
  <r>
    <x v="1196"/>
    <s v="n1"/>
    <x v="5"/>
    <n v="2"/>
    <x v="0"/>
    <s v="GUARULHOS"/>
    <s v="SP"/>
    <n v="8426"/>
    <n v="3350"/>
    <n v="5067"/>
    <n v="36"/>
    <n v="0"/>
    <n v="8390"/>
    <n v="144"/>
    <n v="2"/>
    <n v="0"/>
    <n v="0.39757892238309994"/>
    <n v="1.7163289630512515E-2"/>
  </r>
  <r>
    <x v="1197"/>
    <s v="n2"/>
    <x v="5"/>
    <n v="2"/>
    <x v="0"/>
    <s v="RIO DE JANEIRO"/>
    <s v="RJ"/>
    <n v="8224"/>
    <n v="0"/>
    <n v="7189"/>
    <n v="3362"/>
    <n v="0"/>
    <n v="4862"/>
    <n v="3365"/>
    <n v="3"/>
    <n v="0"/>
    <n v="0"/>
    <n v="0.69210201563142737"/>
  </r>
  <r>
    <x v="1198"/>
    <s v="n1"/>
    <x v="5"/>
    <n v="2"/>
    <x v="0"/>
    <s v="BLUMENAU"/>
    <s v="SC"/>
    <n v="8222"/>
    <n v="5975"/>
    <n v="1895"/>
    <n v="1734"/>
    <n v="0"/>
    <n v="6488"/>
    <n v="-345"/>
    <n v="2"/>
    <n v="0"/>
    <n v="0.72670882996837749"/>
    <n v="-5.3175092478421698E-2"/>
  </r>
  <r>
    <x v="1199"/>
    <s v="n4"/>
    <x v="3"/>
    <n v="3"/>
    <x v="2"/>
    <s v="SAO PAULO"/>
    <s v="SP"/>
    <n v="8193"/>
    <n v="0"/>
    <n v="3532"/>
    <n v="3978"/>
    <n v="3745"/>
    <n v="4215"/>
    <n v="-1457"/>
    <n v="1"/>
    <n v="0"/>
    <n v="0"/>
    <n v="-0.34567022538552789"/>
  </r>
  <r>
    <x v="1200"/>
    <s v="b3S"/>
    <x v="5"/>
    <n v="2"/>
    <x v="0"/>
    <s v="JOAO PESSOA"/>
    <s v="PB"/>
    <n v="8183"/>
    <n v="4013"/>
    <n v="3718"/>
    <n v="3138"/>
    <n v="2787"/>
    <n v="5045"/>
    <n v="238"/>
    <n v="0"/>
    <n v="0"/>
    <n v="0.4904069412196016"/>
    <n v="4.717542120911794E-2"/>
  </r>
  <r>
    <x v="1201"/>
    <s v="b3S"/>
    <x v="5"/>
    <n v="2"/>
    <x v="0"/>
    <s v="SAO PAULO"/>
    <s v="SP"/>
    <n v="8170"/>
    <n v="5121"/>
    <n v="2470"/>
    <n v="354"/>
    <n v="0"/>
    <n v="7816"/>
    <n v="223"/>
    <n v="0"/>
    <n v="0"/>
    <n v="0.62680538555691556"/>
    <n v="2.853121801432958E-2"/>
  </r>
  <r>
    <x v="1202"/>
    <s v="n1"/>
    <x v="5"/>
    <n v="2"/>
    <x v="0"/>
    <s v="CAXIAS DO SUL"/>
    <s v="RS"/>
    <n v="8047"/>
    <n v="0"/>
    <n v="4578"/>
    <n v="2665"/>
    <n v="2224"/>
    <n v="5382"/>
    <n v="125"/>
    <n v="2"/>
    <n v="0"/>
    <n v="0"/>
    <n v="2.3225566703827572E-2"/>
  </r>
  <r>
    <x v="1203"/>
    <s v="b3S"/>
    <x v="5"/>
    <n v="2"/>
    <x v="0"/>
    <s v="GRAVATAI"/>
    <s v="RS"/>
    <n v="7990"/>
    <n v="6628"/>
    <n v="0"/>
    <n v="293"/>
    <n v="0"/>
    <n v="7697"/>
    <n v="323"/>
    <n v="0"/>
    <n v="0"/>
    <n v="0.82953692115143929"/>
    <n v="4.1964401714953879E-2"/>
  </r>
  <r>
    <x v="1204"/>
    <s v="n1"/>
    <x v="5"/>
    <n v="2"/>
    <x v="0"/>
    <s v="SAO PAULO"/>
    <s v="SP"/>
    <n v="7880"/>
    <n v="0"/>
    <n v="5506"/>
    <n v="2715"/>
    <n v="2283"/>
    <n v="5165"/>
    <n v="121"/>
    <n v="2"/>
    <n v="0"/>
    <n v="0"/>
    <n v="2.3426911907066795E-2"/>
  </r>
  <r>
    <x v="1205"/>
    <s v="n2"/>
    <x v="4"/>
    <n v="2"/>
    <x v="0"/>
    <s v="SAO PAULO"/>
    <s v="SP"/>
    <n v="7844"/>
    <n v="0"/>
    <n v="6598"/>
    <n v="3704"/>
    <n v="0"/>
    <n v="4140"/>
    <n v="-75"/>
    <n v="2"/>
    <n v="0"/>
    <n v="0"/>
    <n v="-1.8115942028985508E-2"/>
  </r>
  <r>
    <x v="1206"/>
    <s v="n2"/>
    <x v="4"/>
    <n v="3"/>
    <x v="2"/>
    <s v="RIO DE JANEIRO"/>
    <s v="RJ"/>
    <n v="7667"/>
    <n v="0"/>
    <n v="5686"/>
    <n v="5382"/>
    <n v="0"/>
    <n v="2285"/>
    <n v="-559"/>
    <n v="2"/>
    <n v="0"/>
    <n v="0"/>
    <n v="-0.24463894967177244"/>
  </r>
  <r>
    <x v="1207"/>
    <s v="n2"/>
    <x v="4"/>
    <n v="2"/>
    <x v="0"/>
    <s v="RIO DE JANEIRO"/>
    <s v="RJ"/>
    <n v="7644"/>
    <n v="0"/>
    <n v="6020"/>
    <n v="11239"/>
    <n v="0"/>
    <n v="-3595"/>
    <n v="-2745"/>
    <n v="2"/>
    <n v="0"/>
    <n v="0"/>
    <n v="0.76356050069541026"/>
  </r>
  <r>
    <x v="1208"/>
    <s v="b3S"/>
    <x v="5"/>
    <n v="2"/>
    <x v="0"/>
    <s v="SANTA GERTRUDES"/>
    <s v="SP"/>
    <n v="7509"/>
    <n v="3543"/>
    <n v="3690"/>
    <n v="1336"/>
    <n v="927"/>
    <n v="6173"/>
    <n v="432"/>
    <n v="0"/>
    <n v="0"/>
    <n v="0.47183379944067122"/>
    <n v="6.9982180463307953E-2"/>
  </r>
  <r>
    <x v="1209"/>
    <s v="n2"/>
    <x v="5"/>
    <n v="2"/>
    <x v="0"/>
    <s v="NOVO HAMBURGO"/>
    <s v="RS"/>
    <n v="7420"/>
    <n v="0"/>
    <n v="30"/>
    <n v="3198"/>
    <n v="0"/>
    <n v="4222"/>
    <n v="380"/>
    <n v="3"/>
    <n v="0"/>
    <n v="0"/>
    <n v="9.0004737091425868E-2"/>
  </r>
  <r>
    <x v="1210"/>
    <s v="n2"/>
    <x v="4"/>
    <n v="2"/>
    <x v="0"/>
    <s v="RIO DE JANEIRO"/>
    <s v="RJ"/>
    <n v="7358"/>
    <n v="0"/>
    <n v="119"/>
    <n v="5156"/>
    <n v="0"/>
    <n v="2202"/>
    <n v="-83"/>
    <n v="2"/>
    <n v="0"/>
    <n v="0"/>
    <n v="-3.7693006357856496E-2"/>
  </r>
  <r>
    <x v="1211"/>
    <s v="n1"/>
    <x v="5"/>
    <n v="2"/>
    <x v="0"/>
    <s v="SANTA MARIA"/>
    <s v="RS"/>
    <n v="7334"/>
    <n v="460"/>
    <n v="362"/>
    <n v="2296"/>
    <n v="0"/>
    <n v="5039"/>
    <n v="18"/>
    <n v="2"/>
    <n v="0"/>
    <n v="6.2721570766293977E-2"/>
    <n v="3.5721373288350863E-3"/>
  </r>
  <r>
    <x v="1212"/>
    <s v="n1"/>
    <x v="5"/>
    <n v="2"/>
    <x v="0"/>
    <s v="PASSOS"/>
    <s v="MG"/>
    <n v="7287"/>
    <n v="0"/>
    <n v="1702"/>
    <n v="5748"/>
    <n v="0"/>
    <n v="1538"/>
    <n v="41"/>
    <n v="2"/>
    <n v="0"/>
    <n v="0"/>
    <n v="2.6657997399219768E-2"/>
  </r>
  <r>
    <x v="1213"/>
    <s v="b3S"/>
    <x v="5"/>
    <n v="2"/>
    <x v="0"/>
    <s v="UBERABA"/>
    <s v="MG"/>
    <n v="7203"/>
    <n v="2951"/>
    <n v="3522"/>
    <n v="331"/>
    <n v="0"/>
    <n v="6872"/>
    <n v="335"/>
    <n v="0"/>
    <n v="0"/>
    <n v="0.40969040677495489"/>
    <n v="4.8748544819557628E-2"/>
  </r>
  <r>
    <x v="1214"/>
    <s v="b3S"/>
    <x v="5"/>
    <n v="2"/>
    <x v="0"/>
    <s v="VALINHOS"/>
    <s v="SP"/>
    <n v="7181"/>
    <n v="3915"/>
    <n v="2900"/>
    <n v="404"/>
    <n v="0"/>
    <n v="6777"/>
    <n v="-53"/>
    <n v="0"/>
    <n v="1"/>
    <n v="0.54518869238267653"/>
    <n v="-7.820569573557621E-3"/>
  </r>
  <r>
    <x v="1215"/>
    <s v="n1"/>
    <x v="5"/>
    <n v="2"/>
    <x v="0"/>
    <s v="BELO HORIZONTE"/>
    <s v="MG"/>
    <n v="7176"/>
    <n v="5185"/>
    <n v="10"/>
    <n v="150"/>
    <n v="0"/>
    <n v="7025"/>
    <n v="356"/>
    <n v="2"/>
    <n v="0"/>
    <n v="0.72254738015607578"/>
    <n v="5.0676156583629894E-2"/>
  </r>
  <r>
    <x v="1216"/>
    <s v="n2"/>
    <x v="4"/>
    <n v="2"/>
    <x v="0"/>
    <s v="RIO DE JANEIRO"/>
    <s v="RJ"/>
    <n v="7056"/>
    <n v="0"/>
    <n v="2042"/>
    <n v="3872"/>
    <n v="0"/>
    <n v="3185"/>
    <n v="211"/>
    <n v="2"/>
    <n v="0"/>
    <n v="0"/>
    <n v="6.6248037676609112E-2"/>
  </r>
  <r>
    <x v="1217"/>
    <s v="b3S"/>
    <x v="5"/>
    <n v="2"/>
    <x v="0"/>
    <s v="SAO GONCALO"/>
    <s v="RJ"/>
    <n v="6929"/>
    <n v="1965"/>
    <n v="2930"/>
    <n v="575"/>
    <n v="0"/>
    <n v="6354"/>
    <n v="-37"/>
    <n v="0"/>
    <n v="1"/>
    <n v="0.28359070572954248"/>
    <n v="-5.8231035568146053E-3"/>
  </r>
  <r>
    <x v="1218"/>
    <s v="n2"/>
    <x v="4"/>
    <n v="2"/>
    <x v="0"/>
    <s v="SAO PAULO"/>
    <s v="SP"/>
    <n v="6923"/>
    <n v="0"/>
    <n v="6074"/>
    <n v="865"/>
    <n v="10"/>
    <n v="6058"/>
    <n v="-1675"/>
    <n v="2"/>
    <n v="0"/>
    <n v="0"/>
    <n v="-0.27649389237372068"/>
  </r>
  <r>
    <x v="1219"/>
    <s v="b3S"/>
    <x v="5"/>
    <n v="2"/>
    <x v="0"/>
    <s v="PORTO ALEGRE"/>
    <s v="RS"/>
    <n v="6912"/>
    <n v="899"/>
    <n v="0"/>
    <n v="856"/>
    <n v="0"/>
    <n v="6056"/>
    <n v="40"/>
    <n v="0"/>
    <n v="0"/>
    <n v="0.13006365740740741"/>
    <n v="6.6050198150594455E-3"/>
  </r>
  <r>
    <x v="1220"/>
    <s v="n2"/>
    <x v="4"/>
    <n v="2"/>
    <x v="0"/>
    <s v="RIO DE JANEIRO"/>
    <s v="RJ"/>
    <n v="6903"/>
    <n v="0"/>
    <n v="0"/>
    <n v="1991"/>
    <n v="0"/>
    <n v="4911"/>
    <n v="318"/>
    <n v="3"/>
    <n v="0"/>
    <n v="0"/>
    <n v="6.4752596212584002E-2"/>
  </r>
  <r>
    <x v="1221"/>
    <s v="b3S"/>
    <x v="5"/>
    <n v="2"/>
    <x v="0"/>
    <s v="CATAGUASES"/>
    <s v="MG"/>
    <n v="6858"/>
    <n v="4299"/>
    <n v="2260"/>
    <n v="1137"/>
    <n v="0"/>
    <n v="5721"/>
    <n v="192"/>
    <n v="0"/>
    <n v="0"/>
    <n v="0.62685914260717412"/>
    <n v="3.3560566334556896E-2"/>
  </r>
  <r>
    <x v="1222"/>
    <s v="b3S"/>
    <x v="5"/>
    <n v="2"/>
    <x v="0"/>
    <s v="VALINHOS"/>
    <s v="SP"/>
    <n v="6685"/>
    <n v="3503"/>
    <n v="2907"/>
    <n v="589"/>
    <n v="0"/>
    <n v="6096"/>
    <n v="332"/>
    <n v="0"/>
    <n v="0"/>
    <n v="0.52400897531787582"/>
    <n v="5.446194225721785E-2"/>
  </r>
  <r>
    <x v="1223"/>
    <s v="b3S"/>
    <x v="5"/>
    <n v="2"/>
    <x v="0"/>
    <s v="CONTAGEM"/>
    <s v="MG"/>
    <n v="6684"/>
    <n v="1637"/>
    <n v="4632"/>
    <n v="549"/>
    <n v="0"/>
    <n v="6135"/>
    <n v="147"/>
    <n v="0"/>
    <n v="0"/>
    <n v="0.24491322561340514"/>
    <n v="2.3960880195599023E-2"/>
  </r>
  <r>
    <x v="1224"/>
    <s v="n1"/>
    <x v="5"/>
    <n v="2"/>
    <x v="0"/>
    <s v="SAO PAULO"/>
    <s v="SP"/>
    <n v="6618"/>
    <n v="116"/>
    <n v="6087"/>
    <n v="228"/>
    <n v="0"/>
    <n v="6390"/>
    <n v="114"/>
    <n v="2"/>
    <n v="0"/>
    <n v="1.7527954064672106E-2"/>
    <n v="1.7840375586854459E-2"/>
  </r>
  <r>
    <x v="1225"/>
    <s v="b3S"/>
    <x v="5"/>
    <n v="2"/>
    <x v="0"/>
    <s v="RIO CLARO"/>
    <s v="SP"/>
    <n v="6613"/>
    <n v="2866"/>
    <n v="3513"/>
    <n v="525"/>
    <n v="0"/>
    <n v="6088"/>
    <n v="145"/>
    <n v="0"/>
    <n v="0"/>
    <n v="0.433388779676395"/>
    <n v="2.3817345597897503E-2"/>
  </r>
  <r>
    <x v="1226"/>
    <s v="n2"/>
    <x v="5"/>
    <n v="2"/>
    <x v="0"/>
    <s v="IMBITUBA"/>
    <s v="SC"/>
    <n v="6481"/>
    <n v="0"/>
    <n v="521"/>
    <n v="1430"/>
    <n v="0"/>
    <n v="5052"/>
    <n v="1"/>
    <n v="10"/>
    <n v="0"/>
    <n v="0"/>
    <n v="1.9794140934283451E-4"/>
  </r>
  <r>
    <x v="1227"/>
    <s v="n2"/>
    <x v="4"/>
    <n v="2"/>
    <x v="0"/>
    <s v="BELEM"/>
    <s v="PA"/>
    <n v="6414"/>
    <n v="0"/>
    <n v="809"/>
    <n v="1577"/>
    <n v="0"/>
    <n v="4837"/>
    <n v="-26"/>
    <n v="2"/>
    <n v="0"/>
    <n v="0"/>
    <n v="-5.3752325821790365E-3"/>
  </r>
  <r>
    <x v="1228"/>
    <s v="b3S"/>
    <x v="5"/>
    <n v="2"/>
    <x v="0"/>
    <s v="ITAU DE MINAS"/>
    <s v="MG"/>
    <n v="6407"/>
    <n v="1620"/>
    <n v="4645"/>
    <n v="665"/>
    <n v="0"/>
    <n v="5742"/>
    <n v="259"/>
    <n v="0"/>
    <n v="0"/>
    <n v="0.25284844701108161"/>
    <n v="4.5106234761407175E-2"/>
  </r>
  <r>
    <x v="1229"/>
    <s v="n1"/>
    <x v="5"/>
    <n v="3"/>
    <x v="2"/>
    <s v="SAO PAULO"/>
    <s v="SP"/>
    <n v="6373"/>
    <n v="0"/>
    <n v="6346"/>
    <n v="4"/>
    <n v="0"/>
    <n v="6369"/>
    <n v="-40"/>
    <n v="2"/>
    <n v="0"/>
    <n v="0"/>
    <n v="-6.2804207881928089E-3"/>
  </r>
  <r>
    <x v="1230"/>
    <s v="n2"/>
    <x v="2"/>
    <n v="2"/>
    <x v="0"/>
    <s v="RIO DE JANEIRO"/>
    <s v="RJ"/>
    <n v="6274"/>
    <n v="0"/>
    <n v="0"/>
    <n v="2262"/>
    <n v="0"/>
    <n v="4012"/>
    <n v="-2305"/>
    <n v="2"/>
    <n v="0"/>
    <n v="0"/>
    <n v="-0.57452642073778659"/>
  </r>
  <r>
    <x v="1231"/>
    <s v="n1"/>
    <x v="5"/>
    <n v="2"/>
    <x v="0"/>
    <s v="TOLEDO"/>
    <s v="PR"/>
    <n v="6263"/>
    <n v="3384"/>
    <n v="2088"/>
    <n v="4381"/>
    <n v="4216"/>
    <n v="1882"/>
    <n v="-891"/>
    <n v="2"/>
    <n v="0"/>
    <n v="0.54031614242375858"/>
    <n v="-0.47343251859723701"/>
  </r>
  <r>
    <x v="1232"/>
    <s v="b3S"/>
    <x v="5"/>
    <n v="2"/>
    <x v="0"/>
    <s v="SAO GONCALO"/>
    <s v="RJ"/>
    <n v="6257"/>
    <n v="1211"/>
    <n v="3878"/>
    <n v="868"/>
    <n v="0"/>
    <n v="5390"/>
    <n v="242"/>
    <n v="0"/>
    <n v="0"/>
    <n v="0.19354323158062969"/>
    <n v="4.4897959183673466E-2"/>
  </r>
  <r>
    <x v="1233"/>
    <s v="n2"/>
    <x v="4"/>
    <n v="2"/>
    <x v="0"/>
    <s v="RECIFE"/>
    <s v="PE"/>
    <n v="6235"/>
    <n v="0"/>
    <n v="0"/>
    <n v="1095"/>
    <n v="0"/>
    <n v="5140"/>
    <n v="-351"/>
    <n v="13"/>
    <n v="0"/>
    <n v="0"/>
    <n v="-6.8287937743190655E-2"/>
  </r>
  <r>
    <x v="1234"/>
    <s v="b3S"/>
    <x v="5"/>
    <n v="2"/>
    <x v="0"/>
    <s v="MORUNGABA"/>
    <s v="SP"/>
    <n v="6162"/>
    <n v="2916"/>
    <n v="2828"/>
    <n v="109"/>
    <n v="0"/>
    <n v="6053"/>
    <n v="534"/>
    <n v="0"/>
    <n v="0"/>
    <n v="0.47322297955209347"/>
    <n v="8.8220716999834789E-2"/>
  </r>
  <r>
    <x v="1235"/>
    <s v="n4"/>
    <x v="5"/>
    <n v="2"/>
    <x v="0"/>
    <s v="SAO PAULO"/>
    <s v="SP"/>
    <n v="6091"/>
    <n v="0"/>
    <n v="4617"/>
    <n v="3621"/>
    <n v="0"/>
    <n v="2469"/>
    <n v="22"/>
    <n v="1"/>
    <n v="0"/>
    <n v="0"/>
    <n v="8.910490076954233E-3"/>
  </r>
  <r>
    <x v="1236"/>
    <s v="n4"/>
    <x v="3"/>
    <n v="2"/>
    <x v="0"/>
    <s v="SAO BERNARDO DO CAMPO"/>
    <s v="SP"/>
    <n v="6080"/>
    <n v="0"/>
    <n v="5884"/>
    <n v="46"/>
    <n v="2"/>
    <n v="6033"/>
    <n v="55"/>
    <n v="1"/>
    <n v="0"/>
    <n v="0"/>
    <n v="9.1165257749046911E-3"/>
  </r>
  <r>
    <x v="1237"/>
    <s v="n4"/>
    <x v="3"/>
    <n v="2"/>
    <x v="0"/>
    <s v="BARUERI"/>
    <s v="SP"/>
    <n v="6034"/>
    <n v="0"/>
    <n v="5892"/>
    <n v="195"/>
    <n v="0"/>
    <n v="5840"/>
    <n v="147"/>
    <n v="1"/>
    <n v="0"/>
    <n v="0"/>
    <n v="2.5171232876712329E-2"/>
  </r>
  <r>
    <x v="1238"/>
    <s v="n2"/>
    <x v="4"/>
    <n v="2"/>
    <x v="0"/>
    <s v="SAO JOSE DOS CAMPOS"/>
    <s v="SP"/>
    <n v="6020"/>
    <n v="0"/>
    <n v="5714"/>
    <n v="205"/>
    <n v="0"/>
    <n v="5815"/>
    <n v="-162"/>
    <n v="3"/>
    <n v="0"/>
    <n v="0"/>
    <n v="-2.7858985382631127E-2"/>
  </r>
  <r>
    <x v="1239"/>
    <s v="n4"/>
    <x v="3"/>
    <n v="2"/>
    <x v="0"/>
    <s v="BELO HORIZONTE"/>
    <s v="MG"/>
    <n v="6017"/>
    <n v="0"/>
    <n v="5512"/>
    <n v="155"/>
    <n v="126"/>
    <n v="5863"/>
    <n v="103"/>
    <n v="1"/>
    <n v="0"/>
    <n v="0"/>
    <n v="1.7567798055602935E-2"/>
  </r>
  <r>
    <x v="1240"/>
    <s v="n1"/>
    <x v="5"/>
    <n v="2"/>
    <x v="0"/>
    <s v="PORTO ALEGRE"/>
    <s v="RS"/>
    <n v="6003"/>
    <n v="952"/>
    <n v="0"/>
    <n v="947"/>
    <n v="163"/>
    <n v="5056"/>
    <n v="711"/>
    <n v="2"/>
    <n v="0"/>
    <n v="0.15858737298017658"/>
    <n v="0.140625"/>
  </r>
  <r>
    <x v="1241"/>
    <s v="b3S"/>
    <x v="5"/>
    <n v="2"/>
    <x v="0"/>
    <s v="RIO CLARO"/>
    <s v="SP"/>
    <n v="5972"/>
    <n v="3004"/>
    <n v="2774"/>
    <n v="731"/>
    <n v="463"/>
    <n v="5241"/>
    <n v="38"/>
    <n v="0"/>
    <n v="0"/>
    <n v="0.50301406563965168"/>
    <n v="7.2505247090249953E-3"/>
  </r>
  <r>
    <x v="1242"/>
    <s v="n2"/>
    <x v="5"/>
    <n v="2"/>
    <x v="0"/>
    <s v="SANTOS"/>
    <s v="SP"/>
    <n v="5967"/>
    <n v="0"/>
    <n v="0"/>
    <n v="1263"/>
    <n v="0"/>
    <n v="4703"/>
    <n v="278"/>
    <n v="2"/>
    <n v="0"/>
    <n v="0"/>
    <n v="5.9111205613438231E-2"/>
  </r>
  <r>
    <x v="1243"/>
    <s v="n2"/>
    <x v="4"/>
    <n v="2"/>
    <x v="0"/>
    <s v="ARARAS"/>
    <s v="SP"/>
    <n v="5935"/>
    <n v="0"/>
    <n v="3689"/>
    <n v="251"/>
    <n v="5"/>
    <n v="5683"/>
    <n v="225"/>
    <n v="2"/>
    <n v="0"/>
    <n v="0"/>
    <n v="3.959176491289812E-2"/>
  </r>
  <r>
    <x v="1244"/>
    <s v="n1"/>
    <x v="5"/>
    <n v="2"/>
    <x v="0"/>
    <s v="CAMPO GRANDE"/>
    <s v="MS"/>
    <n v="5934"/>
    <n v="504"/>
    <n v="101"/>
    <n v="3109"/>
    <n v="0"/>
    <n v="2825"/>
    <n v="-399"/>
    <n v="2"/>
    <n v="0"/>
    <n v="8.4934277047522752E-2"/>
    <n v="-0.14123893805309734"/>
  </r>
  <r>
    <x v="1245"/>
    <s v="n2"/>
    <x v="4"/>
    <n v="2"/>
    <x v="0"/>
    <s v="CURITIBA"/>
    <s v="PR"/>
    <n v="5932"/>
    <n v="0"/>
    <n v="4648"/>
    <n v="881"/>
    <n v="0"/>
    <n v="5052"/>
    <n v="303"/>
    <n v="1"/>
    <n v="0"/>
    <n v="0"/>
    <n v="5.9976247030878858E-2"/>
  </r>
  <r>
    <x v="1246"/>
    <s v="b3S"/>
    <x v="5"/>
    <n v="2"/>
    <x v="0"/>
    <s v="OSASCO"/>
    <s v="SP"/>
    <n v="5926"/>
    <n v="3881"/>
    <n v="1616"/>
    <n v="180"/>
    <n v="0"/>
    <n v="5746"/>
    <n v="229"/>
    <n v="0"/>
    <n v="0"/>
    <n v="0.65491056361795474"/>
    <n v="3.9853811347024017E-2"/>
  </r>
  <r>
    <x v="1247"/>
    <s v="b3S"/>
    <x v="5"/>
    <n v="2"/>
    <x v="0"/>
    <s v="VOLTA REDONDA"/>
    <s v="RJ"/>
    <n v="5925"/>
    <n v="2601"/>
    <n v="2845"/>
    <n v="651"/>
    <n v="0"/>
    <n v="5274"/>
    <n v="191"/>
    <n v="0"/>
    <n v="0"/>
    <n v="0.43898734177215187"/>
    <n v="3.6215396283655672E-2"/>
  </r>
  <r>
    <x v="1248"/>
    <s v="b3S"/>
    <x v="5"/>
    <n v="2"/>
    <x v="0"/>
    <s v="RIO DE JANEIRO"/>
    <s v="RJ"/>
    <n v="5895"/>
    <n v="3580"/>
    <n v="772"/>
    <n v="456"/>
    <n v="0"/>
    <n v="5439"/>
    <n v="316"/>
    <n v="0"/>
    <n v="0"/>
    <n v="0.60729431721798133"/>
    <n v="5.8098915241772388E-2"/>
  </r>
  <r>
    <x v="1249"/>
    <s v="b3S"/>
    <x v="5"/>
    <n v="2"/>
    <x v="0"/>
    <s v="SAO PAULO"/>
    <s v="SP"/>
    <n v="5870"/>
    <n v="2744"/>
    <n v="2862"/>
    <n v="621"/>
    <n v="0"/>
    <n v="5249"/>
    <n v="238"/>
    <n v="0"/>
    <n v="0"/>
    <n v="0.46746166950596252"/>
    <n v="4.5341969899028389E-2"/>
  </r>
  <r>
    <x v="1250"/>
    <s v="n2"/>
    <x v="4"/>
    <n v="2"/>
    <x v="0"/>
    <s v="SAO PAULO"/>
    <s v="SP"/>
    <n v="5850"/>
    <n v="0"/>
    <n v="1577"/>
    <n v="198"/>
    <n v="149"/>
    <n v="5652"/>
    <n v="-107"/>
    <n v="2"/>
    <n v="0"/>
    <n v="0"/>
    <n v="-1.8931351733899506E-2"/>
  </r>
  <r>
    <x v="1251"/>
    <s v="b3S"/>
    <x v="5"/>
    <n v="2"/>
    <x v="0"/>
    <s v="SAO GONCALO"/>
    <s v="RJ"/>
    <n v="5775"/>
    <n v="3114"/>
    <n v="2440"/>
    <n v="437"/>
    <n v="0"/>
    <n v="5338"/>
    <n v="344"/>
    <n v="0"/>
    <n v="0"/>
    <n v="0.53922077922077927"/>
    <n v="6.4443611839640313E-2"/>
  </r>
  <r>
    <x v="1252"/>
    <s v="n1"/>
    <x v="5"/>
    <n v="2"/>
    <x v="0"/>
    <s v="SAO PAULO"/>
    <s v="SP"/>
    <n v="5701"/>
    <n v="4203"/>
    <n v="581"/>
    <n v="3723"/>
    <n v="0"/>
    <n v="1977"/>
    <n v="466"/>
    <n v="2"/>
    <n v="0"/>
    <n v="0.73723908086300649"/>
    <n v="0.2357106727364694"/>
  </r>
  <r>
    <x v="1253"/>
    <s v="n4"/>
    <x v="3"/>
    <n v="2"/>
    <x v="0"/>
    <s v="SAO PAULO"/>
    <s v="SP"/>
    <n v="5698"/>
    <n v="0"/>
    <n v="4947"/>
    <n v="806"/>
    <n v="0"/>
    <n v="4892"/>
    <n v="800"/>
    <n v="1"/>
    <n v="0"/>
    <n v="0"/>
    <n v="0.16353229762878169"/>
  </r>
  <r>
    <x v="1254"/>
    <s v="n2"/>
    <x v="4"/>
    <n v="2"/>
    <x v="0"/>
    <s v="SAO PAULO"/>
    <s v="SP"/>
    <n v="5684"/>
    <n v="0"/>
    <n v="1583"/>
    <n v="4588"/>
    <n v="0"/>
    <n v="1096"/>
    <n v="-296"/>
    <n v="2"/>
    <n v="0"/>
    <n v="0"/>
    <n v="-0.27007299270072993"/>
  </r>
  <r>
    <x v="1255"/>
    <s v="n2"/>
    <x v="5"/>
    <n v="2"/>
    <x v="0"/>
    <s v="SAO PAULO"/>
    <s v="SP"/>
    <n v="5586"/>
    <n v="0"/>
    <n v="1137"/>
    <n v="1658"/>
    <n v="0"/>
    <n v="3928"/>
    <n v="746"/>
    <n v="2"/>
    <n v="0"/>
    <n v="0"/>
    <n v="0.18991853360488797"/>
  </r>
  <r>
    <x v="1256"/>
    <s v="b3S"/>
    <x v="5"/>
    <n v="2"/>
    <x v="0"/>
    <s v="SAO PAULO"/>
    <s v="SP"/>
    <n v="5557"/>
    <n v="4269"/>
    <n v="479"/>
    <n v="58"/>
    <n v="0"/>
    <n v="5500"/>
    <n v="298"/>
    <n v="0"/>
    <n v="0"/>
    <n v="0.76822026273168975"/>
    <n v="5.4181818181818185E-2"/>
  </r>
  <r>
    <x v="1257"/>
    <s v="n4"/>
    <x v="3"/>
    <n v="2"/>
    <x v="0"/>
    <s v="SAO PAULO"/>
    <s v="SP"/>
    <n v="5514"/>
    <n v="0"/>
    <n v="5457"/>
    <n v="287"/>
    <n v="0"/>
    <n v="5227"/>
    <n v="-73"/>
    <n v="1"/>
    <n v="0"/>
    <n v="0"/>
    <n v="-1.3965946049359097E-2"/>
  </r>
  <r>
    <x v="1258"/>
    <s v="n1"/>
    <x v="5"/>
    <n v="2"/>
    <x v="0"/>
    <s v="JOINVILLE"/>
    <s v="SC"/>
    <n v="5504"/>
    <n v="0"/>
    <n v="5441"/>
    <n v="69"/>
    <n v="0"/>
    <n v="5435"/>
    <n v="107"/>
    <n v="2"/>
    <n v="0"/>
    <n v="0"/>
    <n v="1.968721251149954E-2"/>
  </r>
  <r>
    <x v="1259"/>
    <s v="b3S"/>
    <x v="5"/>
    <n v="2"/>
    <x v="0"/>
    <s v="SAO PAULO"/>
    <s v="SP"/>
    <n v="5430"/>
    <n v="2428"/>
    <n v="2425"/>
    <n v="3518"/>
    <n v="3124"/>
    <n v="1912"/>
    <n v="-225"/>
    <n v="0"/>
    <n v="4"/>
    <n v="0.44714548802946591"/>
    <n v="-0.11767782426778242"/>
  </r>
  <r>
    <x v="1260"/>
    <s v="n2"/>
    <x v="4"/>
    <n v="2"/>
    <x v="0"/>
    <s v="SAO PAULO"/>
    <s v="SP"/>
    <n v="5428"/>
    <n v="0"/>
    <n v="5377"/>
    <n v="2009"/>
    <n v="0"/>
    <n v="3419"/>
    <n v="-210"/>
    <n v="2"/>
    <n v="0"/>
    <n v="0"/>
    <n v="-6.1421468265574729E-2"/>
  </r>
  <r>
    <x v="1261"/>
    <s v="b3S"/>
    <x v="5"/>
    <n v="2"/>
    <x v="0"/>
    <s v="SAO BERNARDO DO CAMPO"/>
    <s v="SP"/>
    <n v="5399"/>
    <n v="12"/>
    <n v="0"/>
    <n v="867"/>
    <n v="567"/>
    <n v="4532"/>
    <n v="223"/>
    <n v="0"/>
    <n v="0"/>
    <n v="2.2226338210779772E-3"/>
    <n v="4.9205648720211825E-2"/>
  </r>
  <r>
    <x v="1262"/>
    <s v="b3S"/>
    <x v="5"/>
    <n v="2"/>
    <x v="0"/>
    <s v="CHARQUEADAS"/>
    <s v="RS"/>
    <n v="5398"/>
    <n v="1887"/>
    <n v="3383"/>
    <n v="124"/>
    <n v="0"/>
    <n v="5273"/>
    <n v="154"/>
    <n v="0"/>
    <n v="0"/>
    <n v="0.34957391626528345"/>
    <n v="2.9205385928314051E-2"/>
  </r>
  <r>
    <x v="1263"/>
    <s v="n2"/>
    <x v="4"/>
    <n v="2"/>
    <x v="0"/>
    <s v="JUNDIAI"/>
    <s v="SP"/>
    <n v="5352"/>
    <n v="0"/>
    <n v="356"/>
    <n v="4000"/>
    <n v="0"/>
    <n v="1352"/>
    <n v="-105"/>
    <n v="2"/>
    <n v="0"/>
    <n v="0"/>
    <n v="-7.7662721893491118E-2"/>
  </r>
  <r>
    <x v="1264"/>
    <s v="n4"/>
    <x v="3"/>
    <n v="2"/>
    <x v="0"/>
    <s v="UBERLANDIA"/>
    <s v="MG"/>
    <n v="5339"/>
    <n v="0"/>
    <n v="249"/>
    <n v="74"/>
    <n v="0"/>
    <n v="5265"/>
    <n v="-31"/>
    <n v="1"/>
    <n v="0"/>
    <n v="0"/>
    <n v="-5.887939221272555E-3"/>
  </r>
  <r>
    <x v="1265"/>
    <s v="n2"/>
    <x v="4"/>
    <n v="2"/>
    <x v="0"/>
    <s v="SAO PAULO"/>
    <s v="SP"/>
    <n v="5314"/>
    <n v="0"/>
    <n v="132"/>
    <n v="2439"/>
    <n v="0"/>
    <n v="2876"/>
    <n v="2346"/>
    <n v="2"/>
    <n v="0"/>
    <n v="0"/>
    <n v="0.81571627260083446"/>
  </r>
  <r>
    <x v="1266"/>
    <s v="n1"/>
    <x v="5"/>
    <n v="2"/>
    <x v="0"/>
    <s v="BELEM"/>
    <s v="PA"/>
    <n v="5265"/>
    <n v="3119"/>
    <n v="2139"/>
    <n v="907"/>
    <n v="0"/>
    <n v="4358"/>
    <n v="357"/>
    <n v="2"/>
    <n v="0"/>
    <n v="0.59240265906932577"/>
    <n v="8.1918311151904538E-2"/>
  </r>
  <r>
    <x v="1267"/>
    <s v="b3S"/>
    <x v="5"/>
    <n v="2"/>
    <x v="0"/>
    <s v="PORTO ALEGRE"/>
    <s v="RS"/>
    <n v="5225"/>
    <n v="3222"/>
    <n v="0"/>
    <n v="560"/>
    <n v="0"/>
    <n v="4665"/>
    <n v="-130"/>
    <n v="0"/>
    <n v="0"/>
    <n v="0.61665071770334923"/>
    <n v="-2.7867095391211148E-2"/>
  </r>
  <r>
    <x v="1268"/>
    <s v="b3S"/>
    <x v="5"/>
    <n v="2"/>
    <x v="0"/>
    <s v="RIO CLARO"/>
    <s v="SP"/>
    <n v="5209"/>
    <n v="2256"/>
    <n v="2497"/>
    <n v="887"/>
    <n v="662"/>
    <n v="4322"/>
    <n v="143"/>
    <n v="0"/>
    <n v="0"/>
    <n v="0.4330965636398541"/>
    <n v="3.3086534012031467E-2"/>
  </r>
  <r>
    <x v="1269"/>
    <s v="b3S"/>
    <x v="5"/>
    <n v="2"/>
    <x v="0"/>
    <s v="CERQUILHO"/>
    <s v="SP"/>
    <n v="5053"/>
    <n v="2528"/>
    <n v="2430"/>
    <n v="254"/>
    <n v="0"/>
    <n v="4799"/>
    <n v="193"/>
    <n v="0"/>
    <n v="0"/>
    <n v="0.50029685335444285"/>
    <n v="4.0216711814961448E-2"/>
  </r>
  <r>
    <x v="1270"/>
    <s v="n2"/>
    <x v="4"/>
    <n v="2"/>
    <x v="0"/>
    <s v="SAO PAULO"/>
    <s v="SP"/>
    <n v="5036"/>
    <n v="0"/>
    <n v="1364"/>
    <n v="867"/>
    <n v="489"/>
    <n v="4170"/>
    <n v="118"/>
    <n v="2"/>
    <n v="0"/>
    <n v="0"/>
    <n v="2.8297362110311752E-2"/>
  </r>
  <r>
    <x v="1271"/>
    <s v="b3S"/>
    <x v="5"/>
    <n v="2"/>
    <x v="0"/>
    <s v="MAUA"/>
    <s v="SP"/>
    <n v="4982"/>
    <n v="2101"/>
    <n v="1737"/>
    <n v="614"/>
    <n v="0"/>
    <n v="4369"/>
    <n v="-59"/>
    <n v="0"/>
    <n v="0"/>
    <n v="0.42171818546768364"/>
    <n v="-1.3504234378576334E-2"/>
  </r>
  <r>
    <x v="1272"/>
    <s v="b3S"/>
    <x v="5"/>
    <n v="2"/>
    <x v="0"/>
    <s v="SANTO ANDRE"/>
    <s v="SP"/>
    <n v="4935"/>
    <n v="4232"/>
    <n v="64"/>
    <n v="2502"/>
    <n v="2399"/>
    <n v="2433"/>
    <n v="-723"/>
    <n v="0"/>
    <n v="0"/>
    <n v="0.85754812563323202"/>
    <n v="-0.29716399506781749"/>
  </r>
  <r>
    <x v="1273"/>
    <s v="n1"/>
    <x v="5"/>
    <n v="2"/>
    <x v="0"/>
    <s v="SAO PAULO"/>
    <s v="SP"/>
    <n v="4854"/>
    <n v="215"/>
    <n v="2"/>
    <n v="186"/>
    <n v="0"/>
    <n v="4668"/>
    <n v="-862"/>
    <n v="2"/>
    <n v="0"/>
    <n v="4.4293366295838486E-2"/>
    <n v="-0.18466152527849186"/>
  </r>
  <r>
    <x v="1274"/>
    <s v="n1"/>
    <x v="5"/>
    <n v="3"/>
    <x v="2"/>
    <s v="SAO PAULO"/>
    <s v="SP"/>
    <n v="4622"/>
    <n v="102"/>
    <n v="0"/>
    <n v="293"/>
    <n v="0"/>
    <n v="4329"/>
    <n v="-162"/>
    <n v="2"/>
    <n v="0"/>
    <n v="2.2068368671570748E-2"/>
    <n v="-3.7422037422037424E-2"/>
  </r>
  <r>
    <x v="1275"/>
    <s v="n1"/>
    <x v="5"/>
    <n v="3"/>
    <x v="2"/>
    <s v="SAO PAULO"/>
    <s v="SP"/>
    <n v="4529"/>
    <n v="0"/>
    <n v="0"/>
    <n v="46"/>
    <n v="0"/>
    <n v="4483"/>
    <n v="-128"/>
    <n v="2"/>
    <n v="0"/>
    <n v="0"/>
    <n v="-2.8552308721838057E-2"/>
  </r>
  <r>
    <x v="1276"/>
    <s v="n1"/>
    <x v="5"/>
    <n v="2"/>
    <x v="0"/>
    <s v="RIO DE JANEIRO"/>
    <s v="RJ"/>
    <n v="4516"/>
    <n v="0"/>
    <n v="3685"/>
    <n v="141"/>
    <n v="0"/>
    <n v="4376"/>
    <n v="870"/>
    <n v="2"/>
    <n v="0"/>
    <n v="0"/>
    <n v="0.19881170018281535"/>
  </r>
  <r>
    <x v="1277"/>
    <s v="n1"/>
    <x v="5"/>
    <n v="2"/>
    <x v="0"/>
    <s v="FORTALEZA"/>
    <s v="CE"/>
    <n v="4496"/>
    <n v="0"/>
    <n v="4417"/>
    <n v="32"/>
    <n v="0"/>
    <n v="4464"/>
    <n v="0"/>
    <n v="2"/>
    <n v="0"/>
    <n v="0"/>
    <n v="0"/>
  </r>
  <r>
    <x v="1278"/>
    <s v="b3S"/>
    <x v="5"/>
    <n v="2"/>
    <x v="0"/>
    <s v="BELO HORIZONTE"/>
    <s v="MG"/>
    <n v="4385"/>
    <n v="787"/>
    <n v="3236"/>
    <n v="737"/>
    <n v="0"/>
    <n v="3648"/>
    <n v="-145"/>
    <n v="0"/>
    <n v="0"/>
    <n v="0.17947548460661344"/>
    <n v="-3.9747807017543858E-2"/>
  </r>
  <r>
    <x v="1279"/>
    <s v="n1"/>
    <x v="5"/>
    <n v="2"/>
    <x v="0"/>
    <s v="FLORIANOPOLIS"/>
    <s v="SC"/>
    <n v="4222"/>
    <n v="0"/>
    <n v="1448"/>
    <n v="304"/>
    <n v="0"/>
    <n v="3918"/>
    <n v="125"/>
    <n v="2"/>
    <n v="0"/>
    <n v="0"/>
    <n v="3.1904032669729451E-2"/>
  </r>
  <r>
    <x v="1280"/>
    <s v="b3S"/>
    <x v="5"/>
    <n v="2"/>
    <x v="0"/>
    <s v="CACHOEIRO DE ITAPEMIRIM"/>
    <s v="ES"/>
    <n v="4211"/>
    <n v="3923"/>
    <n v="44"/>
    <n v="207"/>
    <n v="0"/>
    <n v="4004"/>
    <n v="84"/>
    <n v="0"/>
    <n v="0"/>
    <n v="0.93160769413440991"/>
    <n v="2.097902097902098E-2"/>
  </r>
  <r>
    <x v="1281"/>
    <s v="n1"/>
    <x v="5"/>
    <n v="2"/>
    <x v="0"/>
    <s v="UBERLANDIA"/>
    <s v="MG"/>
    <n v="4196"/>
    <n v="19"/>
    <n v="0"/>
    <n v="321"/>
    <n v="0"/>
    <n v="3875"/>
    <n v="-26"/>
    <n v="2"/>
    <n v="0"/>
    <n v="4.5281220209723548E-3"/>
    <n v="-6.7096774193548389E-3"/>
  </r>
  <r>
    <x v="1282"/>
    <s v="b3S"/>
    <x v="5"/>
    <n v="2"/>
    <x v="0"/>
    <s v="SAO PAULO"/>
    <s v="SP"/>
    <n v="4182"/>
    <n v="448"/>
    <n v="3629"/>
    <n v="198"/>
    <n v="0"/>
    <n v="3984"/>
    <n v="50"/>
    <n v="0"/>
    <n v="0"/>
    <n v="0.10712577714012435"/>
    <n v="1.2550200803212851E-2"/>
  </r>
  <r>
    <x v="1283"/>
    <s v="n4"/>
    <x v="3"/>
    <n v="2"/>
    <x v="0"/>
    <s v="PORTO ALEGRE"/>
    <s v="RS"/>
    <n v="4150"/>
    <n v="0"/>
    <n v="4139"/>
    <n v="7"/>
    <n v="0"/>
    <n v="4143"/>
    <n v="88"/>
    <n v="1"/>
    <n v="0"/>
    <n v="0"/>
    <n v="2.1240646874245716E-2"/>
  </r>
  <r>
    <x v="1284"/>
    <s v="n1"/>
    <x v="5"/>
    <n v="2"/>
    <x v="0"/>
    <s v="RIO DE JANEIRO"/>
    <s v="RJ"/>
    <n v="4127"/>
    <n v="623"/>
    <n v="3324"/>
    <n v="65"/>
    <n v="0"/>
    <n v="4062"/>
    <n v="-222"/>
    <n v="2"/>
    <n v="0"/>
    <n v="0.15095711170341652"/>
    <n v="-5.4652880354505169E-2"/>
  </r>
  <r>
    <x v="1285"/>
    <s v="n1"/>
    <x v="5"/>
    <n v="2"/>
    <x v="0"/>
    <s v="CIANORTE"/>
    <s v="PR"/>
    <n v="4121"/>
    <n v="136"/>
    <n v="3486"/>
    <n v="4"/>
    <n v="0"/>
    <n v="4117"/>
    <n v="-27"/>
    <n v="2"/>
    <n v="0"/>
    <n v="3.3001698616840575E-2"/>
    <n v="-6.5581734272528542E-3"/>
  </r>
  <r>
    <x v="1286"/>
    <s v="n1"/>
    <x v="5"/>
    <n v="2"/>
    <x v="0"/>
    <s v="CANOAS"/>
    <s v="RS"/>
    <n v="4094"/>
    <n v="557"/>
    <n v="0"/>
    <n v="49"/>
    <n v="0"/>
    <n v="4045"/>
    <n v="-328"/>
    <n v="2"/>
    <n v="0"/>
    <n v="0.13605276013678555"/>
    <n v="-8.1087762669962912E-2"/>
  </r>
  <r>
    <x v="1287"/>
    <s v="n4"/>
    <x v="3"/>
    <n v="3"/>
    <x v="2"/>
    <s v="CURITIBA"/>
    <s v="PR"/>
    <n v="4060"/>
    <n v="0"/>
    <n v="3807"/>
    <n v="78"/>
    <n v="0"/>
    <n v="3982"/>
    <n v="133"/>
    <n v="1"/>
    <n v="0"/>
    <n v="0"/>
    <n v="3.340030135610246E-2"/>
  </r>
  <r>
    <x v="1288"/>
    <s v="n2"/>
    <x v="5"/>
    <n v="2"/>
    <x v="0"/>
    <s v="SAO PAULO"/>
    <s v="SP"/>
    <n v="4050"/>
    <n v="0"/>
    <n v="0"/>
    <n v="109"/>
    <n v="0"/>
    <n v="3940"/>
    <n v="-833"/>
    <n v="2"/>
    <n v="0"/>
    <n v="0"/>
    <n v="-0.2114213197969543"/>
  </r>
  <r>
    <x v="1289"/>
    <s v="n4"/>
    <x v="3"/>
    <n v="2"/>
    <x v="0"/>
    <s v="SAO PAULO"/>
    <s v="SP"/>
    <n v="3864"/>
    <n v="0"/>
    <n v="3572"/>
    <n v="154"/>
    <n v="0"/>
    <n v="3710"/>
    <n v="34"/>
    <n v="1"/>
    <n v="0"/>
    <n v="0"/>
    <n v="9.1644204851752016E-3"/>
  </r>
  <r>
    <x v="1290"/>
    <s v="n1"/>
    <x v="5"/>
    <n v="2"/>
    <x v="0"/>
    <s v="CURITIBA"/>
    <s v="PR"/>
    <n v="3836"/>
    <n v="0"/>
    <n v="1067"/>
    <n v="2582"/>
    <n v="0"/>
    <n v="1254"/>
    <n v="-300"/>
    <n v="2"/>
    <n v="0"/>
    <n v="0"/>
    <n v="-0.23923444976076555"/>
  </r>
  <r>
    <x v="1291"/>
    <s v="n1"/>
    <x v="5"/>
    <n v="2"/>
    <x v="0"/>
    <s v="SAO PAULO"/>
    <s v="SP"/>
    <n v="3830"/>
    <n v="60"/>
    <n v="0"/>
    <n v="2869"/>
    <n v="1544"/>
    <n v="960"/>
    <n v="-366"/>
    <n v="2"/>
    <n v="0"/>
    <n v="1.5665796344647518E-2"/>
    <n v="-0.38124999999999998"/>
  </r>
  <r>
    <x v="1292"/>
    <s v="n1"/>
    <x v="5"/>
    <n v="2"/>
    <x v="0"/>
    <s v="CALDAS NOVAS"/>
    <s v="GO"/>
    <n v="3772"/>
    <n v="990"/>
    <n v="2021"/>
    <n v="185"/>
    <n v="93"/>
    <n v="3587"/>
    <n v="49"/>
    <n v="2"/>
    <n v="0"/>
    <n v="0.26246023329798518"/>
    <n v="1.366044047950934E-2"/>
  </r>
  <r>
    <x v="1293"/>
    <s v="n1"/>
    <x v="5"/>
    <n v="2"/>
    <x v="0"/>
    <s v="CONTAGEM"/>
    <s v="MG"/>
    <n v="3769"/>
    <n v="2"/>
    <n v="1753"/>
    <n v="55"/>
    <n v="0"/>
    <n v="3714"/>
    <n v="-528"/>
    <n v="2"/>
    <n v="0"/>
    <n v="5.3064473335102144E-4"/>
    <n v="-0.1421647819063005"/>
  </r>
  <r>
    <x v="1294"/>
    <s v="n1"/>
    <x v="5"/>
    <n v="2"/>
    <x v="0"/>
    <s v="FLORIANOPOLIS"/>
    <s v="SC"/>
    <n v="3678"/>
    <n v="66"/>
    <n v="3080"/>
    <n v="28"/>
    <n v="0"/>
    <n v="3650"/>
    <n v="123"/>
    <n v="2"/>
    <n v="0"/>
    <n v="1.794453507340946E-2"/>
    <n v="3.3698630136986304E-2"/>
  </r>
  <r>
    <x v="1295"/>
    <s v="n1"/>
    <x v="5"/>
    <n v="2"/>
    <x v="0"/>
    <s v="RIBEIRAO PRETO"/>
    <s v="SP"/>
    <n v="3672"/>
    <n v="599"/>
    <n v="2404"/>
    <n v="3"/>
    <n v="0"/>
    <n v="3669"/>
    <n v="16"/>
    <n v="2"/>
    <n v="0"/>
    <n v="0.16312636165577343"/>
    <n v="4.3608612701008451E-3"/>
  </r>
  <r>
    <x v="1296"/>
    <s v="b3S"/>
    <x v="5"/>
    <n v="2"/>
    <x v="0"/>
    <s v="ATIBAIA"/>
    <s v="SP"/>
    <n v="3652"/>
    <n v="2528"/>
    <n v="704"/>
    <n v="228"/>
    <n v="0"/>
    <n v="3424"/>
    <n v="14"/>
    <n v="0"/>
    <n v="0"/>
    <n v="0.69222343921139107"/>
    <n v="4.0887850467289715E-3"/>
  </r>
  <r>
    <x v="1297"/>
    <s v="b3S"/>
    <x v="5"/>
    <n v="2"/>
    <x v="0"/>
    <s v="PONTA GROSSA"/>
    <s v="PR"/>
    <n v="3584"/>
    <n v="3106"/>
    <n v="0"/>
    <n v="64"/>
    <n v="0"/>
    <n v="3520"/>
    <n v="102"/>
    <n v="0"/>
    <n v="0"/>
    <n v="0.8666294642857143"/>
    <n v="2.8977272727272727E-2"/>
  </r>
  <r>
    <x v="1298"/>
    <s v="b3S"/>
    <x v="5"/>
    <n v="2"/>
    <x v="0"/>
    <s v="SAO PAULO"/>
    <s v="SP"/>
    <n v="3562"/>
    <n v="1982"/>
    <n v="1105"/>
    <n v="774"/>
    <n v="0"/>
    <n v="2787"/>
    <n v="-180"/>
    <n v="0"/>
    <n v="0"/>
    <n v="0.55642897248736667"/>
    <n v="-6.4585575888051666E-2"/>
  </r>
  <r>
    <x v="1299"/>
    <s v="b3S"/>
    <x v="5"/>
    <n v="2"/>
    <x v="0"/>
    <s v="PORTO ALEGRE"/>
    <s v="RS"/>
    <n v="3562"/>
    <n v="1716"/>
    <n v="1589"/>
    <n v="277"/>
    <n v="0"/>
    <n v="3285"/>
    <n v="238"/>
    <n v="0"/>
    <n v="0"/>
    <n v="0.48175182481751827"/>
    <n v="7.2450532724505329E-2"/>
  </r>
  <r>
    <x v="1300"/>
    <s v="b3S"/>
    <x v="5"/>
    <n v="2"/>
    <x v="0"/>
    <s v="CAMPINA GRANDE"/>
    <s v="PB"/>
    <n v="3560"/>
    <n v="1065"/>
    <n v="2058"/>
    <n v="366"/>
    <n v="0"/>
    <n v="3194"/>
    <n v="97"/>
    <n v="0"/>
    <n v="0"/>
    <n v="0.2991573033707865"/>
    <n v="3.0369442705072011E-2"/>
  </r>
  <r>
    <x v="1301"/>
    <s v="b3S"/>
    <x v="5"/>
    <n v="2"/>
    <x v="0"/>
    <s v="RIO DE JANEIRO"/>
    <s v="RJ"/>
    <n v="3546"/>
    <n v="2043"/>
    <n v="810"/>
    <n v="987"/>
    <n v="0"/>
    <n v="2558"/>
    <n v="-31"/>
    <n v="0"/>
    <n v="0"/>
    <n v="0.57614213197969544"/>
    <n v="-1.2118842845973418E-2"/>
  </r>
  <r>
    <x v="1302"/>
    <s v="n2"/>
    <x v="4"/>
    <n v="2"/>
    <x v="0"/>
    <s v="CURITIBA"/>
    <s v="PR"/>
    <n v="3537"/>
    <n v="0"/>
    <n v="937"/>
    <n v="777"/>
    <n v="0"/>
    <n v="2761"/>
    <n v="345"/>
    <n v="3"/>
    <n v="0"/>
    <n v="0"/>
    <n v="0.12495472654835205"/>
  </r>
  <r>
    <x v="1303"/>
    <s v="n4"/>
    <x v="3"/>
    <n v="2"/>
    <x v="0"/>
    <s v="BARUERI"/>
    <s v="SP"/>
    <n v="3526"/>
    <n v="0"/>
    <n v="156"/>
    <n v="140"/>
    <n v="0"/>
    <n v="3386"/>
    <n v="-1197"/>
    <n v="1"/>
    <n v="0"/>
    <n v="0"/>
    <n v="-0.35351447135262848"/>
  </r>
  <r>
    <x v="1304"/>
    <s v="n2"/>
    <x v="5"/>
    <n v="2"/>
    <x v="0"/>
    <s v="SAO PAULO"/>
    <s v="SP"/>
    <n v="3469"/>
    <n v="0"/>
    <n v="1291"/>
    <n v="612"/>
    <n v="0"/>
    <n v="2857"/>
    <n v="154"/>
    <n v="2"/>
    <n v="0"/>
    <n v="0"/>
    <n v="5.3902695134756741E-2"/>
  </r>
  <r>
    <x v="1305"/>
    <s v="b3S"/>
    <x v="5"/>
    <n v="2"/>
    <x v="0"/>
    <s v="CERQUILHO"/>
    <s v="SP"/>
    <n v="3466"/>
    <n v="1091"/>
    <n v="2199"/>
    <n v="109"/>
    <n v="0"/>
    <n v="3357"/>
    <n v="183"/>
    <n v="0"/>
    <n v="0"/>
    <n v="0.31477207155222159"/>
    <n v="5.4512957998212687E-2"/>
  </r>
  <r>
    <x v="1306"/>
    <s v="n1"/>
    <x v="5"/>
    <n v="2"/>
    <x v="0"/>
    <s v="MACEIO"/>
    <s v="AL"/>
    <n v="3457"/>
    <n v="68"/>
    <n v="135"/>
    <n v="2228"/>
    <n v="0"/>
    <n v="1229"/>
    <n v="-53"/>
    <n v="1"/>
    <n v="0"/>
    <n v="1.9670234307202775E-2"/>
    <n v="-4.3124491456468676E-2"/>
  </r>
  <r>
    <x v="1307"/>
    <s v="n1"/>
    <x v="5"/>
    <n v="2"/>
    <x v="0"/>
    <s v="CAMPINAS"/>
    <s v="SP"/>
    <n v="3400"/>
    <n v="0"/>
    <n v="3398"/>
    <n v="10"/>
    <n v="0"/>
    <n v="3389"/>
    <n v="-93"/>
    <n v="2"/>
    <n v="0"/>
    <n v="0"/>
    <n v="-2.7441723222189435E-2"/>
  </r>
  <r>
    <x v="1308"/>
    <s v="b3S"/>
    <x v="5"/>
    <n v="2"/>
    <x v="0"/>
    <s v="RIO DE JANEIRO"/>
    <s v="RJ"/>
    <n v="3388"/>
    <n v="1850"/>
    <n v="700"/>
    <n v="553"/>
    <n v="0"/>
    <n v="2836"/>
    <n v="127"/>
    <n v="0"/>
    <n v="0"/>
    <n v="0.54604486422668241"/>
    <n v="4.4781382228490832E-2"/>
  </r>
  <r>
    <x v="1309"/>
    <s v="b3S"/>
    <x v="5"/>
    <n v="2"/>
    <x v="0"/>
    <s v="JUIZ DE FORA"/>
    <s v="MG"/>
    <n v="3373"/>
    <n v="1351"/>
    <n v="0"/>
    <n v="590"/>
    <n v="0"/>
    <n v="2783"/>
    <n v="57"/>
    <n v="0"/>
    <n v="0"/>
    <n v="0.40053364957011561"/>
    <n v="2.0481494789795184E-2"/>
  </r>
  <r>
    <x v="1310"/>
    <s v="n2"/>
    <x v="4"/>
    <n v="2"/>
    <x v="0"/>
    <s v="SAO PAULO"/>
    <s v="SP"/>
    <n v="3357"/>
    <n v="0"/>
    <n v="2247"/>
    <n v="172"/>
    <n v="0"/>
    <n v="3185"/>
    <n v="-92"/>
    <n v="2"/>
    <n v="0"/>
    <n v="0"/>
    <n v="-2.8885400313971743E-2"/>
  </r>
  <r>
    <x v="1311"/>
    <s v="n4"/>
    <x v="3"/>
    <n v="3"/>
    <x v="2"/>
    <s v="SAO PAULO"/>
    <s v="SP"/>
    <n v="3328"/>
    <n v="0"/>
    <n v="0"/>
    <n v="2132"/>
    <n v="0"/>
    <n v="1196"/>
    <n v="-384"/>
    <n v="1"/>
    <n v="0"/>
    <n v="0"/>
    <n v="-0.32107023411371238"/>
  </r>
  <r>
    <x v="1312"/>
    <s v="b3S"/>
    <x v="5"/>
    <n v="2"/>
    <x v="0"/>
    <s v="VITORIA"/>
    <s v="ES"/>
    <n v="3325"/>
    <n v="1415"/>
    <n v="1595"/>
    <n v="602"/>
    <n v="0"/>
    <n v="2724"/>
    <n v="-3"/>
    <n v="0"/>
    <n v="0"/>
    <n v="0.42556390977443609"/>
    <n v="-1.1013215859030838E-3"/>
  </r>
  <r>
    <x v="1313"/>
    <s v="n4"/>
    <x v="3"/>
    <n v="3"/>
    <x v="2"/>
    <s v="SAO PAULO"/>
    <s v="SP"/>
    <n v="3311"/>
    <n v="0"/>
    <n v="1920"/>
    <n v="1060"/>
    <n v="0"/>
    <n v="2251"/>
    <n v="-106"/>
    <n v="1"/>
    <n v="0"/>
    <n v="0"/>
    <n v="-4.7090182141270545E-2"/>
  </r>
  <r>
    <x v="1314"/>
    <s v="n1"/>
    <x v="5"/>
    <n v="2"/>
    <x v="0"/>
    <s v="UBERLANDIA"/>
    <s v="MG"/>
    <n v="3272"/>
    <n v="0"/>
    <n v="2717"/>
    <n v="392"/>
    <n v="0"/>
    <n v="2880"/>
    <n v="218"/>
    <n v="2"/>
    <n v="0"/>
    <n v="0"/>
    <n v="7.5694444444444439E-2"/>
  </r>
  <r>
    <x v="1315"/>
    <s v="b3S"/>
    <x v="5"/>
    <n v="2"/>
    <x v="0"/>
    <s v="RIO DE JANEIRO"/>
    <s v="RJ"/>
    <n v="3253"/>
    <n v="1607"/>
    <n v="1401"/>
    <n v="372"/>
    <n v="0"/>
    <n v="2880"/>
    <n v="-115"/>
    <n v="0"/>
    <n v="0"/>
    <n v="0.49400553335382724"/>
    <n v="-3.9930555555555552E-2"/>
  </r>
  <r>
    <x v="1316"/>
    <s v="n2"/>
    <x v="4"/>
    <n v="2"/>
    <x v="0"/>
    <s v="RIO DE JANEIRO"/>
    <s v="RJ"/>
    <n v="3179"/>
    <n v="0"/>
    <n v="2485"/>
    <n v="465"/>
    <n v="0"/>
    <n v="2714"/>
    <n v="-74"/>
    <n v="2"/>
    <n v="0"/>
    <n v="0"/>
    <n v="-2.7266028002947678E-2"/>
  </r>
  <r>
    <x v="1317"/>
    <s v="b3S"/>
    <x v="5"/>
    <n v="2"/>
    <x v="0"/>
    <s v="SALVADOR"/>
    <s v="BA"/>
    <n v="3147"/>
    <n v="884"/>
    <n v="2257"/>
    <n v="64"/>
    <n v="0"/>
    <n v="3083"/>
    <n v="111"/>
    <n v="0"/>
    <n v="0"/>
    <n v="0.28090244677470605"/>
    <n v="3.6003892312682452E-2"/>
  </r>
  <r>
    <x v="1318"/>
    <s v="b3S"/>
    <x v="5"/>
    <n v="2"/>
    <x v="0"/>
    <s v="JOAO MONLEVADE"/>
    <s v="MG"/>
    <n v="3128"/>
    <n v="1516"/>
    <n v="86"/>
    <n v="416"/>
    <n v="285"/>
    <n v="2712"/>
    <n v="-133"/>
    <n v="0"/>
    <n v="0"/>
    <n v="0.48465473145780052"/>
    <n v="-4.9041297935103242E-2"/>
  </r>
  <r>
    <x v="1319"/>
    <s v="n2"/>
    <x v="5"/>
    <n v="2"/>
    <x v="0"/>
    <s v="CURITIBA"/>
    <s v="PR"/>
    <n v="3122"/>
    <n v="0"/>
    <n v="1247"/>
    <n v="668"/>
    <n v="0"/>
    <n v="2454"/>
    <n v="164"/>
    <n v="3"/>
    <n v="0"/>
    <n v="0"/>
    <n v="6.6829665851670744E-2"/>
  </r>
  <r>
    <x v="1320"/>
    <s v="b3S"/>
    <x v="5"/>
    <n v="2"/>
    <x v="0"/>
    <s v="RIO DE JANEIRO"/>
    <s v="RJ"/>
    <n v="3104"/>
    <n v="952"/>
    <n v="1692"/>
    <n v="154"/>
    <n v="0"/>
    <n v="2950"/>
    <n v="74"/>
    <n v="0"/>
    <n v="0"/>
    <n v="0.30670103092783507"/>
    <n v="2.5084745762711864E-2"/>
  </r>
  <r>
    <x v="1321"/>
    <s v="n4"/>
    <x v="3"/>
    <n v="2"/>
    <x v="0"/>
    <s v="SAO PAULO"/>
    <s v="SP"/>
    <n v="3098"/>
    <n v="0"/>
    <n v="2934"/>
    <n v="32"/>
    <n v="0"/>
    <n v="3066"/>
    <n v="-28"/>
    <n v="1"/>
    <n v="0"/>
    <n v="0"/>
    <n v="-9.1324200913242004E-3"/>
  </r>
  <r>
    <x v="1322"/>
    <s v="n1"/>
    <x v="5"/>
    <n v="2"/>
    <x v="0"/>
    <s v="FORTALEZA"/>
    <s v="CE"/>
    <n v="3054"/>
    <n v="576"/>
    <n v="34"/>
    <n v="40"/>
    <n v="0"/>
    <n v="3013"/>
    <n v="98"/>
    <n v="2"/>
    <n v="0"/>
    <n v="0.18860510805500982"/>
    <n v="3.2525721871888486E-2"/>
  </r>
  <r>
    <x v="1323"/>
    <s v="n1"/>
    <x v="5"/>
    <n v="2"/>
    <x v="0"/>
    <s v="SAO JOSE DOS PINHAIS"/>
    <s v="PR"/>
    <n v="3038"/>
    <n v="2901"/>
    <n v="0"/>
    <n v="37"/>
    <n v="0"/>
    <n v="3001"/>
    <n v="-33"/>
    <n v="2"/>
    <n v="0"/>
    <n v="0.95490454246214618"/>
    <n v="-1.0996334555148283E-2"/>
  </r>
  <r>
    <x v="1324"/>
    <s v="b3S"/>
    <x v="5"/>
    <n v="2"/>
    <x v="0"/>
    <s v="MARICA"/>
    <s v="RJ"/>
    <n v="3028"/>
    <n v="1215"/>
    <n v="1476"/>
    <n v="268"/>
    <n v="0"/>
    <n v="2760"/>
    <n v="109"/>
    <n v="0"/>
    <n v="0"/>
    <n v="0.40125495376486131"/>
    <n v="3.9492753623188409E-2"/>
  </r>
  <r>
    <x v="1325"/>
    <s v="n1"/>
    <x v="5"/>
    <n v="2"/>
    <x v="0"/>
    <s v="LONDRINA"/>
    <s v="PR"/>
    <n v="2985"/>
    <n v="1058"/>
    <n v="0"/>
    <n v="276"/>
    <n v="0"/>
    <n v="2708"/>
    <n v="7"/>
    <n v="2"/>
    <n v="0"/>
    <n v="0.35443886097152427"/>
    <n v="2.5849335302806499E-3"/>
  </r>
  <r>
    <x v="1326"/>
    <s v="n2"/>
    <x v="5"/>
    <n v="3"/>
    <x v="2"/>
    <s v="SAO PAULO"/>
    <s v="SP"/>
    <n v="2934"/>
    <n v="0"/>
    <n v="2557"/>
    <n v="131"/>
    <n v="0"/>
    <n v="2804"/>
    <n v="-543"/>
    <n v="2"/>
    <n v="0"/>
    <n v="0"/>
    <n v="-0.19365192582025678"/>
  </r>
  <r>
    <x v="1327"/>
    <s v="n1"/>
    <x v="5"/>
    <n v="2"/>
    <x v="0"/>
    <s v="SAO JOSE DOS CAMPOS"/>
    <s v="SP"/>
    <n v="2877"/>
    <n v="60"/>
    <n v="0"/>
    <n v="1840"/>
    <n v="0"/>
    <n v="1036"/>
    <n v="31"/>
    <n v="2"/>
    <n v="0"/>
    <n v="2.0855057351407715E-2"/>
    <n v="2.9922779922779922E-2"/>
  </r>
  <r>
    <x v="1328"/>
    <s v="b3S"/>
    <x v="5"/>
    <n v="2"/>
    <x v="0"/>
    <s v="PORTO ALEGRE"/>
    <s v="RS"/>
    <n v="2796"/>
    <n v="68"/>
    <n v="0"/>
    <n v="279"/>
    <n v="0"/>
    <n v="2517"/>
    <n v="-15"/>
    <n v="0"/>
    <n v="0"/>
    <n v="2.4320457796852647E-2"/>
    <n v="-5.9594755661501785E-3"/>
  </r>
  <r>
    <x v="1329"/>
    <s v="b3S"/>
    <x v="5"/>
    <n v="2"/>
    <x v="0"/>
    <s v="RIO DE JANEIRO"/>
    <s v="RJ"/>
    <n v="2734"/>
    <n v="1248"/>
    <n v="776"/>
    <n v="65"/>
    <n v="0"/>
    <n v="2669"/>
    <n v="54"/>
    <n v="0"/>
    <n v="0"/>
    <n v="0.45647403072421361"/>
    <n v="2.0232296740352193E-2"/>
  </r>
  <r>
    <x v="1330"/>
    <s v="n2"/>
    <x v="5"/>
    <n v="2"/>
    <x v="0"/>
    <s v="SAO PAULO"/>
    <s v="SP"/>
    <n v="2709"/>
    <n v="0"/>
    <n v="1775"/>
    <n v="56"/>
    <n v="0"/>
    <n v="2653"/>
    <n v="-97"/>
    <n v="3"/>
    <n v="0"/>
    <n v="0"/>
    <n v="-3.6562382208820202E-2"/>
  </r>
  <r>
    <x v="1331"/>
    <s v="n2"/>
    <x v="5"/>
    <n v="2"/>
    <x v="0"/>
    <s v="PORTO ALEGRE"/>
    <s v="RS"/>
    <n v="2665"/>
    <n v="0"/>
    <n v="0"/>
    <n v="325"/>
    <n v="0"/>
    <n v="2340"/>
    <n v="17"/>
    <n v="2"/>
    <n v="0"/>
    <n v="0"/>
    <n v="7.2649572649572652E-3"/>
  </r>
  <r>
    <x v="1332"/>
    <s v="b3S"/>
    <x v="5"/>
    <n v="2"/>
    <x v="0"/>
    <s v="JUNDIAI"/>
    <s v="SP"/>
    <n v="2662"/>
    <n v="1495"/>
    <n v="893"/>
    <n v="413"/>
    <n v="0"/>
    <n v="2250"/>
    <n v="-127"/>
    <n v="0"/>
    <n v="0"/>
    <n v="0.56160781367392942"/>
    <n v="-5.6444444444444443E-2"/>
  </r>
  <r>
    <x v="1333"/>
    <s v="n2"/>
    <x v="4"/>
    <n v="2"/>
    <x v="0"/>
    <s v="TUBARAO"/>
    <s v="SC"/>
    <n v="2658"/>
    <n v="0"/>
    <n v="2299"/>
    <n v="347"/>
    <n v="0"/>
    <n v="2312"/>
    <n v="12"/>
    <n v="2"/>
    <n v="0"/>
    <n v="0"/>
    <n v="5.1903114186851208E-3"/>
  </r>
  <r>
    <x v="1334"/>
    <s v="n2"/>
    <x v="4"/>
    <n v="2"/>
    <x v="0"/>
    <s v="JOACABA"/>
    <s v="SC"/>
    <n v="2599"/>
    <n v="0"/>
    <n v="0"/>
    <n v="720"/>
    <n v="0"/>
    <n v="1879"/>
    <n v="-324"/>
    <n v="4"/>
    <n v="0"/>
    <n v="0"/>
    <n v="-0.17243214475784993"/>
  </r>
  <r>
    <x v="1335"/>
    <s v="b3S"/>
    <x v="5"/>
    <n v="2"/>
    <x v="0"/>
    <s v="RIO DE JANEIRO"/>
    <s v="RJ"/>
    <n v="2565"/>
    <n v="1187"/>
    <n v="0"/>
    <n v="1128"/>
    <n v="0"/>
    <n v="1437"/>
    <n v="-27"/>
    <n v="0"/>
    <n v="1"/>
    <n v="0.46276803118908383"/>
    <n v="-1.8789144050104383E-2"/>
  </r>
  <r>
    <x v="1336"/>
    <s v="n1"/>
    <x v="5"/>
    <n v="2"/>
    <x v="0"/>
    <s v="SAO BERNARDO DO CAMPO"/>
    <s v="SP"/>
    <n v="2514"/>
    <n v="132"/>
    <n v="0"/>
    <n v="750"/>
    <n v="0"/>
    <n v="1764"/>
    <n v="754"/>
    <n v="2"/>
    <n v="0"/>
    <n v="5.2505966587112173E-2"/>
    <n v="0.42743764172335602"/>
  </r>
  <r>
    <x v="1337"/>
    <s v="n1"/>
    <x v="5"/>
    <n v="2"/>
    <x v="0"/>
    <s v="SAO PAULO"/>
    <s v="SP"/>
    <n v="2514"/>
    <n v="0"/>
    <n v="0"/>
    <n v="87"/>
    <n v="0"/>
    <n v="2427"/>
    <n v="-1161"/>
    <n v="2"/>
    <n v="0"/>
    <n v="0"/>
    <n v="-0.47836835599505562"/>
  </r>
  <r>
    <x v="1338"/>
    <s v="n2"/>
    <x v="5"/>
    <n v="2"/>
    <x v="0"/>
    <s v="FORTALEZA"/>
    <s v="CE"/>
    <n v="2496"/>
    <n v="0"/>
    <n v="0"/>
    <n v="307"/>
    <n v="0"/>
    <n v="2190"/>
    <n v="-597"/>
    <n v="2"/>
    <n v="0"/>
    <n v="0"/>
    <n v="-0.27260273972602739"/>
  </r>
  <r>
    <x v="1339"/>
    <s v="n4"/>
    <x v="3"/>
    <n v="3"/>
    <x v="2"/>
    <s v="SAO PAULO"/>
    <s v="SP"/>
    <n v="2444"/>
    <n v="0"/>
    <n v="2308"/>
    <n v="64"/>
    <n v="0"/>
    <n v="2380"/>
    <n v="-1230"/>
    <n v="1"/>
    <n v="0"/>
    <n v="0"/>
    <n v="-0.51680672268907568"/>
  </r>
  <r>
    <x v="1340"/>
    <s v="n1"/>
    <x v="5"/>
    <n v="2"/>
    <x v="0"/>
    <s v="SAO LEOPOLDO"/>
    <s v="RS"/>
    <n v="2399"/>
    <n v="2031"/>
    <n v="209"/>
    <n v="1042"/>
    <n v="798"/>
    <n v="1357"/>
    <n v="122"/>
    <n v="2"/>
    <n v="0"/>
    <n v="0.84660275114631101"/>
    <n v="8.9904200442151805E-2"/>
  </r>
  <r>
    <x v="1341"/>
    <s v="b3S"/>
    <x v="5"/>
    <n v="2"/>
    <x v="0"/>
    <s v="SAO PAULO"/>
    <s v="SP"/>
    <n v="2397"/>
    <n v="1832"/>
    <n v="405"/>
    <n v="820"/>
    <n v="0"/>
    <n v="1577"/>
    <n v="16"/>
    <n v="0"/>
    <n v="0"/>
    <n v="0.7642886942010847"/>
    <n v="1.0145846544071021E-2"/>
  </r>
  <r>
    <x v="1342"/>
    <s v="n4"/>
    <x v="3"/>
    <n v="2"/>
    <x v="0"/>
    <s v="SAO PAULO"/>
    <s v="SP"/>
    <n v="2394"/>
    <n v="0"/>
    <n v="140"/>
    <n v="364"/>
    <n v="0"/>
    <n v="2031"/>
    <n v="1120"/>
    <n v="1"/>
    <n v="0"/>
    <n v="0"/>
    <n v="0.55145248645987199"/>
  </r>
  <r>
    <x v="1343"/>
    <s v="n1"/>
    <x v="5"/>
    <n v="2"/>
    <x v="0"/>
    <s v="FORTALEZA"/>
    <s v="CE"/>
    <n v="2243"/>
    <n v="748"/>
    <n v="1088"/>
    <n v="841"/>
    <n v="0"/>
    <n v="1402"/>
    <n v="237"/>
    <n v="2"/>
    <n v="0"/>
    <n v="0.33348194382523405"/>
    <n v="0.16904422253922968"/>
  </r>
  <r>
    <x v="1344"/>
    <s v="b3S"/>
    <x v="5"/>
    <n v="2"/>
    <x v="0"/>
    <s v="RIO DE JANEIRO"/>
    <s v="RJ"/>
    <n v="2199"/>
    <n v="1122"/>
    <n v="0"/>
    <n v="116"/>
    <n v="0"/>
    <n v="2083"/>
    <n v="11"/>
    <n v="0"/>
    <n v="0"/>
    <n v="0.51023192360163716"/>
    <n v="5.2808449351896304E-3"/>
  </r>
  <r>
    <x v="1345"/>
    <s v="b3S"/>
    <x v="5"/>
    <n v="2"/>
    <x v="0"/>
    <s v="SAO PAULO"/>
    <s v="SP"/>
    <n v="2163"/>
    <n v="962"/>
    <n v="1102"/>
    <n v="1408"/>
    <n v="1253"/>
    <n v="755"/>
    <n v="-60"/>
    <n v="0"/>
    <n v="1"/>
    <n v="0.44475265834489136"/>
    <n v="-7.9470198675496692E-2"/>
  </r>
  <r>
    <x v="1346"/>
    <s v="b3S"/>
    <x v="5"/>
    <n v="2"/>
    <x v="0"/>
    <s v="SAO PAULO"/>
    <s v="SP"/>
    <n v="2144"/>
    <n v="1711"/>
    <n v="0"/>
    <n v="211"/>
    <n v="0"/>
    <n v="1933"/>
    <n v="4"/>
    <n v="0"/>
    <n v="0"/>
    <n v="0.79804104477611937"/>
    <n v="2.0693222969477496E-3"/>
  </r>
  <r>
    <x v="1347"/>
    <s v="n2"/>
    <x v="4"/>
    <n v="2"/>
    <x v="0"/>
    <s v="CURITIBA"/>
    <s v="PR"/>
    <n v="2134"/>
    <n v="0"/>
    <n v="0"/>
    <n v="1491"/>
    <n v="0"/>
    <n v="644"/>
    <n v="-389"/>
    <n v="2"/>
    <n v="0"/>
    <n v="0"/>
    <n v="-0.60403726708074534"/>
  </r>
  <r>
    <x v="1348"/>
    <s v="b3S"/>
    <x v="5"/>
    <n v="2"/>
    <x v="0"/>
    <s v="VICOSA"/>
    <s v="MG"/>
    <n v="2116"/>
    <n v="1575"/>
    <n v="478"/>
    <n v="155"/>
    <n v="0"/>
    <n v="1961"/>
    <n v="115"/>
    <n v="0"/>
    <n v="0"/>
    <n v="0.74432892249527405"/>
    <n v="5.8643549209586948E-2"/>
  </r>
  <r>
    <x v="1349"/>
    <s v="n1"/>
    <x v="5"/>
    <n v="2"/>
    <x v="0"/>
    <s v="SAO PAULO"/>
    <s v="SP"/>
    <n v="2075"/>
    <n v="0"/>
    <n v="2049"/>
    <n v="461"/>
    <n v="0"/>
    <n v="1614"/>
    <n v="108"/>
    <n v="2"/>
    <n v="0"/>
    <n v="0"/>
    <n v="6.6914498141263934E-2"/>
  </r>
  <r>
    <x v="1350"/>
    <s v="n2"/>
    <x v="5"/>
    <n v="2"/>
    <x v="0"/>
    <s v="RIO DE JANEIRO"/>
    <s v="RJ"/>
    <n v="2029"/>
    <n v="0"/>
    <n v="1663"/>
    <n v="951"/>
    <n v="0"/>
    <n v="1078"/>
    <n v="473"/>
    <n v="3"/>
    <n v="0"/>
    <n v="0"/>
    <n v="0.43877551020408162"/>
  </r>
  <r>
    <x v="1351"/>
    <s v="b3S"/>
    <x v="5"/>
    <n v="2"/>
    <x v="0"/>
    <s v="CANOAS"/>
    <s v="RS"/>
    <n v="1975"/>
    <n v="1359"/>
    <n v="504"/>
    <n v="387"/>
    <n v="325"/>
    <n v="1589"/>
    <n v="37"/>
    <n v="0"/>
    <n v="0"/>
    <n v="0.68810126582278486"/>
    <n v="2.3285084959093771E-2"/>
  </r>
  <r>
    <x v="1352"/>
    <s v="n1"/>
    <x v="5"/>
    <n v="2"/>
    <x v="0"/>
    <s v="DOURADOS"/>
    <s v="MS"/>
    <n v="1949"/>
    <n v="1474"/>
    <n v="383"/>
    <n v="62"/>
    <n v="0"/>
    <n v="1886"/>
    <n v="219"/>
    <n v="2"/>
    <n v="0"/>
    <n v="0.75628527449974348"/>
    <n v="0.11611876988335101"/>
  </r>
  <r>
    <x v="1353"/>
    <s v="b3S"/>
    <x v="5"/>
    <n v="2"/>
    <x v="0"/>
    <s v="CURITIBA"/>
    <s v="PR"/>
    <n v="1890"/>
    <n v="637"/>
    <n v="1196"/>
    <n v="76"/>
    <n v="0"/>
    <n v="1813"/>
    <n v="48"/>
    <n v="0"/>
    <n v="0"/>
    <n v="0.33703703703703702"/>
    <n v="2.6475455046883617E-2"/>
  </r>
  <r>
    <x v="1354"/>
    <s v="b3S"/>
    <x v="5"/>
    <n v="2"/>
    <x v="0"/>
    <s v="JUIZ DE FORA"/>
    <s v="MG"/>
    <n v="1874"/>
    <n v="1344"/>
    <n v="210"/>
    <n v="193"/>
    <n v="0"/>
    <n v="1682"/>
    <n v="23"/>
    <n v="0"/>
    <n v="0"/>
    <n v="0.71718249733191031"/>
    <n v="1.3674197384066587E-2"/>
  </r>
  <r>
    <x v="1355"/>
    <s v="b3S"/>
    <x v="5"/>
    <n v="2"/>
    <x v="0"/>
    <s v="VOTORANTIM"/>
    <s v="SP"/>
    <n v="1869"/>
    <n v="1502"/>
    <n v="287"/>
    <n v="50"/>
    <n v="0"/>
    <n v="1819"/>
    <n v="57"/>
    <n v="0"/>
    <n v="0"/>
    <n v="0.80363830925628676"/>
    <n v="3.1335898845519516E-2"/>
  </r>
  <r>
    <x v="1356"/>
    <s v="n4"/>
    <x v="3"/>
    <n v="2"/>
    <x v="0"/>
    <s v="SAO PAULO"/>
    <s v="SP"/>
    <n v="1839"/>
    <n v="0"/>
    <n v="314"/>
    <n v="641"/>
    <n v="0"/>
    <n v="1198"/>
    <n v="984"/>
    <n v="1"/>
    <n v="0"/>
    <n v="0"/>
    <n v="0.82136894824707851"/>
  </r>
  <r>
    <x v="1357"/>
    <s v="n1"/>
    <x v="5"/>
    <n v="2"/>
    <x v="0"/>
    <s v="BELO HORIZONTE"/>
    <s v="MG"/>
    <n v="1792"/>
    <n v="0"/>
    <n v="336"/>
    <n v="199"/>
    <n v="0"/>
    <n v="1593"/>
    <n v="5"/>
    <n v="2"/>
    <n v="0"/>
    <n v="0"/>
    <n v="3.1387319522912741E-3"/>
  </r>
  <r>
    <x v="1358"/>
    <s v="b3S"/>
    <x v="5"/>
    <n v="2"/>
    <x v="0"/>
    <s v="BAURU"/>
    <s v="SP"/>
    <n v="1781"/>
    <n v="1088"/>
    <n v="521"/>
    <n v="653"/>
    <n v="0"/>
    <n v="1127"/>
    <n v="59"/>
    <n v="0"/>
    <n v="0"/>
    <n v="0.61089275687815836"/>
    <n v="5.2351375332741791E-2"/>
  </r>
  <r>
    <x v="1359"/>
    <s v="b3S"/>
    <x v="5"/>
    <n v="2"/>
    <x v="0"/>
    <s v="ILHEUS"/>
    <s v="BA"/>
    <n v="1693"/>
    <n v="1310"/>
    <n v="323"/>
    <n v="33"/>
    <n v="0"/>
    <n v="1660"/>
    <n v="27"/>
    <n v="0"/>
    <n v="0"/>
    <n v="0.77377436503248676"/>
    <n v="1.6265060240963854E-2"/>
  </r>
  <r>
    <x v="1360"/>
    <s v="n1"/>
    <x v="5"/>
    <n v="2"/>
    <x v="0"/>
    <s v="BRASILIA"/>
    <s v="DF"/>
    <n v="1639"/>
    <n v="0"/>
    <n v="0"/>
    <n v="1944"/>
    <n v="0"/>
    <n v="-305"/>
    <n v="336"/>
    <n v="2"/>
    <n v="0"/>
    <n v="0"/>
    <n v="-1.1016393442622952"/>
  </r>
  <r>
    <x v="1361"/>
    <s v="n4"/>
    <x v="3"/>
    <n v="2"/>
    <x v="0"/>
    <s v="SAO PAULO"/>
    <s v="SP"/>
    <n v="1617"/>
    <n v="0"/>
    <n v="412"/>
    <n v="5"/>
    <n v="0"/>
    <n v="1611"/>
    <n v="-10"/>
    <n v="1"/>
    <n v="0"/>
    <n v="0"/>
    <n v="-6.2073246430788334E-3"/>
  </r>
  <r>
    <x v="1362"/>
    <s v="n2"/>
    <x v="5"/>
    <n v="2"/>
    <x v="0"/>
    <s v="MARINGA"/>
    <s v="PR"/>
    <n v="1581"/>
    <n v="0"/>
    <n v="0"/>
    <n v="155"/>
    <n v="0"/>
    <n v="1425"/>
    <n v="27"/>
    <n v="2"/>
    <n v="0"/>
    <n v="0"/>
    <n v="1.8947368421052633E-2"/>
  </r>
  <r>
    <x v="1363"/>
    <s v="n2"/>
    <x v="4"/>
    <n v="2"/>
    <x v="0"/>
    <s v="SAO PAULO"/>
    <s v="SP"/>
    <n v="1566"/>
    <n v="0"/>
    <n v="0"/>
    <n v="766"/>
    <n v="0"/>
    <n v="800"/>
    <n v="-619"/>
    <n v="2"/>
    <n v="0"/>
    <n v="0"/>
    <n v="-0.77375000000000005"/>
  </r>
  <r>
    <x v="1364"/>
    <s v="n1"/>
    <x v="5"/>
    <n v="2"/>
    <x v="0"/>
    <s v="CAMPO GRANDE"/>
    <s v="MS"/>
    <n v="1541"/>
    <n v="1304"/>
    <n v="11"/>
    <n v="76"/>
    <n v="0"/>
    <n v="1465"/>
    <n v="2"/>
    <n v="2"/>
    <n v="0"/>
    <n v="0.84620376378974693"/>
    <n v="1.3651877133105802E-3"/>
  </r>
  <r>
    <x v="1365"/>
    <s v="b3S"/>
    <x v="5"/>
    <n v="2"/>
    <x v="0"/>
    <s v="UBA"/>
    <s v="MG"/>
    <n v="1514"/>
    <n v="898"/>
    <n v="378"/>
    <n v="173"/>
    <n v="0"/>
    <n v="1341"/>
    <n v="32"/>
    <n v="0"/>
    <n v="0"/>
    <n v="0.59313077939233816"/>
    <n v="2.3862788963460103E-2"/>
  </r>
  <r>
    <x v="1366"/>
    <s v="b3S"/>
    <x v="5"/>
    <n v="2"/>
    <x v="0"/>
    <s v="ITAPISSUMA"/>
    <s v="PE"/>
    <n v="1483"/>
    <n v="573"/>
    <n v="838"/>
    <n v="43"/>
    <n v="0"/>
    <n v="1440"/>
    <n v="-54"/>
    <n v="0"/>
    <n v="0"/>
    <n v="0.38637896156439649"/>
    <n v="-3.7499999999999999E-2"/>
  </r>
  <r>
    <x v="1367"/>
    <s v="b3S"/>
    <x v="5"/>
    <n v="2"/>
    <x v="0"/>
    <s v="VITORIA"/>
    <s v="ES"/>
    <n v="1449"/>
    <n v="598"/>
    <n v="491"/>
    <n v="22"/>
    <n v="0"/>
    <n v="1427"/>
    <n v="6"/>
    <n v="0"/>
    <n v="0"/>
    <n v="0.41269841269841268"/>
    <n v="4.2046250875963564E-3"/>
  </r>
  <r>
    <x v="1368"/>
    <s v="b3S"/>
    <x v="5"/>
    <n v="2"/>
    <x v="0"/>
    <s v="OTACILIO COSTA"/>
    <s v="SC"/>
    <n v="1443"/>
    <n v="1059"/>
    <n v="54"/>
    <n v="628"/>
    <n v="615"/>
    <n v="814"/>
    <n v="84"/>
    <n v="0"/>
    <n v="0"/>
    <n v="0.73388773388773387"/>
    <n v="0.10319410319410319"/>
  </r>
  <r>
    <x v="1369"/>
    <s v="n1"/>
    <x v="5"/>
    <n v="2"/>
    <x v="0"/>
    <s v="PORTO ALEGRE"/>
    <s v="RS"/>
    <n v="1435"/>
    <n v="1311"/>
    <n v="0"/>
    <n v="134"/>
    <n v="0"/>
    <n v="1301"/>
    <n v="-540"/>
    <n v="2"/>
    <n v="0"/>
    <n v="0.91358885017421598"/>
    <n v="-0.41506533435818599"/>
  </r>
  <r>
    <x v="1370"/>
    <s v="b3S"/>
    <x v="5"/>
    <n v="2"/>
    <x v="0"/>
    <s v="RIO DE JANEIRO"/>
    <s v="RJ"/>
    <n v="1431"/>
    <n v="1055"/>
    <n v="13"/>
    <n v="30"/>
    <n v="0"/>
    <n v="1402"/>
    <n v="45"/>
    <n v="0"/>
    <n v="0"/>
    <n v="0.7372466806429071"/>
    <n v="3.209700427960057E-2"/>
  </r>
  <r>
    <x v="1371"/>
    <s v="b3S"/>
    <x v="5"/>
    <n v="2"/>
    <x v="0"/>
    <s v="SUMARE"/>
    <s v="SP"/>
    <n v="1380"/>
    <n v="555"/>
    <n v="645"/>
    <n v="10"/>
    <n v="0"/>
    <n v="1369"/>
    <n v="16"/>
    <n v="0"/>
    <n v="0"/>
    <n v="0.40217391304347827"/>
    <n v="1.168736303871439E-2"/>
  </r>
  <r>
    <x v="1372"/>
    <s v="n1"/>
    <x v="5"/>
    <n v="2"/>
    <x v="0"/>
    <s v="SAO PAULO"/>
    <s v="SP"/>
    <n v="1378"/>
    <n v="0"/>
    <n v="1229"/>
    <n v="320"/>
    <n v="0"/>
    <n v="1058"/>
    <n v="18"/>
    <n v="2"/>
    <n v="0"/>
    <n v="0"/>
    <n v="1.7013232514177693E-2"/>
  </r>
  <r>
    <x v="1373"/>
    <s v="n1"/>
    <x v="5"/>
    <n v="3"/>
    <x v="2"/>
    <s v="SAO PAULO"/>
    <s v="SP"/>
    <n v="1351"/>
    <n v="18"/>
    <n v="1286"/>
    <n v="249"/>
    <n v="0"/>
    <n v="1102"/>
    <n v="-202"/>
    <n v="2"/>
    <n v="0"/>
    <n v="1.3323464100666173E-2"/>
    <n v="-0.18330308529945555"/>
  </r>
  <r>
    <x v="1374"/>
    <s v="n1"/>
    <x v="5"/>
    <n v="2"/>
    <x v="0"/>
    <s v="SAO PAULO"/>
    <s v="SP"/>
    <n v="1307"/>
    <n v="4"/>
    <n v="0"/>
    <n v="0"/>
    <n v="0"/>
    <n v="1307"/>
    <n v="0"/>
    <n v="2"/>
    <n v="0"/>
    <n v="3.06044376434583E-3"/>
    <n v="0"/>
  </r>
  <r>
    <x v="1375"/>
    <s v="n2"/>
    <x v="5"/>
    <n v="2"/>
    <x v="0"/>
    <s v="SALVADOR"/>
    <s v="BA"/>
    <n v="1249"/>
    <n v="0"/>
    <n v="0"/>
    <n v="334"/>
    <n v="0"/>
    <n v="916"/>
    <n v="-238"/>
    <n v="2"/>
    <n v="0"/>
    <n v="0"/>
    <n v="-0.25982532751091703"/>
  </r>
  <r>
    <x v="1376"/>
    <s v="b3S"/>
    <x v="5"/>
    <n v="2"/>
    <x v="0"/>
    <s v="SAO PAULO"/>
    <s v="SP"/>
    <n v="1247"/>
    <n v="1166"/>
    <n v="0"/>
    <n v="1034"/>
    <n v="0"/>
    <n v="213"/>
    <n v="-244"/>
    <n v="0"/>
    <n v="0"/>
    <n v="0.93504410585404973"/>
    <n v="-1.1455399061032865"/>
  </r>
  <r>
    <x v="1377"/>
    <s v="b3S"/>
    <x v="5"/>
    <n v="2"/>
    <x v="0"/>
    <s v="RIBEIRAO PRETO"/>
    <s v="SP"/>
    <n v="1235"/>
    <n v="573"/>
    <n v="599"/>
    <n v="136"/>
    <n v="0"/>
    <n v="1099"/>
    <n v="14"/>
    <n v="0"/>
    <n v="0"/>
    <n v="0.46396761133603237"/>
    <n v="1.2738853503184714E-2"/>
  </r>
  <r>
    <x v="1378"/>
    <s v="b3S"/>
    <x v="5"/>
    <n v="2"/>
    <x v="0"/>
    <s v="NITEROI"/>
    <s v="RJ"/>
    <n v="1194"/>
    <n v="921"/>
    <n v="52"/>
    <n v="80"/>
    <n v="0"/>
    <n v="1114"/>
    <n v="-6"/>
    <n v="0"/>
    <n v="0"/>
    <n v="0.77135678391959794"/>
    <n v="-5.3859964093357273E-3"/>
  </r>
  <r>
    <x v="1379"/>
    <s v="n2"/>
    <x v="5"/>
    <n v="2"/>
    <x v="0"/>
    <s v="SAO PAULO"/>
    <s v="SP"/>
    <n v="1179"/>
    <n v="0"/>
    <n v="353"/>
    <n v="382"/>
    <n v="0"/>
    <n v="798"/>
    <n v="267"/>
    <n v="2"/>
    <n v="0"/>
    <n v="0"/>
    <n v="0.33458646616541354"/>
  </r>
  <r>
    <x v="1380"/>
    <s v="b3S"/>
    <x v="5"/>
    <n v="2"/>
    <x v="0"/>
    <s v="PORTO ALEGRE"/>
    <s v="RS"/>
    <n v="1170"/>
    <n v="679"/>
    <n v="0"/>
    <n v="775"/>
    <n v="0"/>
    <n v="395"/>
    <n v="-384"/>
    <n v="0"/>
    <n v="0"/>
    <n v="0.58034188034188039"/>
    <n v="-0.97215189873417718"/>
  </r>
  <r>
    <x v="1381"/>
    <s v="b3S"/>
    <x v="5"/>
    <n v="2"/>
    <x v="0"/>
    <s v="BELO HORIZONTE"/>
    <s v="MG"/>
    <n v="1167"/>
    <n v="997"/>
    <n v="0"/>
    <n v="44"/>
    <n v="0"/>
    <n v="1122"/>
    <n v="82"/>
    <n v="0"/>
    <n v="0"/>
    <n v="0.85432733504712943"/>
    <n v="7.3083778966131913E-2"/>
  </r>
  <r>
    <x v="1382"/>
    <s v="n1"/>
    <x v="5"/>
    <n v="2"/>
    <x v="0"/>
    <s v="SAO PAULO"/>
    <s v="SP"/>
    <n v="1113"/>
    <n v="661"/>
    <n v="45"/>
    <n v="29"/>
    <n v="0"/>
    <n v="1084"/>
    <n v="-242"/>
    <n v="2"/>
    <n v="0"/>
    <n v="0.59389038634321656"/>
    <n v="-0.22324723247232472"/>
  </r>
  <r>
    <x v="1383"/>
    <s v="n1"/>
    <x v="5"/>
    <n v="2"/>
    <x v="0"/>
    <s v="GOIANIA"/>
    <s v="GO"/>
    <n v="1100"/>
    <n v="32"/>
    <n v="1019"/>
    <n v="29"/>
    <n v="0"/>
    <n v="1071"/>
    <n v="-48"/>
    <n v="2"/>
    <n v="0"/>
    <n v="2.9090909090909091E-2"/>
    <n v="-4.4817927170868348E-2"/>
  </r>
  <r>
    <x v="1384"/>
    <s v="n2"/>
    <x v="5"/>
    <n v="2"/>
    <x v="0"/>
    <s v="CURITIBA"/>
    <s v="PR"/>
    <n v="1087"/>
    <n v="0"/>
    <n v="843"/>
    <n v="9"/>
    <n v="0"/>
    <n v="1078"/>
    <n v="-30"/>
    <n v="2"/>
    <n v="0"/>
    <n v="0"/>
    <n v="-2.7829313543599257E-2"/>
  </r>
  <r>
    <x v="1385"/>
    <s v="b3S"/>
    <x v="5"/>
    <n v="2"/>
    <x v="0"/>
    <s v="CATALAO"/>
    <s v="GO"/>
    <n v="1080"/>
    <n v="556"/>
    <n v="151"/>
    <n v="63"/>
    <n v="0"/>
    <n v="1017"/>
    <n v="39"/>
    <n v="0"/>
    <n v="0"/>
    <n v="0.51481481481481484"/>
    <n v="3.8348082595870206E-2"/>
  </r>
  <r>
    <x v="1386"/>
    <s v="n1"/>
    <x v="5"/>
    <n v="2"/>
    <x v="0"/>
    <s v="PORTO ALEGRE"/>
    <s v="RS"/>
    <n v="1074"/>
    <n v="0"/>
    <n v="965"/>
    <n v="91"/>
    <n v="0"/>
    <n v="983"/>
    <n v="-40"/>
    <n v="2"/>
    <n v="0"/>
    <n v="0"/>
    <n v="-4.0691759918616482E-2"/>
  </r>
  <r>
    <x v="1387"/>
    <s v="n2"/>
    <x v="5"/>
    <n v="2"/>
    <x v="0"/>
    <s v="BELO HORIZONTE"/>
    <s v="MG"/>
    <n v="1070"/>
    <n v="0"/>
    <n v="704"/>
    <n v="111"/>
    <n v="0"/>
    <n v="960"/>
    <n v="317"/>
    <n v="2"/>
    <n v="0"/>
    <n v="0"/>
    <n v="0.33020833333333333"/>
  </r>
  <r>
    <x v="1388"/>
    <s v="n2"/>
    <x v="5"/>
    <n v="2"/>
    <x v="0"/>
    <s v="SAO JOSE DOS PINHAIS"/>
    <s v="PR"/>
    <n v="1022"/>
    <n v="0"/>
    <n v="450"/>
    <n v="257"/>
    <n v="0"/>
    <n v="765"/>
    <n v="-140"/>
    <n v="2"/>
    <n v="0"/>
    <n v="0"/>
    <n v="-0.18300653594771241"/>
  </r>
  <r>
    <x v="1389"/>
    <s v="b3S"/>
    <x v="5"/>
    <n v="2"/>
    <x v="0"/>
    <s v="JOAO PESSOA"/>
    <s v="PB"/>
    <n v="1001"/>
    <n v="374"/>
    <n v="0"/>
    <n v="1072"/>
    <n v="0"/>
    <n v="-71"/>
    <n v="-307"/>
    <n v="0"/>
    <n v="0"/>
    <n v="0.37362637362637363"/>
    <n v="4.323943661971831"/>
  </r>
  <r>
    <x v="1390"/>
    <s v="n1"/>
    <x v="5"/>
    <n v="2"/>
    <x v="0"/>
    <s v="JARAGUA DO SUL"/>
    <s v="SC"/>
    <n v="990"/>
    <n v="0"/>
    <n v="0"/>
    <n v="1"/>
    <n v="0"/>
    <n v="989"/>
    <n v="-78"/>
    <n v="2"/>
    <n v="0"/>
    <n v="0"/>
    <n v="-7.8867542972699697E-2"/>
  </r>
  <r>
    <x v="1391"/>
    <s v="n1"/>
    <x v="5"/>
    <n v="2"/>
    <x v="0"/>
    <s v="JOINVILLE"/>
    <s v="SC"/>
    <n v="938"/>
    <n v="463"/>
    <n v="0"/>
    <n v="9"/>
    <n v="0"/>
    <n v="928"/>
    <n v="-98"/>
    <n v="2"/>
    <n v="0"/>
    <n v="0.49360341151385928"/>
    <n v="-0.10560344827586207"/>
  </r>
  <r>
    <x v="1392"/>
    <s v="b3S"/>
    <x v="5"/>
    <n v="2"/>
    <x v="0"/>
    <s v="CACHOEIRINHA"/>
    <s v="RS"/>
    <n v="913"/>
    <n v="743"/>
    <n v="0"/>
    <n v="15"/>
    <n v="0"/>
    <n v="898"/>
    <n v="-19"/>
    <n v="0"/>
    <n v="0"/>
    <n v="0.81380065717415118"/>
    <n v="-2.1158129175946547E-2"/>
  </r>
  <r>
    <x v="1393"/>
    <s v="b3S"/>
    <x v="5"/>
    <n v="2"/>
    <x v="0"/>
    <s v="SAO GONCALO"/>
    <s v="RJ"/>
    <n v="832"/>
    <n v="321"/>
    <n v="257"/>
    <n v="18"/>
    <n v="0"/>
    <n v="814"/>
    <n v="-34"/>
    <n v="0"/>
    <n v="0"/>
    <n v="0.38581730769230771"/>
    <n v="-4.1769041769041768E-2"/>
  </r>
  <r>
    <x v="1394"/>
    <s v="b3S"/>
    <x v="5"/>
    <n v="2"/>
    <x v="0"/>
    <s v="BELO HORIZONTE"/>
    <s v="MG"/>
    <n v="804"/>
    <n v="714"/>
    <n v="37"/>
    <n v="47"/>
    <n v="0"/>
    <n v="757"/>
    <n v="11"/>
    <n v="0"/>
    <n v="0"/>
    <n v="0.88805970149253732"/>
    <n v="1.4531043593130779E-2"/>
  </r>
  <r>
    <x v="1395"/>
    <s v="n4"/>
    <x v="3"/>
    <n v="2"/>
    <x v="0"/>
    <s v="BARUERI"/>
    <s v="SP"/>
    <n v="687"/>
    <n v="0"/>
    <n v="63"/>
    <n v="0"/>
    <n v="0"/>
    <n v="687"/>
    <n v="-105"/>
    <n v="1"/>
    <n v="0"/>
    <n v="0"/>
    <n v="-0.15283842794759825"/>
  </r>
  <r>
    <x v="1396"/>
    <s v="b3S"/>
    <x v="5"/>
    <n v="2"/>
    <x v="0"/>
    <s v="URUCANIA"/>
    <s v="MG"/>
    <n v="598"/>
    <n v="13"/>
    <n v="500"/>
    <n v="297"/>
    <n v="0"/>
    <n v="301"/>
    <n v="-44"/>
    <n v="0"/>
    <n v="0"/>
    <n v="2.1739130434782608E-2"/>
    <n v="-0.1461794019933555"/>
  </r>
  <r>
    <x v="1397"/>
    <s v="b3S"/>
    <x v="5"/>
    <n v="2"/>
    <x v="0"/>
    <s v="RIO DE JANEIRO"/>
    <s v="RJ"/>
    <n v="595"/>
    <n v="433"/>
    <n v="3"/>
    <n v="143"/>
    <n v="0"/>
    <n v="453"/>
    <n v="-68"/>
    <n v="0"/>
    <n v="0"/>
    <n v="0.72773109243697476"/>
    <n v="-0.15011037527593818"/>
  </r>
  <r>
    <x v="1398"/>
    <s v="b3S"/>
    <x v="5"/>
    <n v="2"/>
    <x v="0"/>
    <s v="BOTUCATU"/>
    <s v="SP"/>
    <n v="562"/>
    <n v="176"/>
    <n v="0"/>
    <n v="12"/>
    <n v="0"/>
    <n v="549"/>
    <n v="5"/>
    <n v="0"/>
    <n v="0"/>
    <n v="0.31316725978647686"/>
    <n v="9.1074681238615673E-3"/>
  </r>
  <r>
    <x v="1399"/>
    <s v="n2"/>
    <x v="5"/>
    <n v="2"/>
    <x v="0"/>
    <s v="CURITIBA"/>
    <s v="PR"/>
    <n v="557"/>
    <n v="0"/>
    <n v="373"/>
    <n v="5"/>
    <n v="0"/>
    <n v="552"/>
    <n v="-84"/>
    <n v="2"/>
    <n v="0"/>
    <n v="0"/>
    <n v="-0.15217391304347827"/>
  </r>
  <r>
    <x v="1400"/>
    <s v="n2"/>
    <x v="4"/>
    <n v="2"/>
    <x v="0"/>
    <s v="RIO DE JANEIRO"/>
    <s v="RJ"/>
    <n v="557"/>
    <n v="0"/>
    <n v="403"/>
    <n v="7"/>
    <n v="0"/>
    <n v="550"/>
    <n v="-51"/>
    <n v="2"/>
    <n v="0"/>
    <n v="0"/>
    <n v="-9.2727272727272728E-2"/>
  </r>
  <r>
    <x v="1401"/>
    <s v="b3S"/>
    <x v="5"/>
    <n v="2"/>
    <x v="0"/>
    <s v="CASCAVEL"/>
    <s v="PR"/>
    <n v="535"/>
    <n v="312"/>
    <n v="209"/>
    <n v="32"/>
    <n v="0"/>
    <n v="502"/>
    <n v="-26"/>
    <n v="0"/>
    <n v="0"/>
    <n v="0.58317757009345794"/>
    <n v="-5.1792828685258967E-2"/>
  </r>
  <r>
    <x v="1402"/>
    <s v="b3S"/>
    <x v="5"/>
    <n v="2"/>
    <x v="0"/>
    <s v="JUIZ DE FORA"/>
    <s v="MG"/>
    <n v="493"/>
    <n v="251"/>
    <n v="0"/>
    <n v="25"/>
    <n v="0"/>
    <n v="469"/>
    <n v="0"/>
    <n v="0"/>
    <n v="0"/>
    <n v="0.50912778904665312"/>
    <n v="0"/>
  </r>
  <r>
    <x v="1403"/>
    <s v="b3S"/>
    <x v="5"/>
    <n v="2"/>
    <x v="0"/>
    <s v="SOROCABA"/>
    <s v="SP"/>
    <n v="436"/>
    <n v="191"/>
    <n v="174"/>
    <n v="100"/>
    <n v="0"/>
    <n v="336"/>
    <n v="30"/>
    <n v="0"/>
    <n v="0"/>
    <n v="0.43807339449541283"/>
    <n v="8.9285714285714288E-2"/>
  </r>
  <r>
    <x v="1404"/>
    <s v="n2"/>
    <x v="5"/>
    <n v="2"/>
    <x v="0"/>
    <s v="CURITIBA"/>
    <s v="PR"/>
    <n v="401"/>
    <n v="0"/>
    <n v="0"/>
    <n v="5"/>
    <n v="0"/>
    <n v="396"/>
    <n v="26"/>
    <n v="2"/>
    <n v="0"/>
    <n v="0"/>
    <n v="6.5656565656565663E-2"/>
  </r>
  <r>
    <x v="1405"/>
    <s v="n2"/>
    <x v="5"/>
    <n v="2"/>
    <x v="0"/>
    <s v="SAO PAULO"/>
    <s v="SP"/>
    <n v="365"/>
    <n v="0"/>
    <n v="333"/>
    <n v="143"/>
    <n v="0"/>
    <n v="222"/>
    <n v="-178"/>
    <n v="2"/>
    <n v="0"/>
    <n v="0"/>
    <n v="-0.801801801801801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D92DE-8963-4977-8E13-8C370EEABF2E}" name="Ativo_Top10" cacheId="19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egmento">
  <location ref="A39:B50" firstHeaderRow="1" firstDataRow="1" firstDataCol="1"/>
  <pivotFields count="18">
    <pivotField axis="axisRow" showAll="0" measureFilter="1" sortType="ascending">
      <items count="1409">
        <item x="220"/>
        <item x="882"/>
        <item x="1241"/>
        <item x="1041"/>
        <item x="1070"/>
        <item x="27"/>
        <item x="252"/>
        <item x="821"/>
        <item x="557"/>
        <item x="744"/>
        <item x="1140"/>
        <item x="968"/>
        <item x="225"/>
        <item x="327"/>
        <item x="945"/>
        <item x="677"/>
        <item x="1101"/>
        <item x="719"/>
        <item x="901"/>
        <item x="301"/>
        <item x="652"/>
        <item x="484"/>
        <item x="893"/>
        <item x="175"/>
        <item x="858"/>
        <item x="753"/>
        <item x="33"/>
        <item x="1024"/>
        <item x="622"/>
        <item x="372"/>
        <item x="576"/>
        <item x="721"/>
        <item x="1129"/>
        <item x="1155"/>
        <item x="196"/>
        <item x="1130"/>
        <item x="1257"/>
        <item x="1242"/>
        <item x="914"/>
        <item x="236"/>
        <item x="239"/>
        <item x="1054"/>
        <item x="1055"/>
        <item x="98"/>
        <item x="804"/>
        <item x="1078"/>
        <item x="1125"/>
        <item x="732"/>
        <item x="1212"/>
        <item x="905"/>
        <item x="1238"/>
        <item x="849"/>
        <item x="1400"/>
        <item x="1319"/>
        <item x="1003"/>
        <item x="974"/>
        <item x="950"/>
        <item x="975"/>
        <item x="206"/>
        <item x="1293"/>
        <item x="260"/>
        <item x="369"/>
        <item x="375"/>
        <item x="30"/>
        <item x="240"/>
        <item x="110"/>
        <item x="193"/>
        <item x="142"/>
        <item x="909"/>
        <item x="39"/>
        <item x="51"/>
        <item x="10"/>
        <item x="60"/>
        <item x="52"/>
        <item x="28"/>
        <item x="75"/>
        <item x="300"/>
        <item x="873"/>
        <item x="762"/>
        <item x="91"/>
        <item x="104"/>
        <item x="89"/>
        <item x="58"/>
        <item x="24"/>
        <item x="510"/>
        <item x="54"/>
        <item x="66"/>
        <item x="71"/>
        <item x="406"/>
        <item x="79"/>
        <item x="896"/>
        <item x="234"/>
        <item x="367"/>
        <item x="364"/>
        <item x="190"/>
        <item x="77"/>
        <item x="344"/>
        <item x="94"/>
        <item m="1" x="1407"/>
        <item x="41"/>
        <item x="117"/>
        <item x="303"/>
        <item x="998"/>
        <item x="31"/>
        <item x="266"/>
        <item x="46"/>
        <item x="336"/>
        <item x="904"/>
        <item x="204"/>
        <item x="864"/>
        <item x="429"/>
        <item x="388"/>
        <item x="11"/>
        <item x="118"/>
        <item x="112"/>
        <item x="315"/>
        <item x="90"/>
        <item x="133"/>
        <item x="174"/>
        <item x="491"/>
        <item x="29"/>
        <item x="72"/>
        <item x="509"/>
        <item x="470"/>
        <item x="197"/>
        <item x="37"/>
        <item x="14"/>
        <item x="144"/>
        <item x="1215"/>
        <item x="269"/>
        <item x="674"/>
        <item x="1106"/>
        <item x="1"/>
        <item x="221"/>
        <item x="1206"/>
        <item x="698"/>
        <item x="1103"/>
        <item x="801"/>
        <item x="1115"/>
        <item x="1284"/>
        <item x="1148"/>
        <item x="649"/>
        <item x="969"/>
        <item x="1307"/>
        <item x="504"/>
        <item x="786"/>
        <item x="890"/>
        <item x="555"/>
        <item x="1174"/>
        <item x="34"/>
        <item x="1030"/>
        <item x="203"/>
        <item x="1045"/>
        <item x="434"/>
        <item x="1233"/>
        <item x="42"/>
        <item x="38"/>
        <item x="1056"/>
        <item x="752"/>
        <item x="1028"/>
        <item x="404"/>
        <item x="993"/>
        <item x="64"/>
        <item x="3"/>
        <item x="274"/>
        <item x="760"/>
        <item x="662"/>
        <item x="1160"/>
        <item x="1292"/>
        <item x="1258"/>
        <item x="669"/>
        <item x="687"/>
        <item x="1052"/>
        <item x="1210"/>
        <item x="405"/>
        <item x="973"/>
        <item x="954"/>
        <item x="6"/>
        <item x="458"/>
        <item x="1077"/>
        <item x="755"/>
        <item x="15"/>
        <item x="713"/>
        <item m="1" x="1406"/>
        <item x="332"/>
        <item x="667"/>
        <item x="770"/>
        <item x="828"/>
        <item x="718"/>
        <item x="1288"/>
        <item x="884"/>
        <item x="417"/>
        <item x="1291"/>
        <item x="577"/>
        <item x="1035"/>
        <item x="1245"/>
        <item x="56"/>
        <item x="1025"/>
        <item x="846"/>
        <item x="297"/>
        <item x="343"/>
        <item x="275"/>
        <item x="106"/>
        <item x="49"/>
        <item x="113"/>
        <item x="861"/>
        <item x="1386"/>
        <item x="356"/>
        <item x="18"/>
        <item x="13"/>
        <item x="514"/>
        <item x="1007"/>
        <item x="326"/>
        <item x="55"/>
        <item x="853"/>
        <item x="979"/>
        <item x="665"/>
        <item x="935"/>
        <item x="977"/>
        <item x="1040"/>
        <item x="994"/>
        <item x="538"/>
        <item x="122"/>
        <item x="485"/>
        <item x="490"/>
        <item x="1327"/>
        <item x="1117"/>
        <item x="1405"/>
        <item x="562"/>
        <item x="708"/>
        <item x="1020"/>
        <item x="791"/>
        <item x="886"/>
        <item x="980"/>
        <item x="946"/>
        <item x="78"/>
        <item x="67"/>
        <item x="313"/>
        <item x="108"/>
        <item x="44"/>
        <item x="48"/>
        <item x="76"/>
        <item x="61"/>
        <item x="127"/>
        <item x="145"/>
        <item x="126"/>
        <item x="68"/>
        <item x="511"/>
        <item x="382"/>
        <item x="730"/>
        <item x="257"/>
        <item x="311"/>
        <item x="245"/>
        <item x="929"/>
        <item x="513"/>
        <item x="508"/>
        <item x="731"/>
        <item x="283"/>
        <item x="869"/>
        <item x="213"/>
        <item x="132"/>
        <item x="306"/>
        <item x="135"/>
        <item x="512"/>
        <item x="542"/>
        <item x="467"/>
        <item x="706"/>
        <item x="907"/>
        <item x="299"/>
        <item x="855"/>
        <item x="83"/>
        <item x="474"/>
        <item x="1033"/>
        <item x="339"/>
        <item x="700"/>
        <item x="345"/>
        <item x="162"/>
        <item x="1094"/>
        <item x="380"/>
        <item x="500"/>
        <item x="362"/>
        <item x="574"/>
        <item x="548"/>
        <item x="488"/>
        <item x="664"/>
        <item x="561"/>
        <item x="394"/>
        <item x="354"/>
        <item x="671"/>
        <item x="518"/>
        <item x="759"/>
        <item x="392"/>
        <item x="967"/>
        <item x="307"/>
        <item x="62"/>
        <item x="335"/>
        <item x="585"/>
        <item x="435"/>
        <item x="710"/>
        <item x="478"/>
        <item x="399"/>
        <item x="314"/>
        <item x="476"/>
        <item x="281"/>
        <item x="784"/>
        <item x="475"/>
        <item x="604"/>
        <item x="505"/>
        <item x="353"/>
        <item x="566"/>
        <item x="805"/>
        <item x="358"/>
        <item x="451"/>
        <item x="877"/>
        <item x="614"/>
        <item x="558"/>
        <item x="210"/>
        <item x="383"/>
        <item x="402"/>
        <item x="702"/>
        <item x="347"/>
        <item x="377"/>
        <item x="638"/>
        <item x="403"/>
        <item x="214"/>
        <item x="691"/>
        <item x="517"/>
        <item x="350"/>
        <item x="740"/>
        <item x="457"/>
        <item x="552"/>
        <item x="324"/>
        <item x="387"/>
        <item x="633"/>
        <item x="531"/>
        <item x="465"/>
        <item x="738"/>
        <item x="560"/>
        <item x="288"/>
        <item x="1377"/>
        <item x="1381"/>
        <item x="265"/>
        <item x="926"/>
        <item x="814"/>
        <item x="711"/>
        <item x="544"/>
        <item x="103"/>
        <item x="847"/>
        <item x="496"/>
        <item x="701"/>
        <item x="754"/>
        <item x="448"/>
        <item x="507"/>
        <item x="724"/>
        <item x="323"/>
        <item x="524"/>
        <item x="271"/>
        <item x="438"/>
        <item x="422"/>
        <item x="741"/>
        <item x="750"/>
        <item x="289"/>
        <item x="454"/>
        <item x="318"/>
        <item x="903"/>
        <item x="276"/>
        <item x="292"/>
        <item x="433"/>
        <item x="575"/>
        <item x="703"/>
        <item x="355"/>
        <item x="768"/>
        <item x="96"/>
        <item x="251"/>
        <item x="765"/>
        <item x="191"/>
        <item x="515"/>
        <item x="319"/>
        <item x="587"/>
        <item x="620"/>
        <item x="143"/>
        <item x="237"/>
        <item x="253"/>
        <item x="368"/>
        <item x="684"/>
        <item x="373"/>
        <item x="482"/>
        <item x="287"/>
        <item x="119"/>
        <item x="227"/>
        <item x="550"/>
        <item x="370"/>
        <item x="395"/>
        <item x="455"/>
        <item x="551"/>
        <item x="618"/>
        <item x="636"/>
        <item x="735"/>
        <item x="694"/>
        <item x="348"/>
        <item x="692"/>
        <item x="655"/>
        <item x="479"/>
        <item x="610"/>
        <item x="398"/>
        <item x="605"/>
        <item x="581"/>
        <item x="539"/>
        <item x="497"/>
        <item x="720"/>
        <item x="498"/>
        <item x="792"/>
        <item x="534"/>
        <item x="294"/>
        <item x="696"/>
        <item x="423"/>
        <item x="165"/>
        <item x="621"/>
        <item x="140"/>
        <item x="553"/>
        <item x="775"/>
        <item x="640"/>
        <item x="386"/>
        <item x="559"/>
        <item x="785"/>
        <item x="547"/>
        <item x="194"/>
        <item x="360"/>
        <item x="771"/>
        <item x="195"/>
        <item x="233"/>
        <item x="156"/>
        <item x="626"/>
        <item x="230"/>
        <item x="469"/>
        <item x="270"/>
        <item x="450"/>
        <item x="459"/>
        <item x="444"/>
        <item x="413"/>
        <item x="530"/>
        <item x="583"/>
        <item x="421"/>
        <item x="535"/>
        <item x="321"/>
        <item x="705"/>
        <item x="556"/>
        <item x="678"/>
        <item x="767"/>
        <item x="835"/>
        <item x="366"/>
        <item x="578"/>
        <item x="401"/>
        <item x="439"/>
        <item x="779"/>
        <item x="854"/>
        <item x="1359"/>
        <item x="630"/>
        <item x="461"/>
        <item x="532"/>
        <item x="540"/>
        <item x="431"/>
        <item x="290"/>
        <item x="582"/>
        <item x="646"/>
        <item x="146"/>
        <item x="593"/>
        <item x="673"/>
        <item x="608"/>
        <item x="1259"/>
        <item x="879"/>
        <item x="1366"/>
        <item x="1221"/>
        <item x="1053"/>
        <item x="1059"/>
        <item x="1271"/>
        <item x="1367"/>
        <item x="811"/>
        <item x="1000"/>
        <item x="1371"/>
        <item x="729"/>
        <item x="588"/>
        <item x="1022"/>
        <item x="689"/>
        <item x="280"/>
        <item x="1261"/>
        <item x="381"/>
        <item x="584"/>
        <item x="683"/>
        <item x="432"/>
        <item x="1272"/>
        <item x="623"/>
        <item x="580"/>
        <item x="1069"/>
        <item x="1088"/>
        <item x="628"/>
        <item x="262"/>
        <item x="442"/>
        <item x="527"/>
        <item x="825"/>
        <item x="679"/>
        <item x="591"/>
        <item x="695"/>
        <item x="480"/>
        <item x="795"/>
        <item x="757"/>
        <item x="645"/>
        <item x="298"/>
        <item x="727"/>
        <item x="800"/>
        <item x="619"/>
        <item x="519"/>
        <item x="661"/>
        <item x="647"/>
        <item x="603"/>
        <item x="697"/>
        <item x="374"/>
        <item x="495"/>
        <item x="493"/>
        <item x="609"/>
        <item x="295"/>
        <item x="466"/>
        <item x="545"/>
        <item x="492"/>
        <item x="349"/>
        <item x="526"/>
        <item x="378"/>
        <item x="660"/>
        <item x="1134"/>
        <item x="441"/>
        <item x="267"/>
        <item x="384"/>
        <item x="536"/>
        <item x="242"/>
        <item x="420"/>
        <item x="426"/>
        <item x="351"/>
        <item x="428"/>
        <item x="563"/>
        <item x="579"/>
        <item x="412"/>
        <item x="445"/>
        <item x="200"/>
        <item x="400"/>
        <item x="248"/>
        <item x="282"/>
        <item x="685"/>
        <item x="393"/>
        <item x="376"/>
        <item x="328"/>
        <item x="296"/>
        <item x="516"/>
        <item x="359"/>
        <item x="163"/>
        <item x="120"/>
        <item x="322"/>
        <item x="337"/>
        <item x="528"/>
        <item x="802"/>
        <item x="1108"/>
        <item x="414"/>
        <item x="254"/>
        <item x="520"/>
        <item x="670"/>
        <item x="340"/>
        <item x="256"/>
        <item x="736"/>
        <item x="541"/>
        <item x="866"/>
        <item x="831"/>
        <item x="981"/>
        <item x="789"/>
        <item x="449"/>
        <item x="799"/>
        <item x="810"/>
        <item x="456"/>
        <item x="1234"/>
        <item x="826"/>
        <item x="1161"/>
        <item x="1138"/>
        <item x="1368"/>
        <item x="885"/>
        <item x="1345"/>
        <item x="1300"/>
        <item x="1225"/>
        <item x="1246"/>
        <item x="1079"/>
        <item x="809"/>
        <item x="1029"/>
        <item x="1183"/>
        <item x="1298"/>
        <item x="988"/>
        <item x="966"/>
        <item x="878"/>
        <item x="927"/>
        <item x="1353"/>
        <item x="773"/>
        <item x="419"/>
        <item x="571"/>
        <item x="410"/>
        <item x="371"/>
        <item x="437"/>
        <item x="776"/>
        <item x="726"/>
        <item x="409"/>
        <item x="263"/>
        <item x="235"/>
        <item x="464"/>
        <item x="648"/>
        <item x="1068"/>
        <item x="996"/>
        <item x="634"/>
        <item x="782"/>
        <item x="1165"/>
        <item x="948"/>
        <item x="594"/>
        <item x="334"/>
        <item x="471"/>
        <item x="489"/>
        <item x="635"/>
        <item x="908"/>
        <item x="722"/>
        <item x="709"/>
        <item x="568"/>
        <item x="790"/>
        <item x="1010"/>
        <item x="447"/>
        <item x="181"/>
        <item x="452"/>
        <item x="777"/>
        <item x="717"/>
        <item x="501"/>
        <item x="125"/>
        <item x="654"/>
        <item x="232"/>
        <item x="188"/>
        <item x="522"/>
        <item x="468"/>
        <item x="756"/>
        <item x="453"/>
        <item x="216"/>
        <item x="643"/>
        <item x="86"/>
        <item x="258"/>
        <item x="137"/>
        <item x="631"/>
        <item x="272"/>
        <item x="121"/>
        <item x="460"/>
        <item x="549"/>
        <item x="590"/>
        <item x="201"/>
        <item x="602"/>
        <item x="285"/>
        <item x="330"/>
        <item x="320"/>
        <item x="177"/>
        <item x="338"/>
        <item x="180"/>
        <item x="803"/>
        <item x="572"/>
        <item x="430"/>
        <item x="716"/>
        <item x="69"/>
        <item x="352"/>
        <item x="136"/>
        <item x="629"/>
        <item x="215"/>
        <item x="223"/>
        <item x="85"/>
        <item x="164"/>
        <item x="644"/>
        <item x="264"/>
        <item x="212"/>
        <item x="139"/>
        <item x="247"/>
        <item x="850"/>
        <item x="157"/>
        <item x="277"/>
        <item x="171"/>
        <item x="129"/>
        <item x="862"/>
        <item x="160"/>
        <item x="390"/>
        <item x="219"/>
        <item x="173"/>
        <item x="161"/>
        <item x="74"/>
        <item x="168"/>
        <item x="107"/>
        <item x="224"/>
        <item x="246"/>
        <item x="365"/>
        <item x="158"/>
        <item x="192"/>
        <item x="595"/>
        <item x="284"/>
        <item x="830"/>
        <item x="102"/>
        <item x="185"/>
        <item x="250"/>
        <item x="820"/>
        <item x="743"/>
        <item x="637"/>
        <item x="796"/>
        <item x="857"/>
        <item x="758"/>
        <item x="839"/>
        <item x="663"/>
        <item x="183"/>
        <item x="159"/>
        <item x="278"/>
        <item x="176"/>
        <item x="286"/>
        <item x="651"/>
        <item x="202"/>
        <item x="222"/>
        <item x="153"/>
        <item x="546"/>
        <item x="134"/>
        <item x="241"/>
        <item x="244"/>
        <item x="179"/>
        <item x="151"/>
        <item x="82"/>
        <item x="226"/>
        <item x="124"/>
        <item x="217"/>
        <item x="208"/>
        <item x="205"/>
        <item x="228"/>
        <item x="261"/>
        <item x="178"/>
        <item x="93"/>
        <item x="407"/>
        <item x="172"/>
        <item x="116"/>
        <item x="243"/>
        <item x="167"/>
        <item x="238"/>
        <item x="100"/>
        <item x="114"/>
        <item x="109"/>
        <item x="184"/>
        <item x="186"/>
        <item x="302"/>
        <item x="84"/>
        <item x="291"/>
        <item x="87"/>
        <item x="815"/>
        <item x="657"/>
        <item x="812"/>
        <item x="675"/>
        <item x="1194"/>
        <item x="793"/>
        <item x="924"/>
        <item x="688"/>
        <item x="1131"/>
        <item x="1112"/>
        <item x="1394"/>
        <item x="1402"/>
        <item x="1403"/>
        <item x="1063"/>
        <item x="1278"/>
        <item x="1017"/>
        <item x="1309"/>
        <item x="982"/>
        <item x="1064"/>
        <item x="920"/>
        <item x="1378"/>
        <item x="1248"/>
        <item x="1038"/>
        <item x="1136"/>
        <item x="1214"/>
        <item x="1348"/>
        <item x="1354"/>
        <item x="1320"/>
        <item x="1162"/>
        <item x="1223"/>
        <item x="938"/>
        <item x="1213"/>
        <item x="1385"/>
        <item x="1113"/>
        <item x="1335"/>
        <item x="1282"/>
        <item x="1351"/>
        <item x="1256"/>
        <item x="1193"/>
        <item x="1082"/>
        <item x="1085"/>
        <item x="1036"/>
        <item x="1346"/>
        <item x="1217"/>
        <item x="1016"/>
        <item x="1032"/>
        <item x="894"/>
        <item x="1318"/>
        <item x="1396"/>
        <item x="1222"/>
        <item x="1061"/>
        <item x="1105"/>
        <item x="1280"/>
        <item x="569"/>
        <item x="1332"/>
        <item x="898"/>
        <item x="1397"/>
        <item x="1110"/>
        <item x="949"/>
        <item x="1073"/>
        <item x="971"/>
        <item x="1201"/>
        <item x="1317"/>
        <item x="1095"/>
        <item x="1251"/>
        <item x="1393"/>
        <item x="881"/>
        <item x="1170"/>
        <item x="860"/>
        <item x="1296"/>
        <item x="1389"/>
        <item x="1102"/>
        <item x="1147"/>
        <item x="919"/>
        <item x="959"/>
        <item x="1376"/>
        <item x="1171"/>
        <item x="1005"/>
        <item x="1175"/>
        <item x="1370"/>
        <item x="976"/>
        <item x="1328"/>
        <item x="1184"/>
        <item x="1083"/>
        <item x="1401"/>
        <item x="699"/>
        <item x="1269"/>
        <item x="1014"/>
        <item x="1062"/>
        <item x="1305"/>
        <item x="1324"/>
        <item x="1043"/>
        <item x="1208"/>
        <item x="1203"/>
        <item x="1228"/>
        <item x="1249"/>
        <item x="1312"/>
        <item x="766"/>
        <item x="1398"/>
        <item x="1297"/>
        <item x="1143"/>
        <item x="1144"/>
        <item x="1262"/>
        <item x="1051"/>
        <item x="1191"/>
        <item x="1232"/>
        <item x="1044"/>
        <item x="1341"/>
        <item x="1074"/>
        <item x="596"/>
        <item x="848"/>
        <item x="209"/>
        <item x="937"/>
        <item x="1122"/>
        <item x="774"/>
        <item x="1149"/>
        <item x="1219"/>
        <item x="666"/>
        <item x="416"/>
        <item x="1299"/>
        <item x="1181"/>
        <item x="1189"/>
        <item x="745"/>
        <item x="899"/>
        <item x="817"/>
        <item x="1358"/>
        <item x="1046"/>
        <item x="1355"/>
        <item x="1172"/>
        <item x="1301"/>
        <item x="1268"/>
        <item x="983"/>
        <item x="1329"/>
        <item x="1176"/>
        <item x="597"/>
        <item x="1150"/>
        <item x="1097"/>
        <item x="1247"/>
        <item x="832"/>
        <item x="1127"/>
        <item x="902"/>
        <item x="1120"/>
        <item x="1267"/>
        <item x="1072"/>
        <item x="1008"/>
        <item x="1392"/>
        <item x="1365"/>
        <item x="787"/>
        <item x="1344"/>
        <item x="1180"/>
        <item x="788"/>
        <item x="1151"/>
        <item x="612"/>
        <item x="1380"/>
        <item x="943"/>
        <item x="798"/>
        <item x="565"/>
        <item x="346"/>
        <item x="625"/>
        <item x="331"/>
        <item x="308"/>
        <item x="529"/>
        <item x="361"/>
        <item x="808"/>
        <item x="207"/>
        <item x="1315"/>
        <item x="1200"/>
        <item x="1308"/>
        <item x="231"/>
        <item x="1352"/>
        <item x="1388"/>
        <item x="995"/>
        <item x="965"/>
        <item x="1019"/>
        <item x="1372"/>
        <item x="598"/>
        <item x="600"/>
        <item x="170"/>
        <item x="1012"/>
        <item x="1325"/>
        <item x="1383"/>
        <item x="617"/>
        <item x="1167"/>
        <item x="533"/>
        <item x="229"/>
        <item x="739"/>
        <item x="944"/>
        <item x="1049"/>
        <item x="396"/>
        <item x="763"/>
        <item x="573"/>
        <item x="391"/>
        <item x="836"/>
        <item x="316"/>
        <item x="734"/>
        <item x="891"/>
        <item x="841"/>
        <item x="1154"/>
        <item x="1281"/>
        <item x="218"/>
        <item x="936"/>
        <item x="883"/>
        <item x="111"/>
        <item x="1004"/>
        <item x="1187"/>
        <item x="1395"/>
        <item x="462"/>
        <item x="1253"/>
        <item x="1270"/>
        <item x="1198"/>
        <item x="1255"/>
        <item x="1313"/>
        <item x="1145"/>
        <item x="20"/>
        <item x="1347"/>
        <item x="1361"/>
        <item x="844"/>
        <item x="1031"/>
        <item x="408"/>
        <item x="189"/>
        <item x="57"/>
        <item x="523"/>
        <item x="1156"/>
        <item x="1107"/>
        <item x="889"/>
        <item x="1349"/>
        <item x="187"/>
        <item x="486"/>
        <item x="182"/>
        <item x="268"/>
        <item x="1302"/>
        <item x="1158"/>
        <item x="1323"/>
        <item x="819"/>
        <item x="1340"/>
        <item x="1374"/>
        <item x="1399"/>
        <item x="305"/>
        <item x="624"/>
        <item x="933"/>
        <item x="554"/>
        <item x="639"/>
        <item x="1356"/>
        <item x="503"/>
        <item x="1254"/>
        <item x="1357"/>
        <item x="379"/>
        <item x="632"/>
        <item x="1382"/>
        <item x="1333"/>
        <item x="1126"/>
        <item x="1209"/>
        <item x="1080"/>
        <item x="915"/>
        <item x="997"/>
        <item x="1098"/>
        <item x="105"/>
        <item x="827"/>
        <item x="1084"/>
        <item x="1023"/>
        <item x="1391"/>
        <item x="992"/>
        <item x="958"/>
        <item x="1092"/>
        <item x="1211"/>
        <item x="1360"/>
        <item x="704"/>
        <item x="1387"/>
        <item x="728"/>
        <item x="1364"/>
        <item x="918"/>
        <item x="1279"/>
        <item x="1266"/>
        <item x="917"/>
        <item x="1276"/>
        <item x="128"/>
        <item x="1067"/>
        <item x="502"/>
        <item x="911"/>
        <item x="279"/>
        <item x="1164"/>
        <item x="930"/>
        <item x="1220"/>
        <item x="1326"/>
        <item x="931"/>
        <item x="1135"/>
        <item x="897"/>
        <item x="871"/>
        <item x="1047"/>
        <item x="641"/>
        <item x="1350"/>
        <item x="152"/>
        <item x="1153"/>
        <item x="1195"/>
        <item x="25"/>
        <item x="1290"/>
        <item x="951"/>
        <item x="1137"/>
        <item x="1218"/>
        <item x="1196"/>
        <item x="961"/>
        <item x="45"/>
        <item x="1331"/>
        <item x="813"/>
        <item x="842"/>
        <item x="781"/>
        <item x="874"/>
        <item x="1310"/>
        <item x="797"/>
        <item x="615"/>
        <item x="1252"/>
        <item x="942"/>
        <item x="1260"/>
        <item x="921"/>
        <item x="1166"/>
        <item x="130"/>
        <item x="1018"/>
        <item x="1139"/>
        <item x="1042"/>
        <item x="955"/>
        <item x="900"/>
        <item x="910"/>
        <item x="95"/>
        <item x="317"/>
        <item x="952"/>
        <item x="1306"/>
        <item x="712"/>
        <item x="1168"/>
        <item x="1404"/>
        <item x="342"/>
        <item x="870"/>
        <item x="1090"/>
        <item x="150"/>
        <item x="913"/>
        <item x="987"/>
        <item x="960"/>
        <item x="115"/>
        <item x="1321"/>
        <item x="1026"/>
        <item x="837"/>
        <item x="1124"/>
        <item x="1015"/>
        <item x="1118"/>
        <item x="22"/>
        <item x="249"/>
        <item x="1133"/>
        <item x="198"/>
        <item x="925"/>
        <item x="668"/>
        <item x="1205"/>
        <item x="1121"/>
        <item x="923"/>
        <item x="0"/>
        <item x="397"/>
        <item x="1264"/>
        <item x="956"/>
        <item x="852"/>
        <item x="1379"/>
        <item x="19"/>
        <item x="845"/>
        <item x="1050"/>
        <item x="1363"/>
        <item x="932"/>
        <item x="1192"/>
        <item x="606"/>
        <item x="1339"/>
        <item x="1146"/>
        <item x="1322"/>
        <item x="599"/>
        <item x="1369"/>
        <item x="1243"/>
        <item x="680"/>
        <item x="1199"/>
        <item x="325"/>
        <item x="859"/>
        <item x="1235"/>
        <item x="1076"/>
        <item x="1141"/>
        <item x="1089"/>
        <item x="1039"/>
        <item x="1021"/>
        <item x="892"/>
        <item x="1311"/>
        <item x="940"/>
        <item x="964"/>
        <item x="1132"/>
        <item x="1375"/>
        <item x="1096"/>
        <item x="570"/>
        <item x="293"/>
        <item x="1173"/>
        <item x="149"/>
        <item x="829"/>
        <item x="972"/>
        <item x="672"/>
        <item x="1060"/>
        <item x="834"/>
        <item x="21"/>
        <item x="53"/>
        <item x="36"/>
        <item x="59"/>
        <item x="986"/>
        <item x="1285"/>
        <item x="1081"/>
        <item x="141"/>
        <item x="477"/>
        <item x="1316"/>
        <item x="1237"/>
        <item x="1240"/>
        <item x="304"/>
        <item x="953"/>
        <item x="1227"/>
        <item x="733"/>
        <item x="63"/>
        <item x="880"/>
        <item x="838"/>
        <item x="1303"/>
        <item x="1159"/>
        <item x="856"/>
        <item x="425"/>
        <item x="963"/>
        <item x="1314"/>
        <item x="499"/>
        <item x="436"/>
        <item x="1185"/>
        <item x="653"/>
        <item x="123"/>
        <item x="147"/>
        <item x="851"/>
        <item x="1373"/>
        <item x="1230"/>
        <item x="1086"/>
        <item x="1190"/>
        <item x="875"/>
        <item x="166"/>
        <item x="807"/>
        <item x="17"/>
        <item x="9"/>
        <item x="1330"/>
        <item x="1204"/>
        <item x="906"/>
        <item x="823"/>
        <item x="1275"/>
        <item x="627"/>
        <item x="443"/>
        <item x="939"/>
        <item x="131"/>
        <item x="1142"/>
        <item x="693"/>
        <item x="385"/>
        <item x="1390"/>
        <item x="1071"/>
        <item x="1075"/>
        <item x="199"/>
        <item x="607"/>
        <item x="1100"/>
        <item x="1287"/>
        <item x="1334"/>
        <item x="1091"/>
        <item x="32"/>
        <item x="761"/>
        <item x="1283"/>
        <item x="840"/>
        <item x="1002"/>
        <item x="822"/>
        <item x="1011"/>
        <item x="1093"/>
        <item x="26"/>
        <item x="990"/>
        <item x="310"/>
        <item x="1224"/>
        <item x="81"/>
        <item x="676"/>
        <item x="1099"/>
        <item x="1152"/>
        <item x="843"/>
        <item x="806"/>
        <item x="780"/>
        <item x="1178"/>
        <item x="985"/>
        <item x="259"/>
        <item x="1336"/>
        <item x="154"/>
        <item x="1197"/>
        <item x="1244"/>
        <item x="1294"/>
        <item x="35"/>
        <item x="92"/>
        <item x="783"/>
        <item x="40"/>
        <item x="912"/>
        <item x="1009"/>
        <item x="690"/>
        <item x="778"/>
        <item x="1342"/>
        <item x="686"/>
        <item x="1274"/>
        <item x="764"/>
        <item x="50"/>
        <item x="1295"/>
        <item x="1384"/>
        <item x="865"/>
        <item x="1006"/>
        <item x="155"/>
        <item x="341"/>
        <item x="1265"/>
        <item x="1123"/>
        <item x="1286"/>
        <item x="506"/>
        <item x="1231"/>
        <item x="737"/>
        <item x="138"/>
        <item x="333"/>
        <item x="1337"/>
        <item x="12"/>
        <item x="941"/>
        <item x="169"/>
        <item x="613"/>
        <item x="833"/>
        <item x="418"/>
        <item x="650"/>
        <item x="1114"/>
        <item x="1104"/>
        <item x="742"/>
        <item x="440"/>
        <item x="714"/>
        <item x="1277"/>
        <item x="273"/>
        <item x="1338"/>
        <item x="978"/>
        <item x="8"/>
        <item x="4"/>
        <item x="658"/>
        <item x="947"/>
        <item x="1263"/>
        <item x="928"/>
        <item x="80"/>
        <item x="1163"/>
        <item x="70"/>
        <item x="99"/>
        <item x="424"/>
        <item x="481"/>
        <item x="1207"/>
        <item x="989"/>
        <item x="957"/>
        <item x="747"/>
        <item x="472"/>
        <item x="88"/>
        <item x="863"/>
        <item x="101"/>
        <item x="895"/>
        <item x="537"/>
        <item x="868"/>
        <item x="748"/>
        <item x="707"/>
        <item x="309"/>
        <item x="446"/>
        <item x="427"/>
        <item x="312"/>
        <item x="487"/>
        <item x="888"/>
        <item x="1362"/>
        <item x="769"/>
        <item x="1119"/>
        <item x="97"/>
        <item x="867"/>
        <item x="922"/>
        <item x="1057"/>
        <item x="1169"/>
        <item x="521"/>
        <item x="887"/>
        <item x="586"/>
        <item x="1177"/>
        <item x="65"/>
        <item x="934"/>
        <item x="824"/>
        <item x="816"/>
        <item x="1202"/>
        <item x="751"/>
        <item x="1250"/>
        <item x="357"/>
        <item x="411"/>
        <item x="715"/>
        <item x="329"/>
        <item x="47"/>
        <item x="23"/>
        <item x="43"/>
        <item x="659"/>
        <item x="463"/>
        <item x="746"/>
        <item x="255"/>
        <item x="611"/>
        <item x="525"/>
        <item x="389"/>
        <item x="616"/>
        <item x="962"/>
        <item x="1289"/>
        <item x="589"/>
        <item x="1229"/>
        <item x="564"/>
        <item x="1066"/>
        <item x="1182"/>
        <item x="725"/>
        <item x="1188"/>
        <item x="1109"/>
        <item x="818"/>
        <item x="1216"/>
        <item x="984"/>
        <item x="749"/>
        <item x="1226"/>
        <item x="73"/>
        <item x="1065"/>
        <item x="1186"/>
        <item x="999"/>
        <item x="483"/>
        <item x="642"/>
        <item x="473"/>
        <item x="1058"/>
        <item x="1087"/>
        <item x="592"/>
        <item x="794"/>
        <item x="1157"/>
        <item x="1037"/>
        <item x="916"/>
        <item x="1179"/>
        <item x="876"/>
        <item x="567"/>
        <item x="681"/>
        <item x="970"/>
        <item x="1304"/>
        <item x="1027"/>
        <item x="1001"/>
        <item x="1343"/>
        <item x="211"/>
        <item x="16"/>
        <item x="772"/>
        <item x="494"/>
        <item x="1239"/>
        <item x="1273"/>
        <item x="148"/>
        <item x="1013"/>
        <item x="1111"/>
        <item x="1034"/>
        <item x="723"/>
        <item x="601"/>
        <item x="363"/>
        <item x="1048"/>
        <item x="991"/>
        <item x="872"/>
        <item x="415"/>
        <item x="1236"/>
        <item x="7"/>
        <item x="543"/>
        <item x="656"/>
        <item x="1128"/>
        <item x="1116"/>
        <item x="682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ame="Segmento" showAll="0"/>
    <pivotField showAll="0"/>
    <pivotField showAll="0"/>
    <pivotField showAll="0"/>
    <pivotField showAll="0"/>
    <pivotField dataField="1" numFmtId="166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</pivotFields>
  <rowFields count="1">
    <field x="0"/>
  </rowFields>
  <rowItems count="11">
    <i>
      <x v="1186"/>
    </i>
    <i>
      <x v="1279"/>
    </i>
    <i>
      <x v="1400"/>
    </i>
    <i>
      <x v="177"/>
    </i>
    <i>
      <x v="1406"/>
    </i>
    <i>
      <x v="1280"/>
    </i>
    <i>
      <x v="163"/>
    </i>
    <i>
      <x v="1407"/>
    </i>
    <i>
      <x v="132"/>
    </i>
    <i>
      <x v="1101"/>
    </i>
    <i t="grand">
      <x/>
    </i>
  </rowItems>
  <colItems count="1">
    <i/>
  </colItems>
  <dataFields count="1">
    <dataField name="Ativo Total   " fld="7" baseField="0" baseItem="0" numFmtId="166"/>
  </dataFields>
  <formats count="2">
    <format dxfId="24">
      <pivotArea collapsedLevelsAreSubtotals="1" fieldPosition="0">
        <references count="1">
          <reference field="0" count="10">
            <x v="132"/>
            <x v="163"/>
            <x v="177"/>
            <x v="183"/>
            <x v="1101"/>
            <x v="1186"/>
            <x v="1279"/>
            <x v="1280"/>
            <x v="1400"/>
            <x v="1406"/>
          </reference>
        </references>
      </pivotArea>
    </format>
    <format dxfId="25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E3D31-29E9-44DB-B148-DB494949DA94}" name="PivotTable1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ipo de Controle">
  <location ref="A12:B16" firstHeaderRow="1" firstDataRow="1" firstDataCol="1"/>
  <pivotFields count="18">
    <pivotField dataField="1" showAll="0"/>
    <pivotField showAll="0"/>
    <pivotField name="Segmento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Qtd Instituições" fld="0" subtotal="count" baseField="2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A099C-8AFB-4ABC-BF89-55E47E74EF7C}" name="Ativo_Segm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o">
  <location ref="A18:B25" firstHeaderRow="1" firstDataRow="1" firstDataCol="1"/>
  <pivotFields count="18">
    <pivotField showAll="0"/>
    <pivotField showAll="0"/>
    <pivotField name="Segmento" axis="axisRow" showAll="0" sortType="ascending">
      <items count="7">
        <item x="3"/>
        <item x="0"/>
        <item x="1"/>
        <item x="2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6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5"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Ativo Total  " fld="7" baseField="2" baseItem="0" numFmtId="166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136F9-609A-4AF5-94D7-6FE774C3F2B0}" name="Instituições_Segm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gmento">
  <location ref="A3:B10" firstHeaderRow="1" firstDataRow="1" firstDataCol="1"/>
  <pivotFields count="18">
    <pivotField dataField="1" showAll="0"/>
    <pivotField showAll="0"/>
    <pivotField name="Segmento" axis="axisRow" showAll="0" sortType="ascending">
      <items count="7">
        <item x="3"/>
        <item x="0"/>
        <item x="1"/>
        <item x="2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6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</pivotFields>
  <rowFields count="1">
    <field x="2"/>
  </rowFields>
  <rowItems count="7">
    <i>
      <x v="1"/>
    </i>
    <i>
      <x v="2"/>
    </i>
    <i>
      <x v="3"/>
    </i>
    <i>
      <x/>
    </i>
    <i>
      <x v="4"/>
    </i>
    <i>
      <x v="5"/>
    </i>
    <i t="grand">
      <x/>
    </i>
  </rowItems>
  <colItems count="1">
    <i/>
  </colItems>
  <dataFields count="1">
    <dataField name="Qtd Instituições" fld="0" subtotal="count" baseField="2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DC8F8-7D92-4AC6-AA98-295B493660E8}" name="Instituições_Controle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po de Controle">
  <location ref="A33:B37" firstHeaderRow="1" firstDataRow="1" firstDataCol="1"/>
  <pivotFields count="18">
    <pivotField dataField="1" showAll="0"/>
    <pivotField showAll="0"/>
    <pivotField name="Segmento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Nº de Instituições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041D5-0FB4-4251-B9F9-8086244F2EB5}" name="Ativo_Controle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po de Controle">
  <location ref="A27:B31" firstHeaderRow="1" firstDataRow="1" firstDataCol="1"/>
  <pivotFields count="18">
    <pivotField showAll="0"/>
    <pivotField showAll="0"/>
    <pivotField name="Segmento" showAll="0"/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6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 Ativo Total " fld="7" baseField="4" baseItem="0" numFmtId="166"/>
  </dataFields>
  <formats count="2">
    <format dxfId="21">
      <pivotArea collapsedLevelsAreSubtotals="1" fieldPosition="0">
        <references count="1">
          <reference field="4" count="0"/>
        </references>
      </pivotArea>
    </format>
    <format dxfId="2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4A97FE-D1E7-4F6F-BE4B-B3FBFA394DD8}" autoFormatId="16" applyNumberFormats="0" applyBorderFormats="0" applyFontFormats="0" applyPatternFormats="0" applyAlignmentFormats="0" applyWidthHeightFormats="0">
  <queryTableRefresh nextId="19">
    <queryTableFields count="18">
      <queryTableField id="1" name="Instituição" tableColumnId="1"/>
      <queryTableField id="2" name="TCB" tableColumnId="2"/>
      <queryTableField id="3" name="Segmento (SR)" tableColumnId="3"/>
      <queryTableField id="4" name="Controle (TC)" tableColumnId="4"/>
      <queryTableField id="5" name="Tipo de Controle" tableColumnId="5"/>
      <queryTableField id="6" name="Cidade" tableColumnId="6"/>
      <queryTableField id="7" name="UF" tableColumnId="7"/>
      <queryTableField id="8" name="Ativo Total (R$ mil)" tableColumnId="8"/>
      <queryTableField id="9" name="Carteira de Crédito (R$ mil)" tableColumnId="9"/>
      <queryTableField id="10" name="TVM (R$ mil)" tableColumnId="10"/>
      <queryTableField id="11" name="Passivo Exigível (R$ mil)" tableColumnId="11"/>
      <queryTableField id="12" name="Captações (R$ mil)" tableColumnId="12"/>
      <queryTableField id="13" name="Patrimônio Líquido (R$ mil)" tableColumnId="13"/>
      <queryTableField id="14" name="Lucro Líquido (R$ mil)" tableColumnId="14"/>
      <queryTableField id="15" name="Agências" tableColumnId="15"/>
      <queryTableField id="16" name="Postos de Atendimento" tableColumnId="16"/>
      <queryTableField id="17" name="Carteira de Crédito/Ativo Total (%)" tableColumnId="17"/>
      <queryTableField id="18" name="ROE (%)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0A617-6F07-4070-9AA2-65D924135A53}" name="IFdata_6_2026" displayName="IFdata_6_2026" ref="A1:R1407" tableType="queryTable" totalsRowShown="0">
  <autoFilter ref="A1:R1407" xr:uid="{2770A617-6F07-4070-9AA2-65D924135A53}"/>
  <tableColumns count="18">
    <tableColumn id="1" xr3:uid="{7BE11A4C-33D9-4F95-8DCF-D5809B4B3170}" uniqueName="1" name="Instituição" queryTableFieldId="1" dataDxfId="20"/>
    <tableColumn id="2" xr3:uid="{2E7F94A7-67BB-4BB3-BD4A-B638BAB77DE9}" uniqueName="2" name="TCB" queryTableFieldId="2" dataDxfId="19"/>
    <tableColumn id="3" xr3:uid="{64696E4A-7832-406D-94F4-720E6722C0B0}" uniqueName="3" name="Segmento (SR)" queryTableFieldId="3" dataDxfId="18"/>
    <tableColumn id="4" xr3:uid="{6132E152-5219-4ADA-9F7D-90823306C343}" uniqueName="4" name="Controle (TC)" queryTableFieldId="4"/>
    <tableColumn id="5" xr3:uid="{6F3B27CA-6692-4EA4-AFF1-06D86B6E7738}" uniqueName="5" name="Tipo de Controle" queryTableFieldId="5"/>
    <tableColumn id="6" xr3:uid="{2D2C4A1F-EE73-487E-8F27-A4BF0368AE71}" uniqueName="6" name="Cidade" queryTableFieldId="6" dataDxfId="17"/>
    <tableColumn id="7" xr3:uid="{702A86AF-0DEB-4416-839E-6CC861098FF2}" uniqueName="7" name="UF" queryTableFieldId="7" dataDxfId="16"/>
    <tableColumn id="8" xr3:uid="{76366B7B-B91A-49E9-AF77-D868E55F5F68}" uniqueName="8" name="Ativo Total " queryTableFieldId="8" dataDxfId="15" dataCellStyle="Currency"/>
    <tableColumn id="9" xr3:uid="{50412A1E-A861-4ED0-ABAA-2E926D75AEFB}" uniqueName="9" name="Carteira de Crédito (R$ mil)" queryTableFieldId="9" dataDxfId="14" dataCellStyle="Currency"/>
    <tableColumn id="10" xr3:uid="{876D9EFD-C446-4B4E-9A76-3725A297CD18}" uniqueName="10" name="TVM (R$ mil)" queryTableFieldId="10" dataDxfId="13" dataCellStyle="Currency"/>
    <tableColumn id="11" xr3:uid="{2BEA6C49-7435-450B-9E23-E0D9E79A7B9D}" uniqueName="11" name="Passivo Exigível (R$ mil)" queryTableFieldId="11" dataDxfId="12" dataCellStyle="Currency"/>
    <tableColumn id="12" xr3:uid="{49A0409F-6364-4D38-904A-D1F21BF8D922}" uniqueName="12" name="Captações (R$ mil)" queryTableFieldId="12" dataDxfId="11" dataCellStyle="Currency"/>
    <tableColumn id="13" xr3:uid="{4418FE5D-7E56-4859-9A60-7373E36CDE25}" uniqueName="13" name="Patrimônio Líquido (R$ mil)" queryTableFieldId="13" dataDxfId="10" dataCellStyle="Currency"/>
    <tableColumn id="14" xr3:uid="{55F9B695-CA70-45E7-A298-EBFDC6604FEC}" uniqueName="14" name="Lucro Líquido (R$ mil)" queryTableFieldId="14" dataDxfId="9" dataCellStyle="Currency"/>
    <tableColumn id="15" xr3:uid="{B6366CBB-23F1-4F48-B8D0-FD32174CD9BF}" uniqueName="15" name="Agências" queryTableFieldId="15"/>
    <tableColumn id="16" xr3:uid="{CBB8BC6B-006D-452E-A392-09C215EBD02F}" uniqueName="16" name="Postos de Atendimento" queryTableFieldId="16"/>
    <tableColumn id="17" xr3:uid="{759CEFC3-C512-45DC-935D-24B93781DA79}" uniqueName="17" name="Carteira de Crédito/Ativo Total (%)" queryTableFieldId="17"/>
    <tableColumn id="18" xr3:uid="{EBAB42FD-4C11-4A11-BF42-7006D5642A4D}" uniqueName="18" name="ROE (%)" queryTableFieldId="18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73CE1-29E1-4808-BBB8-E0A0D4F59031}" name="Gráfico1" displayName="Gráfico1" ref="D3:E9" totalsRowShown="0">
  <autoFilter ref="D3:E9" xr:uid="{5F873CE1-29E1-4808-BBB8-E0A0D4F59031}"/>
  <tableColumns count="2">
    <tableColumn id="1" xr3:uid="{8EFFBA43-3A31-4C37-BDD2-23B7547ADEAF}" name="Segmento">
      <calculatedColumnFormula>A4</calculatedColumnFormula>
    </tableColumn>
    <tableColumn id="2" xr3:uid="{7E2433E9-F6E6-478B-BE86-9A3AF1E245CF}" name="Qtd Instituições">
      <calculatedColumnFormula>B4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E063D1-ED63-4827-B6D6-AFFCC11686AC}" name="Gráfico2" displayName="Gráfico2" ref="D18:E24" totalsRowShown="0">
  <autoFilter ref="D18:E24" xr:uid="{06E063D1-ED63-4827-B6D6-AFFCC11686AC}"/>
  <tableColumns count="2">
    <tableColumn id="1" xr3:uid="{AB681FDE-1438-457A-8896-88468C1FD1CF}" name="Segmento">
      <calculatedColumnFormula>A19</calculatedColumnFormula>
    </tableColumn>
    <tableColumn id="2" xr3:uid="{1A80B742-49FB-4F2E-A6B5-D549FC003039}" name="Ativo Total" dataDxfId="7">
      <calculatedColumnFormula>B19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F178CA-89E0-421C-BBB2-534BF8296B49}" name="Gráfico2.1" displayName="Gráfico2.1" ref="D27:E30" totalsRowShown="0">
  <autoFilter ref="D27:E30" xr:uid="{95F178CA-89E0-421C-BBB2-534BF8296B49}"/>
  <tableColumns count="2">
    <tableColumn id="1" xr3:uid="{33EA022D-17D7-4132-A70C-3EA6FC4FCF41}" name="Tipo de Controle">
      <calculatedColumnFormula>A28</calculatedColumnFormula>
    </tableColumn>
    <tableColumn id="2" xr3:uid="{6DA53C30-16E3-4DCA-A961-6CF82460904D}" name="Ativo Total " dataDxfId="6">
      <calculatedColumnFormula>B28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A5DDA9-216F-4022-9B8F-4F19D6A7FC8B}" name="Table6" displayName="Table6" ref="D39:G50" totalsRowCount="1">
  <autoFilter ref="D39:G49" xr:uid="{82A5DDA9-216F-4022-9B8F-4F19D6A7FC8B}"/>
  <tableColumns count="4">
    <tableColumn id="1" xr3:uid="{A0B7F568-63BB-4730-ABA5-153EABFBF788}" name="Segmento" totalsRowLabel="Total">
      <calculatedColumnFormula>A40</calculatedColumnFormula>
    </tableColumn>
    <tableColumn id="2" xr3:uid="{A48EAB59-B124-4306-B18B-F359A089C6E3}" name="Ativo Total" totalsRowFunction="sum" dataDxfId="4" totalsRowDxfId="5">
      <calculatedColumnFormula>B40</calculatedColumnFormula>
    </tableColumn>
    <tableColumn id="3" xr3:uid="{9784DF0A-D76C-4D21-9F1D-25C59B201334}" name="% Ativo Total " totalsRowFunction="sum" dataDxfId="2" totalsRowDxfId="3">
      <calculatedColumnFormula>Table6[[#This Row],[Ativo Total]]/SUM(IFdata_6_2026[[Ativo Total ]])</calculatedColumnFormula>
    </tableColumn>
    <tableColumn id="4" xr3:uid="{F86D4835-0C7B-449D-9C14-A93D59BDD1B1}" name="% Ativo Total Acum." totalsRowFunction="sum" dataDxfId="0" totalsRowDxfId="1">
      <calculatedColumnFormula>Table6[[#This Row],[% Ativo Total 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D91E24-EB23-464A-A3F9-7FC060303956}" name="Gráfico14" displayName="Gráfico14" ref="D12:E16" totalsRowShown="0">
  <autoFilter ref="D12:E16" xr:uid="{D3D91E24-EB23-464A-A3F9-7FC060303956}"/>
  <tableColumns count="2">
    <tableColumn id="1" xr3:uid="{34738A25-54BA-4FD8-8746-BBDAD3847076}" name="Tipo de Controle">
      <calculatedColumnFormula>A13</calculatedColumnFormula>
    </tableColumn>
    <tableColumn id="2" xr3:uid="{C273D03E-61A2-4592-8EF2-EB464D419724}" name="Qtd Instituições">
      <calculatedColumnFormula>B13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CF2-90D8-4FCB-A551-F614B3D9B4C8}">
  <dimension ref="A1:D41"/>
  <sheetViews>
    <sheetView topLeftCell="A22" zoomScale="80" zoomScaleNormal="80" workbookViewId="0">
      <selection activeCell="E9" sqref="E9"/>
    </sheetView>
  </sheetViews>
  <sheetFormatPr defaultColWidth="8.7109375" defaultRowHeight="15"/>
  <cols>
    <col min="1" max="1" width="22.140625" bestFit="1" customWidth="1"/>
    <col min="2" max="2" width="43.42578125" bestFit="1" customWidth="1"/>
    <col min="3" max="3" width="35.85546875" bestFit="1" customWidth="1"/>
    <col min="4" max="4" width="64.5703125" bestFit="1" customWidth="1"/>
  </cols>
  <sheetData>
    <row r="1" spans="1:4" ht="31.5" customHeight="1">
      <c r="A1" s="136" t="s">
        <v>0</v>
      </c>
      <c r="B1" s="136"/>
      <c r="C1" s="136"/>
      <c r="D1" s="136"/>
    </row>
    <row r="2" spans="1:4" ht="7.5" customHeight="1"/>
    <row r="3" spans="1:4" ht="21.75" customHeight="1">
      <c r="A3" s="137" t="s">
        <v>1</v>
      </c>
      <c r="B3" s="137"/>
      <c r="C3" s="137"/>
      <c r="D3" s="137"/>
    </row>
    <row r="4" spans="1:4" ht="19.5" customHeight="1">
      <c r="A4" s="2" t="s">
        <v>2</v>
      </c>
      <c r="B4" s="2" t="s">
        <v>3</v>
      </c>
      <c r="C4" s="2" t="s">
        <v>4</v>
      </c>
      <c r="D4" s="2" t="s">
        <v>5</v>
      </c>
    </row>
    <row r="5" spans="1:4" ht="42" customHeight="1">
      <c r="A5" s="3" t="s">
        <v>6</v>
      </c>
      <c r="B5" s="4" t="s">
        <v>7</v>
      </c>
      <c r="C5" s="5" t="s">
        <v>8</v>
      </c>
      <c r="D5" s="6" t="s">
        <v>9</v>
      </c>
    </row>
    <row r="6" spans="1:4" ht="42" customHeight="1">
      <c r="A6" s="3" t="s">
        <v>10</v>
      </c>
      <c r="B6" s="7" t="s">
        <v>11</v>
      </c>
      <c r="C6" s="8" t="s">
        <v>12</v>
      </c>
      <c r="D6" s="9" t="s">
        <v>13</v>
      </c>
    </row>
    <row r="7" spans="1:4" ht="42" customHeight="1">
      <c r="A7" s="3" t="s">
        <v>14</v>
      </c>
      <c r="B7" s="4" t="s">
        <v>15</v>
      </c>
      <c r="C7" s="5" t="s">
        <v>12</v>
      </c>
      <c r="D7" s="6" t="s">
        <v>16</v>
      </c>
    </row>
    <row r="8" spans="1:4" ht="42" customHeight="1">
      <c r="A8" s="3" t="s">
        <v>17</v>
      </c>
      <c r="B8" s="7" t="s">
        <v>18</v>
      </c>
      <c r="C8" s="8" t="s">
        <v>12</v>
      </c>
      <c r="D8" s="9" t="s">
        <v>19</v>
      </c>
    </row>
    <row r="9" spans="1:4" ht="42" customHeight="1">
      <c r="A9" s="3" t="s">
        <v>20</v>
      </c>
      <c r="B9" s="4" t="s">
        <v>21</v>
      </c>
      <c r="C9" s="5" t="s">
        <v>12</v>
      </c>
      <c r="D9" s="6" t="s">
        <v>22</v>
      </c>
    </row>
    <row r="10" spans="1:4" ht="42" customHeight="1">
      <c r="A10" s="3" t="s">
        <v>23</v>
      </c>
      <c r="B10" s="7" t="s">
        <v>24</v>
      </c>
      <c r="C10" s="8" t="s">
        <v>8</v>
      </c>
      <c r="D10" s="9" t="s">
        <v>25</v>
      </c>
    </row>
    <row r="11" spans="1:4" ht="42" customHeight="1">
      <c r="A11" s="3" t="s">
        <v>26</v>
      </c>
      <c r="B11" s="4" t="s">
        <v>27</v>
      </c>
      <c r="C11" s="5" t="s">
        <v>8</v>
      </c>
      <c r="D11" s="6" t="s">
        <v>28</v>
      </c>
    </row>
    <row r="12" spans="1:4" ht="42" customHeight="1">
      <c r="A12" s="3" t="s">
        <v>29</v>
      </c>
      <c r="B12" s="7" t="s">
        <v>30</v>
      </c>
      <c r="C12" s="8" t="s">
        <v>31</v>
      </c>
      <c r="D12" s="9" t="s">
        <v>32</v>
      </c>
    </row>
    <row r="13" spans="1:4" ht="42" customHeight="1">
      <c r="A13" s="3" t="s">
        <v>33</v>
      </c>
      <c r="B13" s="4" t="s">
        <v>34</v>
      </c>
      <c r="C13" s="5" t="s">
        <v>31</v>
      </c>
      <c r="D13" s="6" t="s">
        <v>35</v>
      </c>
    </row>
    <row r="14" spans="1:4" ht="42" customHeight="1">
      <c r="A14" s="3" t="s">
        <v>36</v>
      </c>
      <c r="B14" s="7" t="s">
        <v>37</v>
      </c>
      <c r="C14" s="8" t="s">
        <v>31</v>
      </c>
      <c r="D14" s="9" t="s">
        <v>38</v>
      </c>
    </row>
    <row r="15" spans="1:4" ht="42" customHeight="1">
      <c r="A15" s="3" t="s">
        <v>39</v>
      </c>
      <c r="B15" s="4" t="s">
        <v>40</v>
      </c>
      <c r="C15" s="5" t="s">
        <v>31</v>
      </c>
      <c r="D15" s="6" t="s">
        <v>41</v>
      </c>
    </row>
    <row r="16" spans="1:4" ht="42" customHeight="1">
      <c r="A16" s="3" t="s">
        <v>42</v>
      </c>
      <c r="B16" s="7" t="s">
        <v>43</v>
      </c>
      <c r="C16" s="8" t="s">
        <v>31</v>
      </c>
      <c r="D16" s="9" t="s">
        <v>44</v>
      </c>
    </row>
    <row r="17" spans="1:4" ht="42" customHeight="1">
      <c r="A17" s="3" t="s">
        <v>45</v>
      </c>
      <c r="B17" s="4" t="s">
        <v>46</v>
      </c>
      <c r="C17" s="5" t="s">
        <v>31</v>
      </c>
      <c r="D17" s="6" t="s">
        <v>47</v>
      </c>
    </row>
    <row r="18" spans="1:4" ht="42" customHeight="1">
      <c r="A18" s="3" t="s">
        <v>48</v>
      </c>
      <c r="B18" s="7" t="s">
        <v>49</v>
      </c>
      <c r="C18" s="8" t="s">
        <v>31</v>
      </c>
      <c r="D18" s="9" t="s">
        <v>50</v>
      </c>
    </row>
    <row r="19" spans="1:4" ht="42" customHeight="1">
      <c r="A19" s="3" t="s">
        <v>51</v>
      </c>
      <c r="B19" s="4" t="s">
        <v>52</v>
      </c>
      <c r="C19" s="5" t="s">
        <v>31</v>
      </c>
      <c r="D19" s="6" t="s">
        <v>53</v>
      </c>
    </row>
    <row r="20" spans="1:4" ht="42" customHeight="1">
      <c r="A20" s="3" t="s">
        <v>54</v>
      </c>
      <c r="B20" s="7" t="s">
        <v>55</v>
      </c>
      <c r="C20" s="8" t="s">
        <v>31</v>
      </c>
      <c r="D20" s="9" t="s">
        <v>56</v>
      </c>
    </row>
    <row r="21" spans="1:4" ht="42" customHeight="1">
      <c r="A21" s="3" t="s">
        <v>57</v>
      </c>
      <c r="B21" s="4" t="s">
        <v>58</v>
      </c>
      <c r="C21" s="5" t="s">
        <v>59</v>
      </c>
      <c r="D21" s="6" t="s">
        <v>60</v>
      </c>
    </row>
    <row r="22" spans="1:4" ht="42" customHeight="1">
      <c r="A22" s="3" t="s">
        <v>61</v>
      </c>
      <c r="B22" s="7" t="s">
        <v>62</v>
      </c>
      <c r="C22" s="8" t="s">
        <v>59</v>
      </c>
      <c r="D22" s="9" t="s">
        <v>63</v>
      </c>
    </row>
    <row r="23" spans="1:4" ht="7.5" customHeight="1"/>
    <row r="24" spans="1:4" ht="21.75" customHeight="1">
      <c r="A24" s="137" t="s">
        <v>64</v>
      </c>
      <c r="B24" s="137"/>
      <c r="C24" s="137"/>
      <c r="D24" s="137"/>
    </row>
    <row r="25" spans="1:4" ht="15" customHeight="1">
      <c r="A25" s="2" t="s">
        <v>12</v>
      </c>
      <c r="B25" s="2" t="s">
        <v>65</v>
      </c>
      <c r="C25" s="2" t="s">
        <v>66</v>
      </c>
      <c r="D25" s="2" t="s">
        <v>67</v>
      </c>
    </row>
    <row r="26" spans="1:4" ht="36" customHeight="1">
      <c r="A26" s="10" t="s">
        <v>68</v>
      </c>
      <c r="B26" s="8" t="s">
        <v>10</v>
      </c>
      <c r="C26" s="9" t="s">
        <v>69</v>
      </c>
      <c r="D26" s="11" t="s">
        <v>70</v>
      </c>
    </row>
    <row r="27" spans="1:4" ht="36" customHeight="1">
      <c r="A27" s="10" t="s">
        <v>71</v>
      </c>
      <c r="B27" s="5" t="s">
        <v>10</v>
      </c>
      <c r="C27" s="6" t="s">
        <v>72</v>
      </c>
      <c r="D27" s="12" t="s">
        <v>73</v>
      </c>
    </row>
    <row r="28" spans="1:4" ht="36" customHeight="1">
      <c r="A28" s="10" t="s">
        <v>74</v>
      </c>
      <c r="B28" s="8" t="s">
        <v>10</v>
      </c>
      <c r="C28" s="9" t="s">
        <v>75</v>
      </c>
      <c r="D28" s="11" t="s">
        <v>76</v>
      </c>
    </row>
    <row r="29" spans="1:4" ht="36" customHeight="1">
      <c r="A29" s="10" t="s">
        <v>77</v>
      </c>
      <c r="B29" s="5" t="s">
        <v>10</v>
      </c>
      <c r="C29" s="6" t="s">
        <v>78</v>
      </c>
      <c r="D29" s="12" t="s">
        <v>79</v>
      </c>
    </row>
    <row r="30" spans="1:4" ht="36" customHeight="1">
      <c r="A30" s="10" t="s">
        <v>80</v>
      </c>
      <c r="B30" s="8" t="s">
        <v>10</v>
      </c>
      <c r="C30" s="9" t="s">
        <v>81</v>
      </c>
      <c r="D30" s="11" t="s">
        <v>82</v>
      </c>
    </row>
    <row r="31" spans="1:4" ht="36" customHeight="1">
      <c r="A31" s="10" t="s">
        <v>83</v>
      </c>
      <c r="B31" s="5" t="s">
        <v>10</v>
      </c>
      <c r="C31" s="6" t="s">
        <v>84</v>
      </c>
      <c r="D31" s="12" t="s">
        <v>85</v>
      </c>
    </row>
    <row r="32" spans="1:4" ht="36" customHeight="1">
      <c r="A32" s="10" t="s">
        <v>86</v>
      </c>
      <c r="B32" s="8" t="s">
        <v>10</v>
      </c>
      <c r="C32" s="9" t="s">
        <v>87</v>
      </c>
      <c r="D32" s="11" t="s">
        <v>88</v>
      </c>
    </row>
    <row r="33" spans="1:4" ht="36" customHeight="1">
      <c r="A33" s="10" t="s">
        <v>89</v>
      </c>
      <c r="B33" s="5" t="s">
        <v>10</v>
      </c>
      <c r="C33" s="6" t="s">
        <v>90</v>
      </c>
      <c r="D33" s="12" t="s">
        <v>91</v>
      </c>
    </row>
    <row r="34" spans="1:4" ht="36" customHeight="1">
      <c r="A34" s="10" t="s">
        <v>92</v>
      </c>
      <c r="B34" s="8" t="s">
        <v>14</v>
      </c>
      <c r="C34" s="9" t="s">
        <v>93</v>
      </c>
      <c r="D34" s="11" t="s">
        <v>94</v>
      </c>
    </row>
    <row r="35" spans="1:4" ht="36" customHeight="1">
      <c r="A35" s="10" t="s">
        <v>95</v>
      </c>
      <c r="B35" s="5" t="s">
        <v>14</v>
      </c>
      <c r="C35" s="6" t="s">
        <v>96</v>
      </c>
      <c r="D35" s="12" t="s">
        <v>97</v>
      </c>
    </row>
    <row r="36" spans="1:4" ht="36" customHeight="1">
      <c r="A36" s="10" t="s">
        <v>98</v>
      </c>
      <c r="B36" s="8" t="s">
        <v>14</v>
      </c>
      <c r="C36" s="9" t="s">
        <v>99</v>
      </c>
      <c r="D36" s="11" t="s">
        <v>100</v>
      </c>
    </row>
    <row r="37" spans="1:4" ht="36" customHeight="1">
      <c r="A37" s="10" t="s">
        <v>101</v>
      </c>
      <c r="B37" s="5" t="s">
        <v>14</v>
      </c>
      <c r="C37" s="6" t="s">
        <v>102</v>
      </c>
      <c r="D37" s="12" t="s">
        <v>103</v>
      </c>
    </row>
    <row r="38" spans="1:4" ht="36" customHeight="1">
      <c r="A38" s="10" t="s">
        <v>104</v>
      </c>
      <c r="B38" s="8" t="s">
        <v>14</v>
      </c>
      <c r="C38" s="9" t="s">
        <v>105</v>
      </c>
      <c r="D38" s="11" t="s">
        <v>106</v>
      </c>
    </row>
    <row r="39" spans="1:4" ht="36" customHeight="1">
      <c r="A39" s="10" t="s">
        <v>107</v>
      </c>
      <c r="B39" s="5" t="s">
        <v>17</v>
      </c>
      <c r="C39" s="6" t="s">
        <v>108</v>
      </c>
      <c r="D39" s="12" t="s">
        <v>109</v>
      </c>
    </row>
    <row r="40" spans="1:4" ht="36" customHeight="1">
      <c r="A40" s="10" t="s">
        <v>110</v>
      </c>
      <c r="B40" s="8" t="s">
        <v>17</v>
      </c>
      <c r="C40" s="9" t="s">
        <v>111</v>
      </c>
      <c r="D40" s="11" t="s">
        <v>112</v>
      </c>
    </row>
    <row r="41" spans="1:4" ht="36" customHeight="1">
      <c r="A41" s="10" t="s">
        <v>113</v>
      </c>
      <c r="B41" s="5" t="s">
        <v>17</v>
      </c>
      <c r="C41" s="6" t="s">
        <v>114</v>
      </c>
      <c r="D41" s="12" t="s">
        <v>115</v>
      </c>
    </row>
  </sheetData>
  <mergeCells count="3">
    <mergeCell ref="A1:D1"/>
    <mergeCell ref="A3:D3"/>
    <mergeCell ref="A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59CC-461A-4064-8FAD-B88047F79FE7}">
  <dimension ref="A1:R1407"/>
  <sheetViews>
    <sheetView zoomScale="85" zoomScaleNormal="85" workbookViewId="0">
      <selection activeCell="H18" sqref="H18"/>
    </sheetView>
  </sheetViews>
  <sheetFormatPr defaultRowHeight="15"/>
  <cols>
    <col min="1" max="1" width="81.140625" bestFit="1" customWidth="1"/>
    <col min="2" max="2" width="7.140625" bestFit="1" customWidth="1"/>
    <col min="3" max="3" width="16.85546875" bestFit="1" customWidth="1"/>
    <col min="4" max="4" width="15.7109375" bestFit="1" customWidth="1"/>
    <col min="5" max="5" width="18.42578125" bestFit="1" customWidth="1"/>
    <col min="6" max="6" width="32.5703125" bestFit="1" customWidth="1"/>
    <col min="7" max="7" width="6" bestFit="1" customWidth="1"/>
    <col min="8" max="8" width="21.85546875" style="13" bestFit="1" customWidth="1"/>
    <col min="9" max="9" width="30" style="13" bestFit="1" customWidth="1"/>
    <col min="10" max="10" width="16" style="13" bestFit="1" customWidth="1"/>
    <col min="11" max="11" width="26.85546875" style="13" bestFit="1" customWidth="1"/>
    <col min="12" max="12" width="22" style="13" bestFit="1" customWidth="1"/>
    <col min="13" max="13" width="29.7109375" style="13" bestFit="1" customWidth="1"/>
    <col min="14" max="14" width="24.7109375" style="13" bestFit="1" customWidth="1"/>
    <col min="15" max="15" width="11.5703125" bestFit="1" customWidth="1"/>
    <col min="16" max="16" width="24.7109375" bestFit="1" customWidth="1"/>
    <col min="17" max="17" width="34.85546875" style="20" bestFit="1" customWidth="1"/>
    <col min="18" max="18" width="12.85546875" style="21" bestFit="1" customWidth="1"/>
  </cols>
  <sheetData>
    <row r="1" spans="1:18">
      <c r="A1" t="s">
        <v>6</v>
      </c>
      <c r="B1" t="s">
        <v>10</v>
      </c>
      <c r="C1" t="s">
        <v>116</v>
      </c>
      <c r="D1" t="s">
        <v>117</v>
      </c>
      <c r="E1" t="s">
        <v>18</v>
      </c>
      <c r="F1" t="s">
        <v>118</v>
      </c>
      <c r="G1" t="s">
        <v>119</v>
      </c>
      <c r="H1" s="16" t="s">
        <v>120</v>
      </c>
      <c r="I1" s="16" t="s">
        <v>121</v>
      </c>
      <c r="J1" s="16" t="s">
        <v>122</v>
      </c>
      <c r="K1" s="16" t="s">
        <v>123</v>
      </c>
      <c r="L1" s="16" t="s">
        <v>124</v>
      </c>
      <c r="M1" s="16" t="s">
        <v>125</v>
      </c>
      <c r="N1" s="16" t="s">
        <v>126</v>
      </c>
      <c r="O1" t="s">
        <v>127</v>
      </c>
      <c r="P1" t="s">
        <v>128</v>
      </c>
      <c r="Q1" s="20" t="s">
        <v>129</v>
      </c>
      <c r="R1" s="21" t="s">
        <v>130</v>
      </c>
    </row>
    <row r="2" spans="1:18">
      <c r="A2" t="s">
        <v>131</v>
      </c>
      <c r="B2" t="s">
        <v>68</v>
      </c>
      <c r="C2" t="s">
        <v>92</v>
      </c>
      <c r="D2">
        <v>2</v>
      </c>
      <c r="E2" t="s">
        <v>132</v>
      </c>
      <c r="F2" t="s">
        <v>133</v>
      </c>
      <c r="G2" t="s">
        <v>134</v>
      </c>
      <c r="H2" s="16">
        <v>2845762304</v>
      </c>
      <c r="I2" s="16">
        <v>1190712067</v>
      </c>
      <c r="J2" s="16">
        <v>704331459</v>
      </c>
      <c r="K2" s="16">
        <v>2629336116</v>
      </c>
      <c r="L2" s="16">
        <v>2216192439</v>
      </c>
      <c r="M2" s="16">
        <v>216426189</v>
      </c>
      <c r="N2" s="16">
        <v>24035567</v>
      </c>
      <c r="O2">
        <v>1373</v>
      </c>
      <c r="P2">
        <v>141</v>
      </c>
      <c r="Q2" s="20">
        <v>0.41841585480499782</v>
      </c>
      <c r="R2" s="21">
        <v>0.1110566475852883</v>
      </c>
    </row>
    <row r="3" spans="1:18">
      <c r="A3" t="s">
        <v>135</v>
      </c>
      <c r="B3" t="s">
        <v>68</v>
      </c>
      <c r="C3" t="s">
        <v>92</v>
      </c>
      <c r="D3">
        <v>1</v>
      </c>
      <c r="E3" t="s">
        <v>136</v>
      </c>
      <c r="F3" t="s">
        <v>137</v>
      </c>
      <c r="G3" t="s">
        <v>138</v>
      </c>
      <c r="H3" s="16">
        <v>2583811190</v>
      </c>
      <c r="I3" s="16">
        <v>1128399194</v>
      </c>
      <c r="J3" s="16">
        <v>764075396</v>
      </c>
      <c r="K3" s="16">
        <v>2401239327</v>
      </c>
      <c r="L3" s="16">
        <v>2068469942</v>
      </c>
      <c r="M3" s="16">
        <v>182571863</v>
      </c>
      <c r="N3" s="16">
        <v>6516219</v>
      </c>
      <c r="O3">
        <v>3939</v>
      </c>
      <c r="P3">
        <v>309</v>
      </c>
      <c r="Q3" s="20">
        <v>0.43671890514569683</v>
      </c>
      <c r="R3" s="21">
        <v>3.5691255448272445E-2</v>
      </c>
    </row>
    <row r="4" spans="1:18">
      <c r="A4" t="s">
        <v>139</v>
      </c>
      <c r="B4" t="s">
        <v>68</v>
      </c>
      <c r="C4" t="s">
        <v>92</v>
      </c>
      <c r="D4">
        <v>1</v>
      </c>
      <c r="E4" t="s">
        <v>136</v>
      </c>
      <c r="F4" t="s">
        <v>137</v>
      </c>
      <c r="G4" t="s">
        <v>138</v>
      </c>
      <c r="H4" s="16">
        <v>2368233902</v>
      </c>
      <c r="I4" s="16">
        <v>1362330927</v>
      </c>
      <c r="J4" s="16">
        <v>453110713</v>
      </c>
      <c r="K4" s="16">
        <v>2249866109</v>
      </c>
      <c r="L4" s="16">
        <v>2063880326</v>
      </c>
      <c r="M4" s="16">
        <v>118367792</v>
      </c>
      <c r="N4" s="16">
        <v>6585794</v>
      </c>
      <c r="O4">
        <v>3002</v>
      </c>
      <c r="P4">
        <v>868</v>
      </c>
      <c r="Q4" s="20">
        <v>0.57525184731520662</v>
      </c>
      <c r="R4" s="21">
        <v>5.563839528239236E-2</v>
      </c>
    </row>
    <row r="5" spans="1:18">
      <c r="A5" t="s">
        <v>140</v>
      </c>
      <c r="B5" t="s">
        <v>68</v>
      </c>
      <c r="C5" t="s">
        <v>92</v>
      </c>
      <c r="D5">
        <v>2</v>
      </c>
      <c r="E5" t="s">
        <v>132</v>
      </c>
      <c r="F5" t="s">
        <v>141</v>
      </c>
      <c r="G5" t="s">
        <v>134</v>
      </c>
      <c r="H5" s="16">
        <v>2043928673</v>
      </c>
      <c r="I5" s="16">
        <v>928041485</v>
      </c>
      <c r="J5" s="16">
        <v>370340548</v>
      </c>
      <c r="K5" s="16">
        <v>1858128289</v>
      </c>
      <c r="L5" s="16">
        <v>1600488225</v>
      </c>
      <c r="M5" s="16">
        <v>185800384</v>
      </c>
      <c r="N5" s="16">
        <v>12140246</v>
      </c>
      <c r="O5">
        <v>2059</v>
      </c>
      <c r="P5">
        <v>767</v>
      </c>
      <c r="Q5" s="20">
        <v>0.45404788203193819</v>
      </c>
      <c r="R5" s="21">
        <v>6.5340263236485022E-2</v>
      </c>
    </row>
    <row r="6" spans="1:18">
      <c r="A6" t="s">
        <v>142</v>
      </c>
      <c r="B6" t="s">
        <v>68</v>
      </c>
      <c r="C6" t="s">
        <v>92</v>
      </c>
      <c r="D6">
        <v>3</v>
      </c>
      <c r="E6" t="s">
        <v>143</v>
      </c>
      <c r="F6" t="s">
        <v>133</v>
      </c>
      <c r="G6" t="s">
        <v>134</v>
      </c>
      <c r="H6" s="16">
        <v>1318054939</v>
      </c>
      <c r="I6" s="16">
        <v>541757522</v>
      </c>
      <c r="J6" s="16">
        <v>291663631</v>
      </c>
      <c r="K6" s="16">
        <v>1217931666</v>
      </c>
      <c r="L6" s="16">
        <v>1020013939</v>
      </c>
      <c r="M6" s="16">
        <v>100123273</v>
      </c>
      <c r="N6" s="16">
        <v>7524653</v>
      </c>
      <c r="O6">
        <v>1214</v>
      </c>
      <c r="P6">
        <v>2516</v>
      </c>
      <c r="Q6" s="20">
        <v>0.41102802771713598</v>
      </c>
      <c r="R6" s="21">
        <v>7.5153885550665128E-2</v>
      </c>
    </row>
    <row r="7" spans="1:18">
      <c r="A7" t="s">
        <v>144</v>
      </c>
      <c r="B7" t="s">
        <v>80</v>
      </c>
      <c r="C7" t="s">
        <v>95</v>
      </c>
      <c r="D7">
        <v>1</v>
      </c>
      <c r="E7" t="s">
        <v>136</v>
      </c>
      <c r="F7" t="s">
        <v>145</v>
      </c>
      <c r="G7" t="s">
        <v>146</v>
      </c>
      <c r="H7" s="16">
        <v>1073403746</v>
      </c>
      <c r="I7" s="16">
        <v>375703869</v>
      </c>
      <c r="J7" s="16">
        <v>209161034</v>
      </c>
      <c r="K7" s="16">
        <v>892700475</v>
      </c>
      <c r="L7" s="16">
        <v>661452493</v>
      </c>
      <c r="M7" s="16">
        <v>180703272</v>
      </c>
      <c r="N7" s="16">
        <v>11153448</v>
      </c>
      <c r="O7">
        <v>5</v>
      </c>
      <c r="P7">
        <v>0</v>
      </c>
      <c r="Q7" s="20">
        <v>0.35001169913934693</v>
      </c>
      <c r="R7" s="21">
        <v>6.1722446287524886E-2</v>
      </c>
    </row>
    <row r="8" spans="1:18">
      <c r="A8" t="s">
        <v>147</v>
      </c>
      <c r="B8" t="s">
        <v>68</v>
      </c>
      <c r="C8" t="s">
        <v>92</v>
      </c>
      <c r="D8">
        <v>2</v>
      </c>
      <c r="E8" t="s">
        <v>132</v>
      </c>
      <c r="F8" t="s">
        <v>145</v>
      </c>
      <c r="G8" t="s">
        <v>146</v>
      </c>
      <c r="H8" s="16">
        <v>886560321</v>
      </c>
      <c r="I8" s="16">
        <v>175495662</v>
      </c>
      <c r="J8" s="16">
        <v>284109682</v>
      </c>
      <c r="K8" s="16">
        <v>806656212</v>
      </c>
      <c r="L8" s="16">
        <v>629968763</v>
      </c>
      <c r="M8" s="16">
        <v>79904110</v>
      </c>
      <c r="N8" s="16">
        <v>9471540</v>
      </c>
      <c r="O8">
        <v>68</v>
      </c>
      <c r="P8">
        <v>0</v>
      </c>
      <c r="Q8" s="20">
        <v>0.19795118035741643</v>
      </c>
      <c r="R8" s="21">
        <v>0.11853633060927654</v>
      </c>
    </row>
    <row r="9" spans="1:18">
      <c r="A9" t="s">
        <v>148</v>
      </c>
      <c r="B9" t="s">
        <v>68</v>
      </c>
      <c r="C9" t="s">
        <v>95</v>
      </c>
      <c r="D9">
        <v>2</v>
      </c>
      <c r="E9" t="s">
        <v>132</v>
      </c>
      <c r="F9" t="s">
        <v>145</v>
      </c>
      <c r="G9" t="s">
        <v>146</v>
      </c>
      <c r="H9" s="16">
        <v>347231502</v>
      </c>
      <c r="I9" s="16">
        <v>35724234</v>
      </c>
      <c r="J9" s="16">
        <v>119764884</v>
      </c>
      <c r="K9" s="16">
        <v>334789433</v>
      </c>
      <c r="L9" s="16">
        <v>257969286</v>
      </c>
      <c r="M9" s="16">
        <v>12442070</v>
      </c>
      <c r="N9" s="16">
        <v>366568</v>
      </c>
      <c r="O9">
        <v>12</v>
      </c>
      <c r="P9">
        <v>0</v>
      </c>
      <c r="Q9" s="20">
        <v>0.10288304429245017</v>
      </c>
      <c r="R9" s="21">
        <v>2.9461978593594153E-2</v>
      </c>
    </row>
    <row r="10" spans="1:18">
      <c r="A10" t="s">
        <v>149</v>
      </c>
      <c r="B10" t="s">
        <v>68</v>
      </c>
      <c r="C10" t="s">
        <v>95</v>
      </c>
      <c r="D10">
        <v>2</v>
      </c>
      <c r="E10" t="s">
        <v>132</v>
      </c>
      <c r="F10" t="s">
        <v>133</v>
      </c>
      <c r="G10" t="s">
        <v>134</v>
      </c>
      <c r="H10" s="16">
        <v>276259563</v>
      </c>
      <c r="I10" s="16">
        <v>139176940</v>
      </c>
      <c r="J10" s="16">
        <v>58167274</v>
      </c>
      <c r="K10" s="16">
        <v>257595743</v>
      </c>
      <c r="L10" s="16">
        <v>217838087</v>
      </c>
      <c r="M10" s="16">
        <v>18663820</v>
      </c>
      <c r="N10" s="16">
        <v>1911887</v>
      </c>
      <c r="O10">
        <v>189</v>
      </c>
      <c r="P10">
        <v>3</v>
      </c>
      <c r="Q10" s="20">
        <v>0.50379048778847157</v>
      </c>
      <c r="R10" s="21">
        <v>0.10243813967344306</v>
      </c>
    </row>
    <row r="11" spans="1:18">
      <c r="A11" t="s">
        <v>150</v>
      </c>
      <c r="B11" t="s">
        <v>83</v>
      </c>
      <c r="C11" t="s">
        <v>95</v>
      </c>
      <c r="D11">
        <v>3</v>
      </c>
      <c r="E11" t="s">
        <v>143</v>
      </c>
      <c r="F11" t="s">
        <v>133</v>
      </c>
      <c r="G11" t="s">
        <v>134</v>
      </c>
      <c r="H11" s="16">
        <v>267997089</v>
      </c>
      <c r="I11" s="16">
        <v>76080601</v>
      </c>
      <c r="J11" s="16">
        <v>83850989</v>
      </c>
      <c r="K11" s="16">
        <v>252978506</v>
      </c>
      <c r="L11" s="16">
        <v>225883144</v>
      </c>
      <c r="M11" s="16">
        <v>15018583</v>
      </c>
      <c r="N11" s="16">
        <v>4194823</v>
      </c>
      <c r="O11">
        <v>4</v>
      </c>
      <c r="P11">
        <v>0</v>
      </c>
      <c r="Q11" s="20">
        <v>0.28388592310418714</v>
      </c>
      <c r="R11" s="21">
        <v>0.27930884025476971</v>
      </c>
    </row>
    <row r="12" spans="1:18">
      <c r="A12" t="s">
        <v>151</v>
      </c>
      <c r="B12" t="s">
        <v>68</v>
      </c>
      <c r="C12" t="s">
        <v>95</v>
      </c>
      <c r="D12">
        <v>2</v>
      </c>
      <c r="E12" t="s">
        <v>132</v>
      </c>
      <c r="F12" t="s">
        <v>152</v>
      </c>
      <c r="G12" t="s">
        <v>153</v>
      </c>
      <c r="H12" s="16">
        <v>234406077</v>
      </c>
      <c r="I12" s="16">
        <v>50267293</v>
      </c>
      <c r="J12" s="16">
        <v>49289841</v>
      </c>
      <c r="K12" s="16">
        <v>228925803</v>
      </c>
      <c r="L12" s="16">
        <v>202089776</v>
      </c>
      <c r="M12" s="16">
        <v>5480274</v>
      </c>
      <c r="N12" s="16">
        <v>162608</v>
      </c>
      <c r="O12">
        <v>6</v>
      </c>
      <c r="P12">
        <v>0</v>
      </c>
      <c r="Q12" s="20">
        <v>0.21444534904272128</v>
      </c>
      <c r="R12" s="21">
        <v>2.9671509125273662E-2</v>
      </c>
    </row>
    <row r="13" spans="1:18">
      <c r="A13" t="s">
        <v>154</v>
      </c>
      <c r="B13" t="s">
        <v>68</v>
      </c>
      <c r="C13" t="s">
        <v>95</v>
      </c>
      <c r="D13">
        <v>2</v>
      </c>
      <c r="E13" t="s">
        <v>132</v>
      </c>
      <c r="F13" t="s">
        <v>137</v>
      </c>
      <c r="G13" t="s">
        <v>138</v>
      </c>
      <c r="H13" s="16">
        <v>223147166</v>
      </c>
      <c r="I13" s="16">
        <v>44908980</v>
      </c>
      <c r="J13" s="16">
        <v>68401403</v>
      </c>
      <c r="K13" s="16">
        <v>216162767</v>
      </c>
      <c r="L13" s="16">
        <v>188184228</v>
      </c>
      <c r="M13" s="16">
        <v>6984398</v>
      </c>
      <c r="N13" s="16">
        <v>458952</v>
      </c>
      <c r="O13">
        <v>7</v>
      </c>
      <c r="P13">
        <v>0</v>
      </c>
      <c r="Q13" s="20">
        <v>0.20125274636022042</v>
      </c>
      <c r="R13" s="21">
        <v>6.5711031931456373E-2</v>
      </c>
    </row>
    <row r="14" spans="1:18">
      <c r="A14" t="s">
        <v>155</v>
      </c>
      <c r="B14" t="s">
        <v>89</v>
      </c>
      <c r="C14" t="s">
        <v>92</v>
      </c>
      <c r="D14">
        <v>2</v>
      </c>
      <c r="E14" t="s">
        <v>132</v>
      </c>
      <c r="F14" t="s">
        <v>133</v>
      </c>
      <c r="G14" t="s">
        <v>134</v>
      </c>
      <c r="H14" s="16">
        <v>178389094</v>
      </c>
      <c r="I14" s="16">
        <v>0</v>
      </c>
      <c r="J14" s="16">
        <v>18863330</v>
      </c>
      <c r="K14" s="16">
        <v>137181221</v>
      </c>
      <c r="L14" s="16">
        <v>16821616</v>
      </c>
      <c r="M14" s="16">
        <v>41207873</v>
      </c>
      <c r="N14" s="16">
        <v>1497264</v>
      </c>
      <c r="O14">
        <v>1</v>
      </c>
      <c r="P14">
        <v>0</v>
      </c>
      <c r="Q14" s="20">
        <v>0</v>
      </c>
      <c r="R14" s="21">
        <v>3.6334415998612694E-2</v>
      </c>
    </row>
    <row r="15" spans="1:18">
      <c r="A15" t="s">
        <v>156</v>
      </c>
      <c r="B15" t="s">
        <v>68</v>
      </c>
      <c r="C15" t="s">
        <v>95</v>
      </c>
      <c r="D15">
        <v>3</v>
      </c>
      <c r="E15" t="s">
        <v>143</v>
      </c>
      <c r="F15" t="s">
        <v>133</v>
      </c>
      <c r="G15" t="s">
        <v>134</v>
      </c>
      <c r="H15" s="16">
        <v>174129379</v>
      </c>
      <c r="I15" s="16">
        <v>26053128</v>
      </c>
      <c r="J15" s="16">
        <v>48850120</v>
      </c>
      <c r="K15" s="16">
        <v>162896340</v>
      </c>
      <c r="L15" s="16">
        <v>138789981</v>
      </c>
      <c r="M15" s="16">
        <v>11233038</v>
      </c>
      <c r="N15" s="16">
        <v>1278936</v>
      </c>
      <c r="O15">
        <v>50</v>
      </c>
      <c r="P15">
        <v>8</v>
      </c>
      <c r="Q15" s="20">
        <v>0.1496193700891795</v>
      </c>
      <c r="R15" s="21">
        <v>0.11385486277176309</v>
      </c>
    </row>
    <row r="16" spans="1:18">
      <c r="A16" t="s">
        <v>157</v>
      </c>
      <c r="B16" t="s">
        <v>68</v>
      </c>
      <c r="C16" t="s">
        <v>95</v>
      </c>
      <c r="D16">
        <v>1</v>
      </c>
      <c r="E16" t="s">
        <v>136</v>
      </c>
      <c r="F16" t="s">
        <v>152</v>
      </c>
      <c r="G16" t="s">
        <v>153</v>
      </c>
      <c r="H16" s="16">
        <v>172696602</v>
      </c>
      <c r="I16" s="16">
        <v>60414676</v>
      </c>
      <c r="J16" s="16">
        <v>75537684</v>
      </c>
      <c r="K16" s="16">
        <v>161143764</v>
      </c>
      <c r="L16" s="16">
        <v>150307927</v>
      </c>
      <c r="M16" s="16">
        <v>11552838</v>
      </c>
      <c r="N16" s="16">
        <v>546547</v>
      </c>
      <c r="O16">
        <v>508</v>
      </c>
      <c r="P16">
        <v>43</v>
      </c>
      <c r="Q16" s="20">
        <v>0.34983129546463226</v>
      </c>
      <c r="R16" s="21">
        <v>4.7308462215085161E-2</v>
      </c>
    </row>
    <row r="17" spans="1:18">
      <c r="A17" t="s">
        <v>158</v>
      </c>
      <c r="B17" t="s">
        <v>68</v>
      </c>
      <c r="C17" t="s">
        <v>98</v>
      </c>
      <c r="D17">
        <v>2</v>
      </c>
      <c r="E17" t="s">
        <v>132</v>
      </c>
      <c r="F17" t="s">
        <v>133</v>
      </c>
      <c r="G17" t="s">
        <v>134</v>
      </c>
      <c r="H17" s="16">
        <v>170644964</v>
      </c>
      <c r="I17" s="16">
        <v>98908783</v>
      </c>
      <c r="J17" s="16">
        <v>51122035</v>
      </c>
      <c r="K17" s="16">
        <v>163658813</v>
      </c>
      <c r="L17" s="16">
        <v>123737125</v>
      </c>
      <c r="M17" s="16">
        <v>6986151</v>
      </c>
      <c r="N17" s="16">
        <v>1256056</v>
      </c>
      <c r="O17">
        <v>6</v>
      </c>
      <c r="P17">
        <v>0</v>
      </c>
      <c r="Q17" s="20">
        <v>0.57961735688842242</v>
      </c>
      <c r="R17" s="21">
        <v>0.17979227760751235</v>
      </c>
    </row>
    <row r="18" spans="1:18">
      <c r="A18" t="s">
        <v>159</v>
      </c>
      <c r="B18" t="s">
        <v>68</v>
      </c>
      <c r="C18" t="s">
        <v>95</v>
      </c>
      <c r="D18">
        <v>2</v>
      </c>
      <c r="E18" t="s">
        <v>132</v>
      </c>
      <c r="F18" t="s">
        <v>133</v>
      </c>
      <c r="G18" t="s">
        <v>134</v>
      </c>
      <c r="H18" s="16">
        <v>153810528</v>
      </c>
      <c r="I18" s="16">
        <v>79767923</v>
      </c>
      <c r="J18" s="16">
        <v>33500853</v>
      </c>
      <c r="K18" s="16">
        <v>140835882</v>
      </c>
      <c r="L18" s="16">
        <v>113449781</v>
      </c>
      <c r="M18" s="16">
        <v>12974646</v>
      </c>
      <c r="N18" s="16">
        <v>961452</v>
      </c>
      <c r="O18">
        <v>7</v>
      </c>
      <c r="P18">
        <v>3</v>
      </c>
      <c r="Q18" s="20">
        <v>0.51861159334944873</v>
      </c>
      <c r="R18" s="21">
        <v>7.4102368573292873E-2</v>
      </c>
    </row>
    <row r="19" spans="1:18">
      <c r="A19" t="s">
        <v>160</v>
      </c>
      <c r="B19" t="s">
        <v>89</v>
      </c>
      <c r="C19" t="s">
        <v>95</v>
      </c>
      <c r="D19">
        <v>3</v>
      </c>
      <c r="E19" t="s">
        <v>143</v>
      </c>
      <c r="F19" t="s">
        <v>133</v>
      </c>
      <c r="G19" t="s">
        <v>134</v>
      </c>
      <c r="H19" s="16">
        <v>122363230</v>
      </c>
      <c r="I19" s="16">
        <v>75801555</v>
      </c>
      <c r="J19" s="16">
        <v>684426</v>
      </c>
      <c r="K19" s="16">
        <v>99117282</v>
      </c>
      <c r="L19" s="16">
        <v>3084398</v>
      </c>
      <c r="M19" s="16">
        <v>23245948</v>
      </c>
      <c r="N19" s="16">
        <v>4093013</v>
      </c>
      <c r="O19">
        <v>1</v>
      </c>
      <c r="P19">
        <v>0</v>
      </c>
      <c r="Q19" s="20">
        <v>0.61947984700959591</v>
      </c>
      <c r="R19" s="21">
        <v>0.17607425603808458</v>
      </c>
    </row>
    <row r="20" spans="1:18">
      <c r="A20" t="s">
        <v>161</v>
      </c>
      <c r="B20" t="s">
        <v>89</v>
      </c>
      <c r="C20" t="s">
        <v>162</v>
      </c>
      <c r="D20">
        <v>2</v>
      </c>
      <c r="E20" t="s">
        <v>132</v>
      </c>
      <c r="F20" t="s">
        <v>163</v>
      </c>
      <c r="G20" t="s">
        <v>134</v>
      </c>
      <c r="H20" s="16">
        <v>116680888</v>
      </c>
      <c r="I20" s="16">
        <v>0</v>
      </c>
      <c r="J20" s="16">
        <v>6134397</v>
      </c>
      <c r="K20" s="16">
        <v>105006218</v>
      </c>
      <c r="L20" s="16">
        <v>10367314</v>
      </c>
      <c r="M20" s="16">
        <v>11674670</v>
      </c>
      <c r="N20" s="16">
        <v>566759</v>
      </c>
      <c r="O20">
        <v>1</v>
      </c>
      <c r="P20">
        <v>0</v>
      </c>
      <c r="Q20" s="20">
        <v>0</v>
      </c>
      <c r="R20" s="21">
        <v>4.8546040273515223E-2</v>
      </c>
    </row>
    <row r="21" spans="1:18">
      <c r="A21" t="s">
        <v>164</v>
      </c>
      <c r="B21" t="s">
        <v>68</v>
      </c>
      <c r="C21" t="s">
        <v>98</v>
      </c>
      <c r="D21">
        <v>3</v>
      </c>
      <c r="E21" t="s">
        <v>143</v>
      </c>
      <c r="F21" t="s">
        <v>133</v>
      </c>
      <c r="G21" t="s">
        <v>134</v>
      </c>
      <c r="H21" s="16">
        <v>107680148</v>
      </c>
      <c r="I21" s="16">
        <v>3735715</v>
      </c>
      <c r="J21" s="16">
        <v>62287554</v>
      </c>
      <c r="K21" s="16">
        <v>95345805</v>
      </c>
      <c r="L21" s="16">
        <v>81045066</v>
      </c>
      <c r="M21" s="16">
        <v>12334343</v>
      </c>
      <c r="N21" s="16">
        <v>1059049</v>
      </c>
      <c r="O21">
        <v>9</v>
      </c>
      <c r="P21">
        <v>0</v>
      </c>
      <c r="Q21" s="20">
        <v>3.4692699345101198E-2</v>
      </c>
      <c r="R21" s="21">
        <v>8.5861808772465631E-2</v>
      </c>
    </row>
    <row r="22" spans="1:18">
      <c r="A22" t="s">
        <v>165</v>
      </c>
      <c r="B22" t="s">
        <v>68</v>
      </c>
      <c r="C22" t="s">
        <v>98</v>
      </c>
      <c r="D22">
        <v>2</v>
      </c>
      <c r="E22" t="s">
        <v>132</v>
      </c>
      <c r="F22" t="s">
        <v>133</v>
      </c>
      <c r="G22" t="s">
        <v>134</v>
      </c>
      <c r="H22" s="16">
        <v>107666102</v>
      </c>
      <c r="I22" s="16">
        <v>63321103</v>
      </c>
      <c r="J22" s="16">
        <v>26617818</v>
      </c>
      <c r="K22" s="16">
        <v>100010380</v>
      </c>
      <c r="L22" s="16">
        <v>89777748</v>
      </c>
      <c r="M22" s="16">
        <v>7655721</v>
      </c>
      <c r="N22" s="16">
        <v>901621</v>
      </c>
      <c r="O22">
        <v>59</v>
      </c>
      <c r="P22">
        <v>0</v>
      </c>
      <c r="Q22" s="20">
        <v>0.58812478415908476</v>
      </c>
      <c r="R22" s="21">
        <v>0.11777088010391183</v>
      </c>
    </row>
    <row r="23" spans="1:18">
      <c r="A23" t="s">
        <v>166</v>
      </c>
      <c r="B23" t="s">
        <v>89</v>
      </c>
      <c r="C23" t="s">
        <v>98</v>
      </c>
      <c r="D23">
        <v>3</v>
      </c>
      <c r="E23" t="s">
        <v>143</v>
      </c>
      <c r="F23" t="s">
        <v>141</v>
      </c>
      <c r="G23" t="s">
        <v>134</v>
      </c>
      <c r="H23" s="16">
        <v>105731564</v>
      </c>
      <c r="I23" s="16">
        <v>22485259</v>
      </c>
      <c r="J23" s="16">
        <v>1505659</v>
      </c>
      <c r="K23" s="16">
        <v>102742356</v>
      </c>
      <c r="L23" s="16">
        <v>59815921</v>
      </c>
      <c r="M23" s="16">
        <v>2989208</v>
      </c>
      <c r="N23" s="16">
        <v>-189822</v>
      </c>
      <c r="O23">
        <v>1</v>
      </c>
      <c r="P23">
        <v>0</v>
      </c>
      <c r="Q23" s="20">
        <v>0.2126636375113112</v>
      </c>
      <c r="R23" s="21">
        <v>-6.3502439442153238E-2</v>
      </c>
    </row>
    <row r="24" spans="1:18">
      <c r="A24" t="s">
        <v>167</v>
      </c>
      <c r="B24" t="s">
        <v>68</v>
      </c>
      <c r="C24" t="s">
        <v>98</v>
      </c>
      <c r="D24">
        <v>2</v>
      </c>
      <c r="E24" t="s">
        <v>132</v>
      </c>
      <c r="F24" t="s">
        <v>168</v>
      </c>
      <c r="G24" t="s">
        <v>169</v>
      </c>
      <c r="H24" s="16">
        <v>101480170</v>
      </c>
      <c r="I24" s="16">
        <v>46257204</v>
      </c>
      <c r="J24" s="16">
        <v>29351637</v>
      </c>
      <c r="K24" s="16">
        <v>94028336</v>
      </c>
      <c r="L24" s="16">
        <v>78117019</v>
      </c>
      <c r="M24" s="16">
        <v>7451834</v>
      </c>
      <c r="N24" s="16">
        <v>712048</v>
      </c>
      <c r="O24">
        <v>4</v>
      </c>
      <c r="P24">
        <v>0</v>
      </c>
      <c r="Q24" s="20">
        <v>0.45582505429385861</v>
      </c>
      <c r="R24" s="21">
        <v>9.5553389944005737E-2</v>
      </c>
    </row>
    <row r="25" spans="1:18">
      <c r="A25" t="s">
        <v>170</v>
      </c>
      <c r="B25" t="s">
        <v>89</v>
      </c>
      <c r="C25" t="s">
        <v>98</v>
      </c>
      <c r="D25">
        <v>3</v>
      </c>
      <c r="E25" t="s">
        <v>143</v>
      </c>
      <c r="F25" t="s">
        <v>133</v>
      </c>
      <c r="G25" t="s">
        <v>134</v>
      </c>
      <c r="H25" s="16">
        <v>89229885</v>
      </c>
      <c r="I25" s="16">
        <v>0</v>
      </c>
      <c r="J25" s="16">
        <v>33856104</v>
      </c>
      <c r="K25" s="16">
        <v>86020632</v>
      </c>
      <c r="L25" s="16">
        <v>35329072</v>
      </c>
      <c r="M25" s="16">
        <v>3209254</v>
      </c>
      <c r="N25" s="16">
        <v>867035</v>
      </c>
      <c r="O25">
        <v>1</v>
      </c>
      <c r="P25">
        <v>0</v>
      </c>
      <c r="Q25" s="20">
        <v>0</v>
      </c>
      <c r="R25" s="21">
        <v>0.27016714787922674</v>
      </c>
    </row>
    <row r="26" spans="1:18">
      <c r="A26" t="s">
        <v>171</v>
      </c>
      <c r="B26" t="s">
        <v>68</v>
      </c>
      <c r="C26" t="s">
        <v>95</v>
      </c>
      <c r="D26">
        <v>1</v>
      </c>
      <c r="E26" t="s">
        <v>136</v>
      </c>
      <c r="F26" t="s">
        <v>172</v>
      </c>
      <c r="G26" t="s">
        <v>173</v>
      </c>
      <c r="H26" s="16">
        <v>81039783</v>
      </c>
      <c r="I26" s="16">
        <v>17779920</v>
      </c>
      <c r="J26" s="16">
        <v>44768452</v>
      </c>
      <c r="K26" s="16">
        <v>64226772</v>
      </c>
      <c r="L26" s="16">
        <v>23269171</v>
      </c>
      <c r="M26" s="16">
        <v>16813010</v>
      </c>
      <c r="N26" s="16">
        <v>1057412</v>
      </c>
      <c r="O26">
        <v>301</v>
      </c>
      <c r="P26">
        <v>1</v>
      </c>
      <c r="Q26" s="20">
        <v>0.2193974285444471</v>
      </c>
      <c r="R26" s="21">
        <v>6.2892486235361783E-2</v>
      </c>
    </row>
    <row r="27" spans="1:18">
      <c r="A27" t="s">
        <v>174</v>
      </c>
      <c r="B27" t="s">
        <v>89</v>
      </c>
      <c r="C27" t="s">
        <v>92</v>
      </c>
      <c r="D27">
        <v>3</v>
      </c>
      <c r="E27" t="s">
        <v>143</v>
      </c>
      <c r="F27" t="s">
        <v>133</v>
      </c>
      <c r="G27" t="s">
        <v>134</v>
      </c>
      <c r="H27" s="16">
        <v>74198667</v>
      </c>
      <c r="I27" s="16">
        <v>0</v>
      </c>
      <c r="J27" s="16">
        <v>471650</v>
      </c>
      <c r="K27" s="16">
        <v>70373351</v>
      </c>
      <c r="L27" s="16">
        <v>457227</v>
      </c>
      <c r="M27" s="16">
        <v>3825316</v>
      </c>
      <c r="N27" s="16">
        <v>529101</v>
      </c>
      <c r="O27">
        <v>1</v>
      </c>
      <c r="P27">
        <v>0</v>
      </c>
      <c r="Q27" s="20">
        <v>0</v>
      </c>
      <c r="R27" s="21">
        <v>0.13831563196347701</v>
      </c>
    </row>
    <row r="28" spans="1:18">
      <c r="A28" t="s">
        <v>175</v>
      </c>
      <c r="B28" t="s">
        <v>89</v>
      </c>
      <c r="C28" t="s">
        <v>98</v>
      </c>
      <c r="D28">
        <v>2</v>
      </c>
      <c r="E28" t="s">
        <v>132</v>
      </c>
      <c r="F28" t="s">
        <v>133</v>
      </c>
      <c r="G28" t="s">
        <v>134</v>
      </c>
      <c r="H28" s="16">
        <v>73530147</v>
      </c>
      <c r="I28" s="16">
        <v>746551</v>
      </c>
      <c r="J28" s="16">
        <v>5259611</v>
      </c>
      <c r="K28" s="16">
        <v>67499312</v>
      </c>
      <c r="L28" s="16">
        <v>46766864</v>
      </c>
      <c r="M28" s="16">
        <v>6030835</v>
      </c>
      <c r="N28" s="16">
        <v>463519</v>
      </c>
      <c r="O28">
        <v>1</v>
      </c>
      <c r="P28">
        <v>0</v>
      </c>
      <c r="Q28" s="20">
        <v>1.0152992078201611E-2</v>
      </c>
      <c r="R28" s="21">
        <v>7.6858179671637508E-2</v>
      </c>
    </row>
    <row r="29" spans="1:18">
      <c r="A29" t="s">
        <v>176</v>
      </c>
      <c r="B29" t="s">
        <v>68</v>
      </c>
      <c r="C29" t="s">
        <v>98</v>
      </c>
      <c r="D29">
        <v>3</v>
      </c>
      <c r="E29" t="s">
        <v>143</v>
      </c>
      <c r="F29" t="s">
        <v>133</v>
      </c>
      <c r="G29" t="s">
        <v>134</v>
      </c>
      <c r="H29" s="16">
        <v>67821791</v>
      </c>
      <c r="I29" s="16">
        <v>21574787</v>
      </c>
      <c r="J29" s="16">
        <v>29645158</v>
      </c>
      <c r="K29" s="16">
        <v>60532470</v>
      </c>
      <c r="L29" s="16">
        <v>51486061</v>
      </c>
      <c r="M29" s="16">
        <v>7289321</v>
      </c>
      <c r="N29" s="16">
        <v>495451</v>
      </c>
      <c r="O29">
        <v>15</v>
      </c>
      <c r="P29">
        <v>0</v>
      </c>
      <c r="Q29" s="20">
        <v>0.31810995672467568</v>
      </c>
      <c r="R29" s="21">
        <v>6.7969430897610358E-2</v>
      </c>
    </row>
    <row r="30" spans="1:18">
      <c r="A30" t="s">
        <v>177</v>
      </c>
      <c r="B30" t="s">
        <v>68</v>
      </c>
      <c r="C30" t="s">
        <v>98</v>
      </c>
      <c r="D30">
        <v>1</v>
      </c>
      <c r="E30" t="s">
        <v>136</v>
      </c>
      <c r="F30" t="s">
        <v>178</v>
      </c>
      <c r="G30" t="s">
        <v>179</v>
      </c>
      <c r="H30" s="16">
        <v>67352881</v>
      </c>
      <c r="I30" s="16">
        <v>38713829</v>
      </c>
      <c r="J30" s="16">
        <v>21699434</v>
      </c>
      <c r="K30" s="16">
        <v>60078810</v>
      </c>
      <c r="L30" s="16">
        <v>15601132</v>
      </c>
      <c r="M30" s="16">
        <v>7274071</v>
      </c>
      <c r="N30" s="16">
        <v>353060</v>
      </c>
      <c r="O30">
        <v>115</v>
      </c>
      <c r="P30">
        <v>0</v>
      </c>
      <c r="Q30" s="20">
        <v>0.57479098778269044</v>
      </c>
      <c r="R30" s="21">
        <v>4.8536782222774563E-2</v>
      </c>
    </row>
    <row r="31" spans="1:18">
      <c r="A31" t="s">
        <v>180</v>
      </c>
      <c r="B31" t="s">
        <v>71</v>
      </c>
      <c r="C31" t="s">
        <v>98</v>
      </c>
      <c r="D31">
        <v>3</v>
      </c>
      <c r="E31" t="s">
        <v>143</v>
      </c>
      <c r="F31" t="s">
        <v>133</v>
      </c>
      <c r="G31" t="s">
        <v>134</v>
      </c>
      <c r="H31" s="16">
        <v>61250495</v>
      </c>
      <c r="I31" s="16">
        <v>50345582</v>
      </c>
      <c r="J31" s="16">
        <v>819927</v>
      </c>
      <c r="K31" s="16">
        <v>55986251</v>
      </c>
      <c r="L31" s="16">
        <v>47916041</v>
      </c>
      <c r="M31" s="16">
        <v>5264244</v>
      </c>
      <c r="N31" s="16">
        <v>-203091</v>
      </c>
      <c r="O31">
        <v>2</v>
      </c>
      <c r="P31">
        <v>0</v>
      </c>
      <c r="Q31" s="20">
        <v>0.8219620429190001</v>
      </c>
      <c r="R31" s="21">
        <v>-3.8579328769715079E-2</v>
      </c>
    </row>
    <row r="32" spans="1:18">
      <c r="A32" t="s">
        <v>181</v>
      </c>
      <c r="B32" t="s">
        <v>68</v>
      </c>
      <c r="C32" t="s">
        <v>98</v>
      </c>
      <c r="D32">
        <v>3</v>
      </c>
      <c r="E32" t="s">
        <v>143</v>
      </c>
      <c r="F32" t="s">
        <v>133</v>
      </c>
      <c r="G32" t="s">
        <v>134</v>
      </c>
      <c r="H32" s="16">
        <v>58787929</v>
      </c>
      <c r="I32" s="16">
        <v>6716037</v>
      </c>
      <c r="J32" s="16">
        <v>21646070</v>
      </c>
      <c r="K32" s="16">
        <v>54077310</v>
      </c>
      <c r="L32" s="16">
        <v>34516225</v>
      </c>
      <c r="M32" s="16">
        <v>4710619</v>
      </c>
      <c r="N32" s="16">
        <v>86546</v>
      </c>
      <c r="O32">
        <v>2</v>
      </c>
      <c r="P32">
        <v>0</v>
      </c>
      <c r="Q32" s="20">
        <v>0.1142417689182417</v>
      </c>
      <c r="R32" s="21">
        <v>1.8372532357212503E-2</v>
      </c>
    </row>
    <row r="33" spans="1:18">
      <c r="A33" t="s">
        <v>182</v>
      </c>
      <c r="B33" t="s">
        <v>68</v>
      </c>
      <c r="C33" t="s">
        <v>98</v>
      </c>
      <c r="D33">
        <v>3</v>
      </c>
      <c r="E33" t="s">
        <v>143</v>
      </c>
      <c r="F33" t="s">
        <v>133</v>
      </c>
      <c r="G33" t="s">
        <v>134</v>
      </c>
      <c r="H33" s="16">
        <v>54678970</v>
      </c>
      <c r="I33" s="16">
        <v>37932273</v>
      </c>
      <c r="J33" s="16">
        <v>7485572</v>
      </c>
      <c r="K33" s="16">
        <v>48983962</v>
      </c>
      <c r="L33" s="16">
        <v>44719472</v>
      </c>
      <c r="M33" s="16">
        <v>5695008</v>
      </c>
      <c r="N33" s="16">
        <v>270816</v>
      </c>
      <c r="O33">
        <v>19</v>
      </c>
      <c r="P33">
        <v>0</v>
      </c>
      <c r="Q33" s="20">
        <v>0.69372691182734425</v>
      </c>
      <c r="R33" s="21">
        <v>4.755322556175514E-2</v>
      </c>
    </row>
    <row r="34" spans="1:18">
      <c r="A34" t="s">
        <v>183</v>
      </c>
      <c r="B34" t="s">
        <v>68</v>
      </c>
      <c r="C34" t="s">
        <v>98</v>
      </c>
      <c r="D34">
        <v>2</v>
      </c>
      <c r="E34" t="s">
        <v>132</v>
      </c>
      <c r="F34" t="s">
        <v>133</v>
      </c>
      <c r="G34" t="s">
        <v>134</v>
      </c>
      <c r="H34" s="16">
        <v>52339486</v>
      </c>
      <c r="I34" s="16">
        <v>47649262</v>
      </c>
      <c r="J34" s="16">
        <v>397535</v>
      </c>
      <c r="K34" s="16">
        <v>50571417</v>
      </c>
      <c r="L34" s="16">
        <v>50254095</v>
      </c>
      <c r="M34" s="16">
        <v>1768069</v>
      </c>
      <c r="N34" s="16">
        <v>64502</v>
      </c>
      <c r="O34">
        <v>4</v>
      </c>
      <c r="P34">
        <v>0</v>
      </c>
      <c r="Q34" s="20">
        <v>0.91038842070401682</v>
      </c>
      <c r="R34" s="21">
        <v>3.648160790104911E-2</v>
      </c>
    </row>
    <row r="35" spans="1:18">
      <c r="A35" t="s">
        <v>184</v>
      </c>
      <c r="B35" t="s">
        <v>68</v>
      </c>
      <c r="C35" t="s">
        <v>98</v>
      </c>
      <c r="D35">
        <v>3</v>
      </c>
      <c r="E35" t="s">
        <v>143</v>
      </c>
      <c r="F35" t="s">
        <v>185</v>
      </c>
      <c r="G35" t="s">
        <v>134</v>
      </c>
      <c r="H35" s="16">
        <v>51173174</v>
      </c>
      <c r="I35" s="16">
        <v>34675580</v>
      </c>
      <c r="J35" s="16">
        <v>10623101</v>
      </c>
      <c r="K35" s="16">
        <v>47741214</v>
      </c>
      <c r="L35" s="16">
        <v>31489584</v>
      </c>
      <c r="M35" s="16">
        <v>3431960</v>
      </c>
      <c r="N35" s="16">
        <v>167735</v>
      </c>
      <c r="O35">
        <v>4</v>
      </c>
      <c r="P35">
        <v>340</v>
      </c>
      <c r="Q35" s="20">
        <v>0.67761245374383072</v>
      </c>
      <c r="R35" s="21">
        <v>4.8874404130584276E-2</v>
      </c>
    </row>
    <row r="36" spans="1:18">
      <c r="A36" t="s">
        <v>186</v>
      </c>
      <c r="B36" t="s">
        <v>68</v>
      </c>
      <c r="C36" t="s">
        <v>98</v>
      </c>
      <c r="D36">
        <v>2</v>
      </c>
      <c r="E36" t="s">
        <v>132</v>
      </c>
      <c r="F36" t="s">
        <v>133</v>
      </c>
      <c r="G36" t="s">
        <v>134</v>
      </c>
      <c r="H36" s="16">
        <v>49915753</v>
      </c>
      <c r="I36" s="16">
        <v>22600982</v>
      </c>
      <c r="J36" s="16">
        <v>16102835</v>
      </c>
      <c r="K36" s="16">
        <v>45596626</v>
      </c>
      <c r="L36" s="16">
        <v>35980205</v>
      </c>
      <c r="M36" s="16">
        <v>4319127</v>
      </c>
      <c r="N36" s="16">
        <v>304555</v>
      </c>
      <c r="O36">
        <v>35</v>
      </c>
      <c r="P36">
        <v>2</v>
      </c>
      <c r="Q36" s="20">
        <v>0.45278255143221019</v>
      </c>
      <c r="R36" s="21">
        <v>7.0513092113290488E-2</v>
      </c>
    </row>
    <row r="37" spans="1:18">
      <c r="A37" t="s">
        <v>187</v>
      </c>
      <c r="B37" t="s">
        <v>68</v>
      </c>
      <c r="C37" t="s">
        <v>98</v>
      </c>
      <c r="D37">
        <v>2</v>
      </c>
      <c r="E37" t="s">
        <v>132</v>
      </c>
      <c r="F37" t="s">
        <v>133</v>
      </c>
      <c r="G37" t="s">
        <v>134</v>
      </c>
      <c r="H37" s="16">
        <v>49039328</v>
      </c>
      <c r="I37" s="16">
        <v>28852169</v>
      </c>
      <c r="J37" s="16">
        <v>10214239</v>
      </c>
      <c r="K37" s="16">
        <v>46413359</v>
      </c>
      <c r="L37" s="16">
        <v>34844937</v>
      </c>
      <c r="M37" s="16">
        <v>2625969</v>
      </c>
      <c r="N37" s="16">
        <v>3889</v>
      </c>
      <c r="O37">
        <v>6</v>
      </c>
      <c r="P37">
        <v>0</v>
      </c>
      <c r="Q37" s="20">
        <v>0.58834756055384774</v>
      </c>
      <c r="R37" s="21">
        <v>1.4809771173993295E-3</v>
      </c>
    </row>
    <row r="38" spans="1:18">
      <c r="A38" t="s">
        <v>188</v>
      </c>
      <c r="B38" t="s">
        <v>68</v>
      </c>
      <c r="C38" t="s">
        <v>98</v>
      </c>
      <c r="D38">
        <v>2</v>
      </c>
      <c r="E38" t="s">
        <v>132</v>
      </c>
      <c r="F38" t="s">
        <v>168</v>
      </c>
      <c r="G38" t="s">
        <v>169</v>
      </c>
      <c r="H38" s="16">
        <v>43137599</v>
      </c>
      <c r="I38" s="16">
        <v>23658776</v>
      </c>
      <c r="J38" s="16">
        <v>4500606</v>
      </c>
      <c r="K38" s="16">
        <v>40003480</v>
      </c>
      <c r="L38" s="16">
        <v>31603356</v>
      </c>
      <c r="M38" s="16">
        <v>3134119</v>
      </c>
      <c r="N38" s="16">
        <v>549088</v>
      </c>
      <c r="O38">
        <v>9</v>
      </c>
      <c r="P38">
        <v>298</v>
      </c>
      <c r="Q38" s="20">
        <v>0.54844906875786015</v>
      </c>
      <c r="R38" s="21">
        <v>0.17519692136769535</v>
      </c>
    </row>
    <row r="39" spans="1:18">
      <c r="A39" t="s">
        <v>189</v>
      </c>
      <c r="B39" t="s">
        <v>68</v>
      </c>
      <c r="C39" t="s">
        <v>98</v>
      </c>
      <c r="D39">
        <v>1</v>
      </c>
      <c r="E39" t="s">
        <v>136</v>
      </c>
      <c r="F39" t="s">
        <v>190</v>
      </c>
      <c r="G39" t="s">
        <v>191</v>
      </c>
      <c r="H39" s="16">
        <v>42575494</v>
      </c>
      <c r="I39" s="16">
        <v>12460035</v>
      </c>
      <c r="J39" s="16">
        <v>21316783</v>
      </c>
      <c r="K39" s="16">
        <v>40070752</v>
      </c>
      <c r="L39" s="16">
        <v>38599751</v>
      </c>
      <c r="M39" s="16">
        <v>2504742</v>
      </c>
      <c r="N39" s="16">
        <v>226057</v>
      </c>
      <c r="O39">
        <v>88</v>
      </c>
      <c r="P39">
        <v>63</v>
      </c>
      <c r="Q39" s="20">
        <v>0.29265743810277339</v>
      </c>
      <c r="R39" s="21">
        <v>9.0251610744739377E-2</v>
      </c>
    </row>
    <row r="40" spans="1:18">
      <c r="A40" t="s">
        <v>192</v>
      </c>
      <c r="B40" t="s">
        <v>68</v>
      </c>
      <c r="C40" t="s">
        <v>98</v>
      </c>
      <c r="D40">
        <v>3</v>
      </c>
      <c r="E40" t="s">
        <v>143</v>
      </c>
      <c r="F40" t="s">
        <v>133</v>
      </c>
      <c r="G40" t="s">
        <v>134</v>
      </c>
      <c r="H40" s="16">
        <v>41219618</v>
      </c>
      <c r="I40" s="16">
        <v>2646247</v>
      </c>
      <c r="J40" s="16">
        <v>13476767</v>
      </c>
      <c r="K40" s="16">
        <v>33713616</v>
      </c>
      <c r="L40" s="16">
        <v>21612730</v>
      </c>
      <c r="M40" s="16">
        <v>7506002</v>
      </c>
      <c r="N40" s="16">
        <v>596770</v>
      </c>
      <c r="O40">
        <v>3</v>
      </c>
      <c r="P40">
        <v>0</v>
      </c>
      <c r="Q40" s="20">
        <v>6.419872692658142E-2</v>
      </c>
      <c r="R40" s="21">
        <v>7.9505707565758713E-2</v>
      </c>
    </row>
    <row r="41" spans="1:18">
      <c r="A41" t="s">
        <v>193</v>
      </c>
      <c r="B41" t="s">
        <v>68</v>
      </c>
      <c r="C41" t="s">
        <v>98</v>
      </c>
      <c r="D41">
        <v>2</v>
      </c>
      <c r="E41" t="s">
        <v>132</v>
      </c>
      <c r="F41" t="s">
        <v>145</v>
      </c>
      <c r="G41" t="s">
        <v>146</v>
      </c>
      <c r="H41" s="16">
        <v>40612776</v>
      </c>
      <c r="I41" s="16">
        <v>0</v>
      </c>
      <c r="J41" s="16">
        <v>34521002</v>
      </c>
      <c r="K41" s="16">
        <v>19060286</v>
      </c>
      <c r="L41" s="16">
        <v>5629524</v>
      </c>
      <c r="M41" s="16">
        <v>21552491</v>
      </c>
      <c r="N41" s="16">
        <v>52934</v>
      </c>
      <c r="O41">
        <v>2</v>
      </c>
      <c r="P41">
        <v>0</v>
      </c>
      <c r="Q41" s="20">
        <v>0</v>
      </c>
      <c r="R41" s="21">
        <v>2.4560502078390845E-3</v>
      </c>
    </row>
    <row r="42" spans="1:18">
      <c r="A42" t="s">
        <v>194</v>
      </c>
      <c r="B42" t="s">
        <v>68</v>
      </c>
      <c r="C42" t="s">
        <v>98</v>
      </c>
      <c r="D42">
        <v>2</v>
      </c>
      <c r="E42" t="s">
        <v>132</v>
      </c>
      <c r="F42" t="s">
        <v>133</v>
      </c>
      <c r="G42" t="s">
        <v>134</v>
      </c>
      <c r="H42" s="16">
        <v>37592586</v>
      </c>
      <c r="I42" s="16">
        <v>19314789</v>
      </c>
      <c r="J42" s="16">
        <v>13824794</v>
      </c>
      <c r="K42" s="16">
        <v>35789951</v>
      </c>
      <c r="L42" s="16">
        <v>31394611</v>
      </c>
      <c r="M42" s="16">
        <v>1802635</v>
      </c>
      <c r="N42" s="16">
        <v>315564</v>
      </c>
      <c r="O42">
        <v>5</v>
      </c>
      <c r="P42">
        <v>0</v>
      </c>
      <c r="Q42" s="20">
        <v>0.51379250685228195</v>
      </c>
      <c r="R42" s="21">
        <v>0.17505706923475911</v>
      </c>
    </row>
    <row r="43" spans="1:18">
      <c r="A43" t="s">
        <v>195</v>
      </c>
      <c r="B43" t="s">
        <v>68</v>
      </c>
      <c r="C43" t="s">
        <v>98</v>
      </c>
      <c r="D43">
        <v>2</v>
      </c>
      <c r="E43" t="s">
        <v>132</v>
      </c>
      <c r="F43" t="s">
        <v>133</v>
      </c>
      <c r="G43" t="s">
        <v>134</v>
      </c>
      <c r="H43" s="16">
        <v>37169761</v>
      </c>
      <c r="I43" s="16">
        <v>17893178</v>
      </c>
      <c r="J43" s="16">
        <v>6467856</v>
      </c>
      <c r="K43" s="16">
        <v>34845614</v>
      </c>
      <c r="L43" s="16">
        <v>32608252</v>
      </c>
      <c r="M43" s="16">
        <v>2324147</v>
      </c>
      <c r="N43" s="16">
        <v>156076</v>
      </c>
      <c r="O43">
        <v>2</v>
      </c>
      <c r="P43">
        <v>0</v>
      </c>
      <c r="Q43" s="20">
        <v>0.48139071973048198</v>
      </c>
      <c r="R43" s="21">
        <v>6.7154099977325007E-2</v>
      </c>
    </row>
    <row r="44" spans="1:18">
      <c r="A44" t="s">
        <v>196</v>
      </c>
      <c r="B44" t="s">
        <v>68</v>
      </c>
      <c r="C44" t="s">
        <v>98</v>
      </c>
      <c r="D44">
        <v>3</v>
      </c>
      <c r="E44" t="s">
        <v>143</v>
      </c>
      <c r="F44" t="s">
        <v>197</v>
      </c>
      <c r="G44" t="s">
        <v>198</v>
      </c>
      <c r="H44" s="16">
        <v>36497550</v>
      </c>
      <c r="I44" s="16">
        <v>16826463</v>
      </c>
      <c r="J44" s="16">
        <v>10616637</v>
      </c>
      <c r="K44" s="16">
        <v>34672226</v>
      </c>
      <c r="L44" s="16">
        <v>31609075</v>
      </c>
      <c r="M44" s="16">
        <v>1825324</v>
      </c>
      <c r="N44" s="16">
        <v>258123</v>
      </c>
      <c r="O44">
        <v>8</v>
      </c>
      <c r="P44">
        <v>0</v>
      </c>
      <c r="Q44" s="20">
        <v>0.46102993214613036</v>
      </c>
      <c r="R44" s="21">
        <v>0.14141215477361826</v>
      </c>
    </row>
    <row r="45" spans="1:18">
      <c r="A45" t="s">
        <v>199</v>
      </c>
      <c r="B45" t="s">
        <v>83</v>
      </c>
      <c r="C45" t="s">
        <v>98</v>
      </c>
      <c r="D45">
        <v>3</v>
      </c>
      <c r="E45" t="s">
        <v>143</v>
      </c>
      <c r="F45" t="s">
        <v>133</v>
      </c>
      <c r="G45" t="s">
        <v>134</v>
      </c>
      <c r="H45" s="16">
        <v>34597395</v>
      </c>
      <c r="I45" s="16">
        <v>30722722</v>
      </c>
      <c r="J45" s="16">
        <v>32559</v>
      </c>
      <c r="K45" s="16">
        <v>33711132</v>
      </c>
      <c r="L45" s="16">
        <v>33153032</v>
      </c>
      <c r="M45" s="16">
        <v>886263</v>
      </c>
      <c r="N45" s="16">
        <v>62150</v>
      </c>
      <c r="O45">
        <v>4</v>
      </c>
      <c r="P45">
        <v>0</v>
      </c>
      <c r="Q45" s="20">
        <v>0.88800679935584748</v>
      </c>
      <c r="R45" s="21">
        <v>7.0125910705964259E-2</v>
      </c>
    </row>
    <row r="46" spans="1:18">
      <c r="A46" t="s">
        <v>200</v>
      </c>
      <c r="B46" t="s">
        <v>77</v>
      </c>
      <c r="C46" t="s">
        <v>98</v>
      </c>
      <c r="D46">
        <v>2</v>
      </c>
      <c r="E46" t="s">
        <v>132</v>
      </c>
      <c r="F46" t="s">
        <v>168</v>
      </c>
      <c r="G46" t="s">
        <v>169</v>
      </c>
      <c r="H46" s="16">
        <v>34542515</v>
      </c>
      <c r="I46" s="16">
        <v>93624</v>
      </c>
      <c r="J46" s="16">
        <v>16768612</v>
      </c>
      <c r="K46" s="16">
        <v>32723827</v>
      </c>
      <c r="L46" s="16">
        <v>884328</v>
      </c>
      <c r="M46" s="16">
        <v>1818687</v>
      </c>
      <c r="N46" s="16">
        <v>118531</v>
      </c>
      <c r="O46">
        <v>0</v>
      </c>
      <c r="P46">
        <v>0</v>
      </c>
      <c r="Q46" s="20">
        <v>2.7103990546142919E-3</v>
      </c>
      <c r="R46" s="21">
        <v>6.5173941420376344E-2</v>
      </c>
    </row>
    <row r="47" spans="1:18">
      <c r="A47" t="s">
        <v>201</v>
      </c>
      <c r="B47" t="s">
        <v>71</v>
      </c>
      <c r="C47" t="s">
        <v>98</v>
      </c>
      <c r="D47">
        <v>3</v>
      </c>
      <c r="E47" t="s">
        <v>143</v>
      </c>
      <c r="F47" t="s">
        <v>133</v>
      </c>
      <c r="G47" t="s">
        <v>134</v>
      </c>
      <c r="H47" s="16">
        <v>33589905</v>
      </c>
      <c r="I47" s="16">
        <v>5685</v>
      </c>
      <c r="J47" s="16">
        <v>20231351</v>
      </c>
      <c r="K47" s="16">
        <v>27726197</v>
      </c>
      <c r="L47" s="16">
        <v>13179674</v>
      </c>
      <c r="M47" s="16">
        <v>5863708</v>
      </c>
      <c r="N47" s="16">
        <v>686226</v>
      </c>
      <c r="O47">
        <v>4</v>
      </c>
      <c r="P47">
        <v>0</v>
      </c>
      <c r="Q47" s="20">
        <v>1.6924727831174277E-4</v>
      </c>
      <c r="R47" s="21">
        <v>0.11702936094362135</v>
      </c>
    </row>
    <row r="48" spans="1:18">
      <c r="A48" t="s">
        <v>202</v>
      </c>
      <c r="B48" t="s">
        <v>80</v>
      </c>
      <c r="C48" t="s">
        <v>98</v>
      </c>
      <c r="D48">
        <v>1</v>
      </c>
      <c r="E48" t="s">
        <v>136</v>
      </c>
      <c r="F48" t="s">
        <v>152</v>
      </c>
      <c r="G48" t="s">
        <v>153</v>
      </c>
      <c r="H48" s="16">
        <v>30944445</v>
      </c>
      <c r="I48" s="16">
        <v>24677869</v>
      </c>
      <c r="J48" s="16">
        <v>5511980</v>
      </c>
      <c r="K48" s="16">
        <v>25160827</v>
      </c>
      <c r="L48" s="16">
        <v>23606986</v>
      </c>
      <c r="M48" s="16">
        <v>5783618</v>
      </c>
      <c r="N48" s="16">
        <v>315733</v>
      </c>
      <c r="O48">
        <v>4</v>
      </c>
      <c r="P48">
        <v>0</v>
      </c>
      <c r="Q48" s="20">
        <v>0.79748946862675996</v>
      </c>
      <c r="R48" s="21">
        <v>5.4590915236794685E-2</v>
      </c>
    </row>
    <row r="49" spans="1:18">
      <c r="A49" t="s">
        <v>203</v>
      </c>
      <c r="B49" t="s">
        <v>71</v>
      </c>
      <c r="C49" t="s">
        <v>98</v>
      </c>
      <c r="D49">
        <v>3</v>
      </c>
      <c r="E49" t="s">
        <v>143</v>
      </c>
      <c r="F49" t="s">
        <v>133</v>
      </c>
      <c r="G49" t="s">
        <v>134</v>
      </c>
      <c r="H49" s="16">
        <v>30785056</v>
      </c>
      <c r="I49" s="16">
        <v>25840767</v>
      </c>
      <c r="J49" s="16">
        <v>1190447</v>
      </c>
      <c r="K49" s="16">
        <v>26253657</v>
      </c>
      <c r="L49" s="16">
        <v>25411466</v>
      </c>
      <c r="M49" s="16">
        <v>4531399</v>
      </c>
      <c r="N49" s="16">
        <v>254721</v>
      </c>
      <c r="O49">
        <v>4</v>
      </c>
      <c r="P49">
        <v>0</v>
      </c>
      <c r="Q49" s="20">
        <v>0.83939321078382967</v>
      </c>
      <c r="R49" s="21">
        <v>5.6212441235035805E-2</v>
      </c>
    </row>
    <row r="50" spans="1:18">
      <c r="A50" t="s">
        <v>204</v>
      </c>
      <c r="B50" t="s">
        <v>77</v>
      </c>
      <c r="C50" t="s">
        <v>98</v>
      </c>
      <c r="D50">
        <v>2</v>
      </c>
      <c r="E50" t="s">
        <v>132</v>
      </c>
      <c r="F50" t="s">
        <v>205</v>
      </c>
      <c r="G50" t="s">
        <v>206</v>
      </c>
      <c r="H50" s="16">
        <v>29002304</v>
      </c>
      <c r="I50" s="16">
        <v>302641</v>
      </c>
      <c r="J50" s="16">
        <v>5844789</v>
      </c>
      <c r="K50" s="16">
        <v>27464682</v>
      </c>
      <c r="L50" s="16">
        <v>681810</v>
      </c>
      <c r="M50" s="16">
        <v>1537622</v>
      </c>
      <c r="N50" s="16">
        <v>73985</v>
      </c>
      <c r="O50">
        <v>0</v>
      </c>
      <c r="P50">
        <v>0</v>
      </c>
      <c r="Q50" s="20">
        <v>1.0435067503602473E-2</v>
      </c>
      <c r="R50" s="21">
        <v>4.8116507177967019E-2</v>
      </c>
    </row>
    <row r="51" spans="1:18">
      <c r="A51" t="s">
        <v>207</v>
      </c>
      <c r="B51" t="s">
        <v>77</v>
      </c>
      <c r="C51" t="s">
        <v>98</v>
      </c>
      <c r="D51">
        <v>2</v>
      </c>
      <c r="E51" t="s">
        <v>132</v>
      </c>
      <c r="F51" t="s">
        <v>168</v>
      </c>
      <c r="G51" t="s">
        <v>169</v>
      </c>
      <c r="H51" s="16">
        <v>27630783</v>
      </c>
      <c r="I51" s="16">
        <v>643420</v>
      </c>
      <c r="J51" s="16">
        <v>10514846</v>
      </c>
      <c r="K51" s="16">
        <v>26627866</v>
      </c>
      <c r="L51" s="16">
        <v>0</v>
      </c>
      <c r="M51" s="16">
        <v>1002917</v>
      </c>
      <c r="N51" s="16">
        <v>50294</v>
      </c>
      <c r="O51">
        <v>0</v>
      </c>
      <c r="P51">
        <v>0</v>
      </c>
      <c r="Q51" s="20">
        <v>2.3286346970333775E-2</v>
      </c>
      <c r="R51" s="21">
        <v>5.0147719103375454E-2</v>
      </c>
    </row>
    <row r="52" spans="1:18">
      <c r="A52" t="s">
        <v>208</v>
      </c>
      <c r="B52" t="s">
        <v>83</v>
      </c>
      <c r="C52" t="s">
        <v>98</v>
      </c>
      <c r="D52">
        <v>2</v>
      </c>
      <c r="E52" t="s">
        <v>132</v>
      </c>
      <c r="F52" t="s">
        <v>133</v>
      </c>
      <c r="G52" t="s">
        <v>134</v>
      </c>
      <c r="H52" s="16">
        <v>25555236</v>
      </c>
      <c r="I52" s="16">
        <v>20556575</v>
      </c>
      <c r="J52" s="16">
        <v>2444578</v>
      </c>
      <c r="K52" s="16">
        <v>24215542</v>
      </c>
      <c r="L52" s="16">
        <v>6946052</v>
      </c>
      <c r="M52" s="16">
        <v>1339695</v>
      </c>
      <c r="N52" s="16">
        <v>-37204</v>
      </c>
      <c r="O52">
        <v>4</v>
      </c>
      <c r="P52">
        <v>0</v>
      </c>
      <c r="Q52" s="20">
        <v>0.80439777586088423</v>
      </c>
      <c r="R52" s="21">
        <v>-2.7770500001866098E-2</v>
      </c>
    </row>
    <row r="53" spans="1:18">
      <c r="A53" t="s">
        <v>209</v>
      </c>
      <c r="B53" t="s">
        <v>71</v>
      </c>
      <c r="C53" t="s">
        <v>98</v>
      </c>
      <c r="D53">
        <v>3</v>
      </c>
      <c r="E53" t="s">
        <v>143</v>
      </c>
      <c r="F53" t="s">
        <v>210</v>
      </c>
      <c r="G53" t="s">
        <v>211</v>
      </c>
      <c r="H53" s="16">
        <v>24178316</v>
      </c>
      <c r="I53" s="16">
        <v>20416836</v>
      </c>
      <c r="J53" s="16">
        <v>1306</v>
      </c>
      <c r="K53" s="16">
        <v>21566756</v>
      </c>
      <c r="L53" s="16">
        <v>19821707</v>
      </c>
      <c r="M53" s="16">
        <v>2611560</v>
      </c>
      <c r="N53" s="16">
        <v>-99496</v>
      </c>
      <c r="O53">
        <v>2</v>
      </c>
      <c r="P53">
        <v>0</v>
      </c>
      <c r="Q53" s="20">
        <v>0.84442754408536969</v>
      </c>
      <c r="R53" s="21">
        <v>-3.8098301398397892E-2</v>
      </c>
    </row>
    <row r="54" spans="1:18">
      <c r="A54" t="s">
        <v>212</v>
      </c>
      <c r="B54" t="s">
        <v>71</v>
      </c>
      <c r="C54" t="s">
        <v>98</v>
      </c>
      <c r="D54">
        <v>2</v>
      </c>
      <c r="E54" t="s">
        <v>132</v>
      </c>
      <c r="F54" t="s">
        <v>133</v>
      </c>
      <c r="G54" t="s">
        <v>134</v>
      </c>
      <c r="H54" s="16">
        <v>23818077</v>
      </c>
      <c r="I54" s="16">
        <v>18220416</v>
      </c>
      <c r="J54" s="16">
        <v>1536756</v>
      </c>
      <c r="K54" s="16">
        <v>20380331</v>
      </c>
      <c r="L54" s="16">
        <v>4877271</v>
      </c>
      <c r="M54" s="16">
        <v>3437746</v>
      </c>
      <c r="N54" s="16">
        <v>300157</v>
      </c>
      <c r="O54">
        <v>2</v>
      </c>
      <c r="P54">
        <v>0</v>
      </c>
      <c r="Q54" s="20">
        <v>0.76498266421760241</v>
      </c>
      <c r="R54" s="21">
        <v>8.7312151624930986E-2</v>
      </c>
    </row>
    <row r="55" spans="1:18">
      <c r="A55" t="s">
        <v>213</v>
      </c>
      <c r="B55" t="s">
        <v>83</v>
      </c>
      <c r="C55" t="s">
        <v>98</v>
      </c>
      <c r="D55">
        <v>3</v>
      </c>
      <c r="E55" t="s">
        <v>143</v>
      </c>
      <c r="F55" t="s">
        <v>141</v>
      </c>
      <c r="G55" t="s">
        <v>134</v>
      </c>
      <c r="H55" s="16">
        <v>23041950</v>
      </c>
      <c r="I55" s="16">
        <v>11218909</v>
      </c>
      <c r="J55" s="16">
        <v>3431557</v>
      </c>
      <c r="K55" s="16">
        <v>19040582</v>
      </c>
      <c r="L55" s="16">
        <v>15365256</v>
      </c>
      <c r="M55" s="16">
        <v>4001368</v>
      </c>
      <c r="N55" s="16">
        <v>294078</v>
      </c>
      <c r="O55">
        <v>4</v>
      </c>
      <c r="P55">
        <v>0</v>
      </c>
      <c r="Q55" s="20">
        <v>0.48689060604679724</v>
      </c>
      <c r="R55" s="21">
        <v>7.3494364927194897E-2</v>
      </c>
    </row>
    <row r="56" spans="1:18">
      <c r="A56" t="s">
        <v>214</v>
      </c>
      <c r="B56" t="s">
        <v>68</v>
      </c>
      <c r="C56" t="s">
        <v>98</v>
      </c>
      <c r="D56">
        <v>2</v>
      </c>
      <c r="E56" t="s">
        <v>132</v>
      </c>
      <c r="F56" t="s">
        <v>133</v>
      </c>
      <c r="G56" t="s">
        <v>134</v>
      </c>
      <c r="H56" s="16">
        <v>22655142</v>
      </c>
      <c r="I56" s="16">
        <v>5556997</v>
      </c>
      <c r="J56" s="16">
        <v>12148350</v>
      </c>
      <c r="K56" s="16">
        <v>21200920</v>
      </c>
      <c r="L56" s="16">
        <v>19896779</v>
      </c>
      <c r="M56" s="16">
        <v>1454222</v>
      </c>
      <c r="N56" s="16">
        <v>154451</v>
      </c>
      <c r="O56">
        <v>2</v>
      </c>
      <c r="P56">
        <v>0</v>
      </c>
      <c r="Q56" s="20">
        <v>0.24528634603128949</v>
      </c>
      <c r="R56" s="21">
        <v>0.10620868065536074</v>
      </c>
    </row>
    <row r="57" spans="1:18">
      <c r="A57" t="s">
        <v>215</v>
      </c>
      <c r="B57" t="s">
        <v>89</v>
      </c>
      <c r="C57" t="s">
        <v>101</v>
      </c>
      <c r="D57">
        <v>2</v>
      </c>
      <c r="E57" t="s">
        <v>132</v>
      </c>
      <c r="F57" t="s">
        <v>133</v>
      </c>
      <c r="G57" t="s">
        <v>134</v>
      </c>
      <c r="H57" s="16">
        <v>22593972</v>
      </c>
      <c r="I57" s="16">
        <v>0</v>
      </c>
      <c r="J57" s="16">
        <v>819519</v>
      </c>
      <c r="K57" s="16">
        <v>20277561</v>
      </c>
      <c r="L57" s="16">
        <v>1355863</v>
      </c>
      <c r="M57" s="16">
        <v>2316411</v>
      </c>
      <c r="N57" s="16">
        <v>552378</v>
      </c>
      <c r="O57">
        <v>1</v>
      </c>
      <c r="P57">
        <v>0</v>
      </c>
      <c r="Q57" s="20">
        <v>0</v>
      </c>
      <c r="R57" s="21">
        <v>0.23846286345557849</v>
      </c>
    </row>
    <row r="58" spans="1:18">
      <c r="A58" t="s">
        <v>216</v>
      </c>
      <c r="B58" t="s">
        <v>68</v>
      </c>
      <c r="C58" t="s">
        <v>98</v>
      </c>
      <c r="D58">
        <v>3</v>
      </c>
      <c r="E58" t="s">
        <v>143</v>
      </c>
      <c r="F58" t="s">
        <v>133</v>
      </c>
      <c r="G58" t="s">
        <v>134</v>
      </c>
      <c r="H58" s="16">
        <v>22278101</v>
      </c>
      <c r="I58" s="16">
        <v>11430610</v>
      </c>
      <c r="J58" s="16">
        <v>6459682</v>
      </c>
      <c r="K58" s="16">
        <v>20382406</v>
      </c>
      <c r="L58" s="16">
        <v>17514237</v>
      </c>
      <c r="M58" s="16">
        <v>1895694</v>
      </c>
      <c r="N58" s="16">
        <v>774</v>
      </c>
      <c r="O58">
        <v>15</v>
      </c>
      <c r="P58">
        <v>1</v>
      </c>
      <c r="Q58" s="20">
        <v>0.51308726897323964</v>
      </c>
      <c r="R58" s="21">
        <v>4.0829374361051941E-4</v>
      </c>
    </row>
    <row r="59" spans="1:18">
      <c r="A59" t="s">
        <v>217</v>
      </c>
      <c r="B59" t="s">
        <v>68</v>
      </c>
      <c r="C59" t="s">
        <v>98</v>
      </c>
      <c r="D59">
        <v>3</v>
      </c>
      <c r="E59" t="s">
        <v>143</v>
      </c>
      <c r="F59" t="s">
        <v>133</v>
      </c>
      <c r="G59" t="s">
        <v>134</v>
      </c>
      <c r="H59" s="16">
        <v>21745428</v>
      </c>
      <c r="I59" s="16">
        <v>3777593</v>
      </c>
      <c r="J59" s="16">
        <v>9872679</v>
      </c>
      <c r="K59" s="16">
        <v>18666470</v>
      </c>
      <c r="L59" s="16">
        <v>15460387</v>
      </c>
      <c r="M59" s="16">
        <v>3078957</v>
      </c>
      <c r="N59" s="16">
        <v>101246</v>
      </c>
      <c r="O59">
        <v>2</v>
      </c>
      <c r="P59">
        <v>0</v>
      </c>
      <c r="Q59" s="20">
        <v>0.17371895370373946</v>
      </c>
      <c r="R59" s="21">
        <v>3.2883213373879533E-2</v>
      </c>
    </row>
    <row r="60" spans="1:18">
      <c r="A60" t="s">
        <v>218</v>
      </c>
      <c r="B60" t="s">
        <v>68</v>
      </c>
      <c r="C60" t="s">
        <v>98</v>
      </c>
      <c r="D60">
        <v>1</v>
      </c>
      <c r="E60" t="s">
        <v>136</v>
      </c>
      <c r="F60" t="s">
        <v>178</v>
      </c>
      <c r="G60" t="s">
        <v>179</v>
      </c>
      <c r="H60" s="16">
        <v>21444615</v>
      </c>
      <c r="I60" s="16">
        <v>15444766</v>
      </c>
      <c r="J60" s="16">
        <v>1420567</v>
      </c>
      <c r="K60" s="16">
        <v>19200343</v>
      </c>
      <c r="L60" s="16">
        <v>18223337</v>
      </c>
      <c r="M60" s="16">
        <v>2244272</v>
      </c>
      <c r="N60" s="16">
        <v>100805</v>
      </c>
      <c r="O60">
        <v>165</v>
      </c>
      <c r="P60">
        <v>34</v>
      </c>
      <c r="Q60" s="20">
        <v>0.72021652055772512</v>
      </c>
      <c r="R60" s="21">
        <v>4.4916569827543183E-2</v>
      </c>
    </row>
    <row r="61" spans="1:18">
      <c r="A61" t="s">
        <v>219</v>
      </c>
      <c r="B61" t="s">
        <v>71</v>
      </c>
      <c r="C61" t="s">
        <v>98</v>
      </c>
      <c r="D61">
        <v>3</v>
      </c>
      <c r="E61" t="s">
        <v>143</v>
      </c>
      <c r="F61" t="s">
        <v>220</v>
      </c>
      <c r="G61" t="s">
        <v>134</v>
      </c>
      <c r="H61" s="16">
        <v>20752683</v>
      </c>
      <c r="I61" s="16">
        <v>19293458</v>
      </c>
      <c r="J61" s="16">
        <v>317664</v>
      </c>
      <c r="K61" s="16">
        <v>18328972</v>
      </c>
      <c r="L61" s="16">
        <v>17573247</v>
      </c>
      <c r="M61" s="16">
        <v>2423711</v>
      </c>
      <c r="N61" s="16">
        <v>39490</v>
      </c>
      <c r="O61">
        <v>4</v>
      </c>
      <c r="P61">
        <v>0</v>
      </c>
      <c r="Q61" s="20">
        <v>0.92968499542926575</v>
      </c>
      <c r="R61" s="21">
        <v>1.6293196672375544E-2</v>
      </c>
    </row>
    <row r="62" spans="1:18">
      <c r="A62" t="s">
        <v>221</v>
      </c>
      <c r="B62" t="s">
        <v>68</v>
      </c>
      <c r="C62" t="s">
        <v>98</v>
      </c>
      <c r="D62">
        <v>3</v>
      </c>
      <c r="E62" t="s">
        <v>143</v>
      </c>
      <c r="F62" t="s">
        <v>133</v>
      </c>
      <c r="G62" t="s">
        <v>134</v>
      </c>
      <c r="H62" s="16">
        <v>20150414</v>
      </c>
      <c r="I62" s="16">
        <v>8746825</v>
      </c>
      <c r="J62" s="16">
        <v>4002938</v>
      </c>
      <c r="K62" s="16">
        <v>15955785</v>
      </c>
      <c r="L62" s="16">
        <v>14040180</v>
      </c>
      <c r="M62" s="16">
        <v>4194628</v>
      </c>
      <c r="N62" s="16">
        <v>137358</v>
      </c>
      <c r="O62">
        <v>2</v>
      </c>
      <c r="P62">
        <v>0</v>
      </c>
      <c r="Q62" s="20">
        <v>0.43407668944171568</v>
      </c>
      <c r="R62" s="21">
        <v>3.2746169624576958E-2</v>
      </c>
    </row>
    <row r="63" spans="1:18">
      <c r="A63" t="s">
        <v>222</v>
      </c>
      <c r="B63" t="s">
        <v>77</v>
      </c>
      <c r="C63" t="s">
        <v>98</v>
      </c>
      <c r="D63">
        <v>2</v>
      </c>
      <c r="E63" t="s">
        <v>132</v>
      </c>
      <c r="F63" t="s">
        <v>223</v>
      </c>
      <c r="G63" t="s">
        <v>134</v>
      </c>
      <c r="H63" s="16">
        <v>19289667</v>
      </c>
      <c r="I63" s="16">
        <v>0</v>
      </c>
      <c r="J63" s="16">
        <v>6723730</v>
      </c>
      <c r="K63" s="16">
        <v>18358775</v>
      </c>
      <c r="L63" s="16">
        <v>1544428</v>
      </c>
      <c r="M63" s="16">
        <v>930893</v>
      </c>
      <c r="N63" s="16">
        <v>61944</v>
      </c>
      <c r="O63">
        <v>0</v>
      </c>
      <c r="P63">
        <v>0</v>
      </c>
      <c r="Q63" s="20">
        <v>0</v>
      </c>
      <c r="R63" s="21">
        <v>6.6542556448485488E-2</v>
      </c>
    </row>
    <row r="64" spans="1:18">
      <c r="A64" t="s">
        <v>224</v>
      </c>
      <c r="B64" t="s">
        <v>74</v>
      </c>
      <c r="C64" t="s">
        <v>98</v>
      </c>
      <c r="D64">
        <v>2</v>
      </c>
      <c r="E64" t="s">
        <v>132</v>
      </c>
      <c r="F64" t="s">
        <v>225</v>
      </c>
      <c r="G64" t="s">
        <v>134</v>
      </c>
      <c r="H64" s="16">
        <v>18797895</v>
      </c>
      <c r="I64" s="16">
        <v>9038341</v>
      </c>
      <c r="J64" s="16">
        <v>3840257</v>
      </c>
      <c r="K64" s="16">
        <v>15102280</v>
      </c>
      <c r="L64" s="16">
        <v>13307188</v>
      </c>
      <c r="M64" s="16">
        <v>3695615</v>
      </c>
      <c r="N64" s="16">
        <v>164239</v>
      </c>
      <c r="O64">
        <v>0</v>
      </c>
      <c r="P64">
        <v>127</v>
      </c>
      <c r="Q64" s="20">
        <v>0.48081665526911394</v>
      </c>
      <c r="R64" s="21">
        <v>4.4441588206563722E-2</v>
      </c>
    </row>
    <row r="65" spans="1:18">
      <c r="A65" t="s">
        <v>226</v>
      </c>
      <c r="B65" t="s">
        <v>68</v>
      </c>
      <c r="C65" t="s">
        <v>98</v>
      </c>
      <c r="D65">
        <v>3</v>
      </c>
      <c r="E65" t="s">
        <v>143</v>
      </c>
      <c r="F65" t="s">
        <v>133</v>
      </c>
      <c r="G65" t="s">
        <v>134</v>
      </c>
      <c r="H65" s="16">
        <v>18630284</v>
      </c>
      <c r="I65" s="16">
        <v>232468</v>
      </c>
      <c r="J65" s="16">
        <v>10798757</v>
      </c>
      <c r="K65" s="16">
        <v>11319725</v>
      </c>
      <c r="L65" s="16">
        <v>4673543</v>
      </c>
      <c r="M65" s="16">
        <v>7310558</v>
      </c>
      <c r="N65" s="16">
        <v>454611</v>
      </c>
      <c r="O65">
        <v>4</v>
      </c>
      <c r="P65">
        <v>0</v>
      </c>
      <c r="Q65" s="20">
        <v>1.2477963298895497E-2</v>
      </c>
      <c r="R65" s="21">
        <v>6.2185540419760023E-2</v>
      </c>
    </row>
    <row r="66" spans="1:18">
      <c r="A66" t="s">
        <v>227</v>
      </c>
      <c r="B66" t="s">
        <v>71</v>
      </c>
      <c r="C66" t="s">
        <v>101</v>
      </c>
      <c r="D66">
        <v>2</v>
      </c>
      <c r="E66" t="s">
        <v>132</v>
      </c>
      <c r="F66" t="s">
        <v>133</v>
      </c>
      <c r="G66" t="s">
        <v>134</v>
      </c>
      <c r="H66" s="16">
        <v>18254444</v>
      </c>
      <c r="I66" s="16">
        <v>178232</v>
      </c>
      <c r="J66" s="16">
        <v>16606264</v>
      </c>
      <c r="K66" s="16">
        <v>17676436</v>
      </c>
      <c r="L66" s="16">
        <v>16192670</v>
      </c>
      <c r="M66" s="16">
        <v>578008</v>
      </c>
      <c r="N66" s="16">
        <v>-4635</v>
      </c>
      <c r="O66">
        <v>2</v>
      </c>
      <c r="P66">
        <v>0</v>
      </c>
      <c r="Q66" s="20">
        <v>9.7637594440016899E-3</v>
      </c>
      <c r="R66" s="21">
        <v>-8.0189201533542795E-3</v>
      </c>
    </row>
    <row r="67" spans="1:18">
      <c r="A67" t="s">
        <v>228</v>
      </c>
      <c r="B67" t="s">
        <v>68</v>
      </c>
      <c r="C67" t="s">
        <v>98</v>
      </c>
      <c r="D67">
        <v>2</v>
      </c>
      <c r="E67" t="s">
        <v>132</v>
      </c>
      <c r="F67" t="s">
        <v>133</v>
      </c>
      <c r="G67" t="s">
        <v>134</v>
      </c>
      <c r="H67" s="16">
        <v>18118067</v>
      </c>
      <c r="I67" s="16">
        <v>8087665</v>
      </c>
      <c r="J67" s="16">
        <v>8474142</v>
      </c>
      <c r="K67" s="16">
        <v>16960264</v>
      </c>
      <c r="L67" s="16">
        <v>16003930</v>
      </c>
      <c r="M67" s="16">
        <v>1157803</v>
      </c>
      <c r="N67" s="16">
        <v>39612</v>
      </c>
      <c r="O67">
        <v>26</v>
      </c>
      <c r="P67">
        <v>0</v>
      </c>
      <c r="Q67" s="20">
        <v>0.44638674754873131</v>
      </c>
      <c r="R67" s="21">
        <v>3.4213074244927678E-2</v>
      </c>
    </row>
    <row r="68" spans="1:18">
      <c r="A68" t="s">
        <v>229</v>
      </c>
      <c r="B68" t="s">
        <v>71</v>
      </c>
      <c r="C68" t="s">
        <v>98</v>
      </c>
      <c r="D68">
        <v>3</v>
      </c>
      <c r="E68" t="s">
        <v>143</v>
      </c>
      <c r="F68" t="s">
        <v>133</v>
      </c>
      <c r="G68" t="s">
        <v>134</v>
      </c>
      <c r="H68" s="16">
        <v>18035945</v>
      </c>
      <c r="I68" s="16">
        <v>13773333</v>
      </c>
      <c r="J68" s="16">
        <v>162166</v>
      </c>
      <c r="K68" s="16">
        <v>15113876</v>
      </c>
      <c r="L68" s="16">
        <v>13229613</v>
      </c>
      <c r="M68" s="16">
        <v>2922069</v>
      </c>
      <c r="N68" s="16">
        <v>277328</v>
      </c>
      <c r="O68">
        <v>2</v>
      </c>
      <c r="P68">
        <v>0</v>
      </c>
      <c r="Q68" s="20">
        <v>0.76366017971334466</v>
      </c>
      <c r="R68" s="21">
        <v>9.4908094230492165E-2</v>
      </c>
    </row>
    <row r="69" spans="1:18">
      <c r="A69" t="s">
        <v>230</v>
      </c>
      <c r="B69" t="s">
        <v>77</v>
      </c>
      <c r="C69" t="s">
        <v>98</v>
      </c>
      <c r="D69">
        <v>2</v>
      </c>
      <c r="E69" t="s">
        <v>132</v>
      </c>
      <c r="F69" t="s">
        <v>231</v>
      </c>
      <c r="G69" t="s">
        <v>211</v>
      </c>
      <c r="H69" s="16">
        <v>17754461</v>
      </c>
      <c r="I69" s="16">
        <v>99057</v>
      </c>
      <c r="J69" s="16">
        <v>4187898</v>
      </c>
      <c r="K69" s="16">
        <v>16966332</v>
      </c>
      <c r="L69" s="16">
        <v>10293913</v>
      </c>
      <c r="M69" s="16">
        <v>788128</v>
      </c>
      <c r="N69" s="16">
        <v>57735</v>
      </c>
      <c r="O69">
        <v>0</v>
      </c>
      <c r="P69">
        <v>0</v>
      </c>
      <c r="Q69" s="20">
        <v>5.5792738512309668E-3</v>
      </c>
      <c r="R69" s="21">
        <v>7.3255867067278407E-2</v>
      </c>
    </row>
    <row r="70" spans="1:18">
      <c r="A70" t="s">
        <v>232</v>
      </c>
      <c r="B70" t="s">
        <v>77</v>
      </c>
      <c r="C70" t="s">
        <v>98</v>
      </c>
      <c r="D70">
        <v>2</v>
      </c>
      <c r="E70" t="s">
        <v>132</v>
      </c>
      <c r="F70" t="s">
        <v>133</v>
      </c>
      <c r="G70" t="s">
        <v>134</v>
      </c>
      <c r="H70" s="16">
        <v>17572425</v>
      </c>
      <c r="I70" s="16">
        <v>0</v>
      </c>
      <c r="J70" s="16">
        <v>9733269</v>
      </c>
      <c r="K70" s="16">
        <v>16799091</v>
      </c>
      <c r="L70" s="16">
        <v>58</v>
      </c>
      <c r="M70" s="16">
        <v>773335</v>
      </c>
      <c r="N70" s="16">
        <v>41955</v>
      </c>
      <c r="O70">
        <v>0</v>
      </c>
      <c r="P70">
        <v>1</v>
      </c>
      <c r="Q70" s="20">
        <v>0</v>
      </c>
      <c r="R70" s="21">
        <v>5.4252038249917568E-2</v>
      </c>
    </row>
    <row r="71" spans="1:18">
      <c r="A71" t="s">
        <v>233</v>
      </c>
      <c r="B71" t="s">
        <v>74</v>
      </c>
      <c r="C71" t="s">
        <v>98</v>
      </c>
      <c r="D71">
        <v>2</v>
      </c>
      <c r="E71" t="s">
        <v>132</v>
      </c>
      <c r="F71" t="s">
        <v>234</v>
      </c>
      <c r="G71" t="s">
        <v>206</v>
      </c>
      <c r="H71" s="16">
        <v>17524030</v>
      </c>
      <c r="I71" s="16">
        <v>8725675</v>
      </c>
      <c r="J71" s="16">
        <v>721306</v>
      </c>
      <c r="K71" s="16">
        <v>13841312</v>
      </c>
      <c r="L71" s="16">
        <v>12675486</v>
      </c>
      <c r="M71" s="16">
        <v>3682717</v>
      </c>
      <c r="N71" s="16">
        <v>405343</v>
      </c>
      <c r="O71">
        <v>0</v>
      </c>
      <c r="P71">
        <v>119</v>
      </c>
      <c r="Q71" s="20">
        <v>0.49792627609060247</v>
      </c>
      <c r="R71" s="21">
        <v>0.11006629073045797</v>
      </c>
    </row>
    <row r="72" spans="1:18">
      <c r="A72" t="s">
        <v>235</v>
      </c>
      <c r="B72" t="s">
        <v>68</v>
      </c>
      <c r="C72" t="s">
        <v>98</v>
      </c>
      <c r="D72">
        <v>3</v>
      </c>
      <c r="E72" t="s">
        <v>143</v>
      </c>
      <c r="F72" t="s">
        <v>133</v>
      </c>
      <c r="G72" t="s">
        <v>134</v>
      </c>
      <c r="H72" s="16">
        <v>16814021</v>
      </c>
      <c r="I72" s="16">
        <v>2503686</v>
      </c>
      <c r="J72" s="16">
        <v>4371324</v>
      </c>
      <c r="K72" s="16">
        <v>13546762</v>
      </c>
      <c r="L72" s="16">
        <v>12726404</v>
      </c>
      <c r="M72" s="16">
        <v>3267259</v>
      </c>
      <c r="N72" s="16">
        <v>156951</v>
      </c>
      <c r="O72">
        <v>4</v>
      </c>
      <c r="P72">
        <v>0</v>
      </c>
      <c r="Q72" s="20">
        <v>0.1489046552279196</v>
      </c>
      <c r="R72" s="21">
        <v>4.8037514014040515E-2</v>
      </c>
    </row>
    <row r="73" spans="1:18">
      <c r="A73" t="s">
        <v>236</v>
      </c>
      <c r="B73" t="s">
        <v>68</v>
      </c>
      <c r="C73" t="s">
        <v>98</v>
      </c>
      <c r="D73">
        <v>3</v>
      </c>
      <c r="E73" t="s">
        <v>143</v>
      </c>
      <c r="F73" t="s">
        <v>133</v>
      </c>
      <c r="G73" t="s">
        <v>134</v>
      </c>
      <c r="H73" s="16">
        <v>16666011</v>
      </c>
      <c r="I73" s="16">
        <v>5254439</v>
      </c>
      <c r="J73" s="16">
        <v>6256048</v>
      </c>
      <c r="K73" s="16">
        <v>15037777</v>
      </c>
      <c r="L73" s="16">
        <v>12899483</v>
      </c>
      <c r="M73" s="16">
        <v>1628234</v>
      </c>
      <c r="N73" s="16">
        <v>91854</v>
      </c>
      <c r="O73">
        <v>2</v>
      </c>
      <c r="P73">
        <v>0</v>
      </c>
      <c r="Q73" s="20">
        <v>0.31527874306575221</v>
      </c>
      <c r="R73" s="21">
        <v>5.6413267380487082E-2</v>
      </c>
    </row>
    <row r="74" spans="1:18">
      <c r="A74" t="s">
        <v>237</v>
      </c>
      <c r="B74" t="s">
        <v>71</v>
      </c>
      <c r="C74" t="s">
        <v>98</v>
      </c>
      <c r="D74">
        <v>3</v>
      </c>
      <c r="E74" t="s">
        <v>143</v>
      </c>
      <c r="F74" t="s">
        <v>210</v>
      </c>
      <c r="G74" t="s">
        <v>211</v>
      </c>
      <c r="H74" s="16">
        <v>16337893</v>
      </c>
      <c r="I74" s="16">
        <v>14011636</v>
      </c>
      <c r="J74" s="16">
        <v>1158021</v>
      </c>
      <c r="K74" s="16">
        <v>12164690</v>
      </c>
      <c r="L74" s="16">
        <v>12024746</v>
      </c>
      <c r="M74" s="16">
        <v>4173203</v>
      </c>
      <c r="N74" s="16">
        <v>198482</v>
      </c>
      <c r="O74">
        <v>2</v>
      </c>
      <c r="P74">
        <v>0</v>
      </c>
      <c r="Q74" s="20">
        <v>0.85761585046492839</v>
      </c>
      <c r="R74" s="21">
        <v>4.756106999827231E-2</v>
      </c>
    </row>
    <row r="75" spans="1:18">
      <c r="A75" t="s">
        <v>238</v>
      </c>
      <c r="B75" t="s">
        <v>68</v>
      </c>
      <c r="C75" t="s">
        <v>98</v>
      </c>
      <c r="D75">
        <v>3</v>
      </c>
      <c r="E75" t="s">
        <v>143</v>
      </c>
      <c r="F75" t="s">
        <v>133</v>
      </c>
      <c r="G75" t="s">
        <v>134</v>
      </c>
      <c r="H75" s="16">
        <v>15949756</v>
      </c>
      <c r="I75" s="16">
        <v>3005417</v>
      </c>
      <c r="J75" s="16">
        <v>3677983</v>
      </c>
      <c r="K75" s="16">
        <v>11282372</v>
      </c>
      <c r="L75" s="16">
        <v>7131538</v>
      </c>
      <c r="M75" s="16">
        <v>4667384</v>
      </c>
      <c r="N75" s="16">
        <v>-230170</v>
      </c>
      <c r="O75">
        <v>13</v>
      </c>
      <c r="P75">
        <v>0</v>
      </c>
      <c r="Q75" s="20">
        <v>0.18843028068893342</v>
      </c>
      <c r="R75" s="21">
        <v>-4.931456250439218E-2</v>
      </c>
    </row>
    <row r="76" spans="1:18">
      <c r="A76" t="s">
        <v>239</v>
      </c>
      <c r="B76" t="s">
        <v>74</v>
      </c>
      <c r="C76" t="s">
        <v>98</v>
      </c>
      <c r="D76">
        <v>2</v>
      </c>
      <c r="E76" t="s">
        <v>132</v>
      </c>
      <c r="F76" t="s">
        <v>240</v>
      </c>
      <c r="G76" t="s">
        <v>211</v>
      </c>
      <c r="H76" s="16">
        <v>15763618</v>
      </c>
      <c r="I76" s="16">
        <v>8895732</v>
      </c>
      <c r="J76" s="16">
        <v>5471429</v>
      </c>
      <c r="K76" s="16">
        <v>14298311</v>
      </c>
      <c r="L76" s="16">
        <v>9139325</v>
      </c>
      <c r="M76" s="16">
        <v>1465307</v>
      </c>
      <c r="N76" s="16">
        <v>88996</v>
      </c>
      <c r="O76">
        <v>0</v>
      </c>
      <c r="P76">
        <v>114</v>
      </c>
      <c r="Q76" s="20">
        <v>0.56432044978506835</v>
      </c>
      <c r="R76" s="21">
        <v>6.0735395381309169E-2</v>
      </c>
    </row>
    <row r="77" spans="1:18">
      <c r="A77" t="s">
        <v>241</v>
      </c>
      <c r="B77" t="s">
        <v>80</v>
      </c>
      <c r="C77" t="s">
        <v>98</v>
      </c>
      <c r="D77">
        <v>1</v>
      </c>
      <c r="E77" t="s">
        <v>136</v>
      </c>
      <c r="F77" t="s">
        <v>168</v>
      </c>
      <c r="G77" t="s">
        <v>169</v>
      </c>
      <c r="H77" s="16">
        <v>15427555</v>
      </c>
      <c r="I77" s="16">
        <v>9253331</v>
      </c>
      <c r="J77" s="16">
        <v>4175546</v>
      </c>
      <c r="K77" s="16">
        <v>12945523</v>
      </c>
      <c r="L77" s="16">
        <v>11810887</v>
      </c>
      <c r="M77" s="16">
        <v>2482032</v>
      </c>
      <c r="N77" s="16">
        <v>71599</v>
      </c>
      <c r="O77">
        <v>2</v>
      </c>
      <c r="P77">
        <v>0</v>
      </c>
      <c r="Q77" s="20">
        <v>0.59979244928959907</v>
      </c>
      <c r="R77" s="21">
        <v>2.884692864556138E-2</v>
      </c>
    </row>
    <row r="78" spans="1:18">
      <c r="A78" t="s">
        <v>242</v>
      </c>
      <c r="B78" t="s">
        <v>77</v>
      </c>
      <c r="C78" t="s">
        <v>101</v>
      </c>
      <c r="D78">
        <v>2</v>
      </c>
      <c r="E78" t="s">
        <v>132</v>
      </c>
      <c r="F78" t="s">
        <v>190</v>
      </c>
      <c r="G78" t="s">
        <v>191</v>
      </c>
      <c r="H78" s="16">
        <v>15057607</v>
      </c>
      <c r="I78" s="16">
        <v>124827</v>
      </c>
      <c r="J78" s="16">
        <v>4108110</v>
      </c>
      <c r="K78" s="16">
        <v>14252356</v>
      </c>
      <c r="L78" s="16">
        <v>282392</v>
      </c>
      <c r="M78" s="16">
        <v>805251</v>
      </c>
      <c r="N78" s="16">
        <v>19394</v>
      </c>
      <c r="O78">
        <v>0</v>
      </c>
      <c r="P78">
        <v>0</v>
      </c>
      <c r="Q78" s="20">
        <v>8.28996267467998E-3</v>
      </c>
      <c r="R78" s="21">
        <v>2.4084415915037672E-2</v>
      </c>
    </row>
    <row r="79" spans="1:18">
      <c r="A79" t="s">
        <v>243</v>
      </c>
      <c r="B79" t="s">
        <v>68</v>
      </c>
      <c r="C79" t="s">
        <v>98</v>
      </c>
      <c r="D79">
        <v>3</v>
      </c>
      <c r="E79" t="s">
        <v>143</v>
      </c>
      <c r="F79" t="s">
        <v>133</v>
      </c>
      <c r="G79" t="s">
        <v>134</v>
      </c>
      <c r="H79" s="16">
        <v>15033171</v>
      </c>
      <c r="I79" s="16">
        <v>3270316</v>
      </c>
      <c r="J79" s="16">
        <v>5891940</v>
      </c>
      <c r="K79" s="16">
        <v>13699571</v>
      </c>
      <c r="L79" s="16">
        <v>12505201</v>
      </c>
      <c r="M79" s="16">
        <v>1333599</v>
      </c>
      <c r="N79" s="16">
        <v>40301</v>
      </c>
      <c r="O79">
        <v>2</v>
      </c>
      <c r="P79">
        <v>0</v>
      </c>
      <c r="Q79" s="20">
        <v>0.2175399987135116</v>
      </c>
      <c r="R79" s="21">
        <v>3.0219728719052728E-2</v>
      </c>
    </row>
    <row r="80" spans="1:18">
      <c r="A80" t="s">
        <v>244</v>
      </c>
      <c r="B80" t="s">
        <v>77</v>
      </c>
      <c r="C80" t="s">
        <v>98</v>
      </c>
      <c r="D80">
        <v>2</v>
      </c>
      <c r="E80" t="s">
        <v>132</v>
      </c>
      <c r="F80" t="s">
        <v>234</v>
      </c>
      <c r="G80" t="s">
        <v>206</v>
      </c>
      <c r="H80" s="16">
        <v>15013283</v>
      </c>
      <c r="I80" s="16">
        <v>867026</v>
      </c>
      <c r="J80" s="16">
        <v>10349258</v>
      </c>
      <c r="K80" s="16">
        <v>13955963</v>
      </c>
      <c r="L80" s="16">
        <v>2549732</v>
      </c>
      <c r="M80" s="16">
        <v>1057321</v>
      </c>
      <c r="N80" s="16">
        <v>0</v>
      </c>
      <c r="O80">
        <v>0</v>
      </c>
      <c r="P80">
        <v>0</v>
      </c>
      <c r="Q80" s="20">
        <v>5.7750593257983616E-2</v>
      </c>
      <c r="R80" s="21">
        <v>0</v>
      </c>
    </row>
    <row r="81" spans="1:18">
      <c r="A81" t="s">
        <v>245</v>
      </c>
      <c r="B81" t="s">
        <v>68</v>
      </c>
      <c r="C81" t="s">
        <v>101</v>
      </c>
      <c r="D81">
        <v>3</v>
      </c>
      <c r="E81" t="s">
        <v>143</v>
      </c>
      <c r="F81" t="s">
        <v>133</v>
      </c>
      <c r="G81" t="s">
        <v>134</v>
      </c>
      <c r="H81" s="16">
        <v>14606558</v>
      </c>
      <c r="I81" s="16">
        <v>13506814</v>
      </c>
      <c r="J81" s="16">
        <v>927339</v>
      </c>
      <c r="K81" s="16">
        <v>13161285</v>
      </c>
      <c r="L81" s="16">
        <v>13090687</v>
      </c>
      <c r="M81" s="16">
        <v>1445274</v>
      </c>
      <c r="N81" s="16">
        <v>50461</v>
      </c>
      <c r="O81">
        <v>2</v>
      </c>
      <c r="P81">
        <v>1</v>
      </c>
      <c r="Q81" s="20">
        <v>0.92470888761061987</v>
      </c>
      <c r="R81" s="21">
        <v>3.4914486803194408E-2</v>
      </c>
    </row>
    <row r="82" spans="1:18">
      <c r="A82" t="s">
        <v>246</v>
      </c>
      <c r="B82" t="s">
        <v>71</v>
      </c>
      <c r="C82" t="s">
        <v>98</v>
      </c>
      <c r="D82">
        <v>3</v>
      </c>
      <c r="E82" t="s">
        <v>143</v>
      </c>
      <c r="F82" t="s">
        <v>220</v>
      </c>
      <c r="G82" t="s">
        <v>134</v>
      </c>
      <c r="H82" s="16">
        <v>14576177</v>
      </c>
      <c r="I82" s="16">
        <v>13856076</v>
      </c>
      <c r="J82" s="16">
        <v>1077</v>
      </c>
      <c r="K82" s="16">
        <v>13361825</v>
      </c>
      <c r="L82" s="16">
        <v>13257387</v>
      </c>
      <c r="M82" s="16">
        <v>1214352</v>
      </c>
      <c r="N82" s="16">
        <v>-73181</v>
      </c>
      <c r="O82">
        <v>2</v>
      </c>
      <c r="P82">
        <v>0</v>
      </c>
      <c r="Q82" s="20">
        <v>0.95059740287182293</v>
      </c>
      <c r="R82" s="21">
        <v>-6.026341620880931E-2</v>
      </c>
    </row>
    <row r="83" spans="1:18">
      <c r="A83" t="s">
        <v>247</v>
      </c>
      <c r="B83" t="s">
        <v>68</v>
      </c>
      <c r="C83" t="s">
        <v>101</v>
      </c>
      <c r="D83">
        <v>2</v>
      </c>
      <c r="E83" t="s">
        <v>132</v>
      </c>
      <c r="F83" t="s">
        <v>210</v>
      </c>
      <c r="G83" t="s">
        <v>211</v>
      </c>
      <c r="H83" s="16">
        <v>14353333</v>
      </c>
      <c r="I83" s="16">
        <v>10228934</v>
      </c>
      <c r="J83" s="16">
        <v>1948928</v>
      </c>
      <c r="K83" s="16">
        <v>13028257</v>
      </c>
      <c r="L83" s="16">
        <v>12590519</v>
      </c>
      <c r="M83" s="16">
        <v>1325076</v>
      </c>
      <c r="N83" s="16">
        <v>63848</v>
      </c>
      <c r="O83">
        <v>4</v>
      </c>
      <c r="P83">
        <v>0</v>
      </c>
      <c r="Q83" s="20">
        <v>0.71265217632726841</v>
      </c>
      <c r="R83" s="21">
        <v>4.8184406026522256E-2</v>
      </c>
    </row>
    <row r="84" spans="1:18">
      <c r="A84" t="s">
        <v>248</v>
      </c>
      <c r="B84" t="s">
        <v>74</v>
      </c>
      <c r="C84" t="s">
        <v>98</v>
      </c>
      <c r="D84">
        <v>2</v>
      </c>
      <c r="E84" t="s">
        <v>132</v>
      </c>
      <c r="F84" t="s">
        <v>249</v>
      </c>
      <c r="G84" t="s">
        <v>250</v>
      </c>
      <c r="H84" s="16">
        <v>14275375</v>
      </c>
      <c r="I84" s="16">
        <v>8240441</v>
      </c>
      <c r="J84" s="16">
        <v>5115503</v>
      </c>
      <c r="K84" s="16">
        <v>12116632</v>
      </c>
      <c r="L84" s="16">
        <v>6937118</v>
      </c>
      <c r="M84" s="16">
        <v>2158743</v>
      </c>
      <c r="N84" s="16">
        <v>138820</v>
      </c>
      <c r="O84">
        <v>0</v>
      </c>
      <c r="P84">
        <v>52</v>
      </c>
      <c r="Q84" s="20">
        <v>0.57724865371312484</v>
      </c>
      <c r="R84" s="21">
        <v>6.4305941003630351E-2</v>
      </c>
    </row>
    <row r="85" spans="1:18">
      <c r="A85" t="s">
        <v>251</v>
      </c>
      <c r="B85" t="s">
        <v>74</v>
      </c>
      <c r="C85" t="s">
        <v>104</v>
      </c>
      <c r="D85">
        <v>2</v>
      </c>
      <c r="E85" t="s">
        <v>132</v>
      </c>
      <c r="F85" t="s">
        <v>252</v>
      </c>
      <c r="G85" t="s">
        <v>191</v>
      </c>
      <c r="H85" s="16">
        <v>14077036</v>
      </c>
      <c r="I85" s="16">
        <v>8366223</v>
      </c>
      <c r="J85" s="16">
        <v>1208342</v>
      </c>
      <c r="K85" s="16">
        <v>11335914</v>
      </c>
      <c r="L85" s="16">
        <v>9530472</v>
      </c>
      <c r="M85" s="16">
        <v>2741123</v>
      </c>
      <c r="N85" s="16">
        <v>344184</v>
      </c>
      <c r="O85">
        <v>0</v>
      </c>
      <c r="P85">
        <v>47</v>
      </c>
      <c r="Q85" s="20">
        <v>0.59431708493179958</v>
      </c>
      <c r="R85" s="21">
        <v>0.12556313598477703</v>
      </c>
    </row>
    <row r="86" spans="1:18">
      <c r="A86" t="s">
        <v>253</v>
      </c>
      <c r="B86" t="s">
        <v>74</v>
      </c>
      <c r="C86" t="s">
        <v>101</v>
      </c>
      <c r="D86">
        <v>2</v>
      </c>
      <c r="E86" t="s">
        <v>132</v>
      </c>
      <c r="F86" t="s">
        <v>254</v>
      </c>
      <c r="G86" t="s">
        <v>211</v>
      </c>
      <c r="H86" s="16">
        <v>14018360</v>
      </c>
      <c r="I86" s="16">
        <v>7916771</v>
      </c>
      <c r="J86" s="16">
        <v>4987574</v>
      </c>
      <c r="K86" s="16">
        <v>12804827</v>
      </c>
      <c r="L86" s="16">
        <v>9042223</v>
      </c>
      <c r="M86" s="16">
        <v>1213534</v>
      </c>
      <c r="N86" s="16">
        <v>15132</v>
      </c>
      <c r="O86">
        <v>0</v>
      </c>
      <c r="P86">
        <v>99</v>
      </c>
      <c r="Q86" s="20">
        <v>0.56474302272163079</v>
      </c>
      <c r="R86" s="21">
        <v>1.2469366330073983E-2</v>
      </c>
    </row>
    <row r="87" spans="1:18">
      <c r="A87" t="s">
        <v>255</v>
      </c>
      <c r="B87" t="s">
        <v>74</v>
      </c>
      <c r="C87" t="s">
        <v>101</v>
      </c>
      <c r="D87">
        <v>2</v>
      </c>
      <c r="E87" t="s">
        <v>132</v>
      </c>
      <c r="F87" t="s">
        <v>256</v>
      </c>
      <c r="G87" t="s">
        <v>211</v>
      </c>
      <c r="H87" s="16">
        <v>13974601</v>
      </c>
      <c r="I87" s="16">
        <v>7514227</v>
      </c>
      <c r="J87" s="16">
        <v>5894205</v>
      </c>
      <c r="K87" s="16">
        <v>12537460</v>
      </c>
      <c r="L87" s="16">
        <v>9570690</v>
      </c>
      <c r="M87" s="16">
        <v>1437140</v>
      </c>
      <c r="N87" s="16">
        <v>112756</v>
      </c>
      <c r="O87">
        <v>0</v>
      </c>
      <c r="P87">
        <v>67</v>
      </c>
      <c r="Q87" s="20">
        <v>0.53770601393198991</v>
      </c>
      <c r="R87" s="21">
        <v>7.8458605285497585E-2</v>
      </c>
    </row>
    <row r="88" spans="1:18">
      <c r="A88" t="s">
        <v>257</v>
      </c>
      <c r="B88" t="s">
        <v>74</v>
      </c>
      <c r="C88" t="s">
        <v>101</v>
      </c>
      <c r="D88">
        <v>2</v>
      </c>
      <c r="E88" t="s">
        <v>132</v>
      </c>
      <c r="F88" t="s">
        <v>258</v>
      </c>
      <c r="G88" t="s">
        <v>153</v>
      </c>
      <c r="H88" s="16">
        <v>13586344</v>
      </c>
      <c r="I88" s="16">
        <v>6300100</v>
      </c>
      <c r="J88" s="16">
        <v>5905777</v>
      </c>
      <c r="K88" s="16">
        <v>12207314</v>
      </c>
      <c r="L88" s="16">
        <v>9533766</v>
      </c>
      <c r="M88" s="16">
        <v>1379030</v>
      </c>
      <c r="N88" s="16">
        <v>113959</v>
      </c>
      <c r="O88">
        <v>0</v>
      </c>
      <c r="P88">
        <v>53</v>
      </c>
      <c r="Q88" s="20">
        <v>0.46370826471050636</v>
      </c>
      <c r="R88" s="21">
        <v>8.2637070984677638E-2</v>
      </c>
    </row>
    <row r="89" spans="1:18">
      <c r="A89" t="s">
        <v>259</v>
      </c>
      <c r="B89" t="s">
        <v>74</v>
      </c>
      <c r="C89" t="s">
        <v>101</v>
      </c>
      <c r="D89">
        <v>2</v>
      </c>
      <c r="E89" t="s">
        <v>132</v>
      </c>
      <c r="F89" t="s">
        <v>260</v>
      </c>
      <c r="G89" t="s">
        <v>211</v>
      </c>
      <c r="H89" s="16">
        <v>13507632</v>
      </c>
      <c r="I89" s="16">
        <v>6820737</v>
      </c>
      <c r="J89" s="16">
        <v>5547449</v>
      </c>
      <c r="K89" s="16">
        <v>11880745</v>
      </c>
      <c r="L89" s="16">
        <v>8451752</v>
      </c>
      <c r="M89" s="16">
        <v>1626887</v>
      </c>
      <c r="N89" s="16">
        <v>164127</v>
      </c>
      <c r="O89">
        <v>0</v>
      </c>
      <c r="P89">
        <v>103</v>
      </c>
      <c r="Q89" s="20">
        <v>0.50495431027436932</v>
      </c>
      <c r="R89" s="21">
        <v>0.10088408107016653</v>
      </c>
    </row>
    <row r="90" spans="1:18">
      <c r="A90" t="s">
        <v>261</v>
      </c>
      <c r="B90" t="s">
        <v>74</v>
      </c>
      <c r="C90" t="s">
        <v>98</v>
      </c>
      <c r="D90">
        <v>2</v>
      </c>
      <c r="E90" t="s">
        <v>132</v>
      </c>
      <c r="F90" t="s">
        <v>262</v>
      </c>
      <c r="G90" t="s">
        <v>134</v>
      </c>
      <c r="H90" s="16">
        <v>13447581</v>
      </c>
      <c r="I90" s="16">
        <v>7137064</v>
      </c>
      <c r="J90" s="16">
        <v>507699</v>
      </c>
      <c r="K90" s="16">
        <v>11588801</v>
      </c>
      <c r="L90" s="16">
        <v>10812970</v>
      </c>
      <c r="M90" s="16">
        <v>1858780</v>
      </c>
      <c r="N90" s="16">
        <v>43795</v>
      </c>
      <c r="O90">
        <v>0</v>
      </c>
      <c r="P90">
        <v>43</v>
      </c>
      <c r="Q90" s="20">
        <v>0.53073218149792145</v>
      </c>
      <c r="R90" s="21">
        <v>2.356115301434274E-2</v>
      </c>
    </row>
    <row r="91" spans="1:18">
      <c r="A91" t="s">
        <v>263</v>
      </c>
      <c r="B91" t="s">
        <v>68</v>
      </c>
      <c r="C91" t="s">
        <v>101</v>
      </c>
      <c r="D91">
        <v>1</v>
      </c>
      <c r="E91" t="s">
        <v>136</v>
      </c>
      <c r="F91" t="s">
        <v>264</v>
      </c>
      <c r="G91" t="s">
        <v>265</v>
      </c>
      <c r="H91" s="16">
        <v>13095223</v>
      </c>
      <c r="I91" s="16">
        <v>5161133</v>
      </c>
      <c r="J91" s="16">
        <v>3681718</v>
      </c>
      <c r="K91" s="16">
        <v>12111926</v>
      </c>
      <c r="L91" s="16">
        <v>11542610</v>
      </c>
      <c r="M91" s="16">
        <v>983297</v>
      </c>
      <c r="N91" s="16">
        <v>62758</v>
      </c>
      <c r="O91">
        <v>65</v>
      </c>
      <c r="P91">
        <v>8</v>
      </c>
      <c r="Q91" s="20">
        <v>0.39412333795308413</v>
      </c>
      <c r="R91" s="21">
        <v>6.3824053159930311E-2</v>
      </c>
    </row>
    <row r="92" spans="1:18">
      <c r="A92" t="s">
        <v>266</v>
      </c>
      <c r="B92" t="s">
        <v>71</v>
      </c>
      <c r="C92" t="s">
        <v>98</v>
      </c>
      <c r="D92">
        <v>3</v>
      </c>
      <c r="E92" t="s">
        <v>143</v>
      </c>
      <c r="F92" t="s">
        <v>133</v>
      </c>
      <c r="G92" t="s">
        <v>134</v>
      </c>
      <c r="H92" s="16">
        <v>12962999</v>
      </c>
      <c r="I92" s="16">
        <v>10952867</v>
      </c>
      <c r="J92" s="16">
        <v>0</v>
      </c>
      <c r="K92" s="16">
        <v>11566878</v>
      </c>
      <c r="L92" s="16">
        <v>11024860</v>
      </c>
      <c r="M92" s="16">
        <v>1396120</v>
      </c>
      <c r="N92" s="16">
        <v>138158</v>
      </c>
      <c r="O92">
        <v>2</v>
      </c>
      <c r="P92">
        <v>0</v>
      </c>
      <c r="Q92" s="20">
        <v>0.84493310537168131</v>
      </c>
      <c r="R92" s="21">
        <v>9.8958542245652231E-2</v>
      </c>
    </row>
    <row r="93" spans="1:18">
      <c r="A93" t="s">
        <v>267</v>
      </c>
      <c r="B93" t="s">
        <v>71</v>
      </c>
      <c r="C93" t="s">
        <v>98</v>
      </c>
      <c r="D93">
        <v>3</v>
      </c>
      <c r="E93" t="s">
        <v>143</v>
      </c>
      <c r="F93" t="s">
        <v>152</v>
      </c>
      <c r="G93" t="s">
        <v>153</v>
      </c>
      <c r="H93" s="16">
        <v>12747922</v>
      </c>
      <c r="I93" s="16">
        <v>10633465</v>
      </c>
      <c r="J93" s="16">
        <v>0</v>
      </c>
      <c r="K93" s="16">
        <v>11203148</v>
      </c>
      <c r="L93" s="16">
        <v>10577133</v>
      </c>
      <c r="M93" s="16">
        <v>1544774</v>
      </c>
      <c r="N93" s="16">
        <v>-82291</v>
      </c>
      <c r="O93">
        <v>3</v>
      </c>
      <c r="P93">
        <v>0</v>
      </c>
      <c r="Q93" s="20">
        <v>0.83413320225837595</v>
      </c>
      <c r="R93" s="21">
        <v>-5.3270575501659145E-2</v>
      </c>
    </row>
    <row r="94" spans="1:18">
      <c r="A94" t="s">
        <v>268</v>
      </c>
      <c r="B94" t="s">
        <v>89</v>
      </c>
      <c r="C94" t="s">
        <v>98</v>
      </c>
      <c r="D94">
        <v>2</v>
      </c>
      <c r="E94" t="s">
        <v>132</v>
      </c>
      <c r="F94" t="s">
        <v>133</v>
      </c>
      <c r="G94" t="s">
        <v>134</v>
      </c>
      <c r="H94" s="16">
        <v>12442386</v>
      </c>
      <c r="I94" s="16">
        <v>0</v>
      </c>
      <c r="J94" s="16">
        <v>579802</v>
      </c>
      <c r="K94" s="16">
        <v>9608844</v>
      </c>
      <c r="L94" s="16">
        <v>3248317</v>
      </c>
      <c r="M94" s="16">
        <v>2833542</v>
      </c>
      <c r="N94" s="16">
        <v>353166</v>
      </c>
      <c r="O94">
        <v>1</v>
      </c>
      <c r="P94">
        <v>0</v>
      </c>
      <c r="Q94" s="20">
        <v>0</v>
      </c>
      <c r="R94" s="21">
        <v>0.12463764433348791</v>
      </c>
    </row>
    <row r="95" spans="1:18">
      <c r="A95" t="s">
        <v>269</v>
      </c>
      <c r="B95" t="s">
        <v>74</v>
      </c>
      <c r="C95" t="s">
        <v>101</v>
      </c>
      <c r="D95">
        <v>2</v>
      </c>
      <c r="E95" t="s">
        <v>132</v>
      </c>
      <c r="F95" t="s">
        <v>270</v>
      </c>
      <c r="G95" t="s">
        <v>153</v>
      </c>
      <c r="H95" s="16">
        <v>12226563</v>
      </c>
      <c r="I95" s="16">
        <v>6209920</v>
      </c>
      <c r="J95" s="16">
        <v>4830757</v>
      </c>
      <c r="K95" s="16">
        <v>10939887</v>
      </c>
      <c r="L95" s="16">
        <v>9065460</v>
      </c>
      <c r="M95" s="16">
        <v>1286676</v>
      </c>
      <c r="N95" s="16">
        <v>93377</v>
      </c>
      <c r="O95">
        <v>0</v>
      </c>
      <c r="P95">
        <v>59</v>
      </c>
      <c r="Q95" s="20">
        <v>0.50790397922948582</v>
      </c>
      <c r="R95" s="21">
        <v>7.2572271496476187E-2</v>
      </c>
    </row>
    <row r="96" spans="1:18">
      <c r="A96" t="s">
        <v>271</v>
      </c>
      <c r="B96" t="s">
        <v>68</v>
      </c>
      <c r="C96" t="s">
        <v>98</v>
      </c>
      <c r="D96">
        <v>3</v>
      </c>
      <c r="E96" t="s">
        <v>143</v>
      </c>
      <c r="F96" t="s">
        <v>133</v>
      </c>
      <c r="G96" t="s">
        <v>134</v>
      </c>
      <c r="H96" s="16">
        <v>12013998</v>
      </c>
      <c r="I96" s="16">
        <v>3443386</v>
      </c>
      <c r="J96" s="16">
        <v>4322735</v>
      </c>
      <c r="K96" s="16">
        <v>10348619</v>
      </c>
      <c r="L96" s="16">
        <v>9398798</v>
      </c>
      <c r="M96" s="16">
        <v>1665379</v>
      </c>
      <c r="N96" s="16">
        <v>44215</v>
      </c>
      <c r="O96">
        <v>2</v>
      </c>
      <c r="P96">
        <v>0</v>
      </c>
      <c r="Q96" s="20">
        <v>0.28661449752197393</v>
      </c>
      <c r="R96" s="21">
        <v>2.6549512153089476E-2</v>
      </c>
    </row>
    <row r="97" spans="1:18">
      <c r="A97" t="s">
        <v>272</v>
      </c>
      <c r="B97" t="s">
        <v>71</v>
      </c>
      <c r="C97" t="s">
        <v>98</v>
      </c>
      <c r="D97">
        <v>3</v>
      </c>
      <c r="E97" t="s">
        <v>143</v>
      </c>
      <c r="F97" t="s">
        <v>133</v>
      </c>
      <c r="G97" t="s">
        <v>134</v>
      </c>
      <c r="H97" s="16">
        <v>11951773</v>
      </c>
      <c r="I97" s="16">
        <v>9938301</v>
      </c>
      <c r="J97" s="16">
        <v>303287</v>
      </c>
      <c r="K97" s="16">
        <v>10456888</v>
      </c>
      <c r="L97" s="16">
        <v>9497471</v>
      </c>
      <c r="M97" s="16">
        <v>1494885</v>
      </c>
      <c r="N97" s="16">
        <v>33633</v>
      </c>
      <c r="O97">
        <v>4</v>
      </c>
      <c r="P97">
        <v>0</v>
      </c>
      <c r="Q97" s="20">
        <v>0.83153361430140948</v>
      </c>
      <c r="R97" s="21">
        <v>2.2498720637373442E-2</v>
      </c>
    </row>
    <row r="98" spans="1:18">
      <c r="A98" t="s">
        <v>273</v>
      </c>
      <c r="B98" t="s">
        <v>74</v>
      </c>
      <c r="C98" t="s">
        <v>101</v>
      </c>
      <c r="D98">
        <v>2</v>
      </c>
      <c r="E98" t="s">
        <v>132</v>
      </c>
      <c r="F98" t="s">
        <v>274</v>
      </c>
      <c r="G98" t="s">
        <v>206</v>
      </c>
      <c r="H98" s="16">
        <v>11925490</v>
      </c>
      <c r="I98" s="16">
        <v>7818296</v>
      </c>
      <c r="J98" s="16">
        <v>181850</v>
      </c>
      <c r="K98" s="16">
        <v>10540985</v>
      </c>
      <c r="L98" s="16">
        <v>8857750</v>
      </c>
      <c r="M98" s="16">
        <v>1384505</v>
      </c>
      <c r="N98" s="16">
        <v>139862</v>
      </c>
      <c r="O98">
        <v>0</v>
      </c>
      <c r="P98">
        <v>103</v>
      </c>
      <c r="Q98" s="20">
        <v>0.65559536756980219</v>
      </c>
      <c r="R98" s="21">
        <v>0.10101949794330826</v>
      </c>
    </row>
    <row r="99" spans="1:18">
      <c r="A99" t="s">
        <v>275</v>
      </c>
      <c r="B99" t="s">
        <v>74</v>
      </c>
      <c r="C99" t="s">
        <v>101</v>
      </c>
      <c r="D99">
        <v>2</v>
      </c>
      <c r="E99" t="s">
        <v>132</v>
      </c>
      <c r="F99" t="s">
        <v>276</v>
      </c>
      <c r="G99" t="s">
        <v>211</v>
      </c>
      <c r="H99" s="16">
        <v>11545828</v>
      </c>
      <c r="I99" s="16">
        <v>5767254</v>
      </c>
      <c r="J99" s="16">
        <v>4148694</v>
      </c>
      <c r="K99" s="16">
        <v>9645699</v>
      </c>
      <c r="L99" s="16">
        <v>9078257</v>
      </c>
      <c r="M99" s="16">
        <v>1900128</v>
      </c>
      <c r="N99" s="16">
        <v>166110</v>
      </c>
      <c r="O99">
        <v>0</v>
      </c>
      <c r="P99">
        <v>50</v>
      </c>
      <c r="Q99" s="20">
        <v>0.49950977963641929</v>
      </c>
      <c r="R99" s="21">
        <v>8.7420426413378466E-2</v>
      </c>
    </row>
    <row r="100" spans="1:18">
      <c r="A100" t="s">
        <v>277</v>
      </c>
      <c r="B100" t="s">
        <v>83</v>
      </c>
      <c r="C100" t="s">
        <v>98</v>
      </c>
      <c r="D100">
        <v>2</v>
      </c>
      <c r="E100" t="s">
        <v>132</v>
      </c>
      <c r="F100" t="s">
        <v>137</v>
      </c>
      <c r="G100" t="s">
        <v>138</v>
      </c>
      <c r="H100" s="16">
        <v>11286494</v>
      </c>
      <c r="I100" s="16">
        <v>5130634</v>
      </c>
      <c r="J100" s="16">
        <v>1238420</v>
      </c>
      <c r="K100" s="16">
        <v>3354854</v>
      </c>
      <c r="L100" s="16">
        <v>3229622</v>
      </c>
      <c r="M100" s="16">
        <v>7931640</v>
      </c>
      <c r="N100" s="16">
        <v>123226</v>
      </c>
      <c r="O100">
        <v>61</v>
      </c>
      <c r="P100">
        <v>0</v>
      </c>
      <c r="Q100" s="20">
        <v>0.45458173282154757</v>
      </c>
      <c r="R100" s="21">
        <v>1.5536005164127469E-2</v>
      </c>
    </row>
    <row r="101" spans="1:18">
      <c r="A101" t="s">
        <v>278</v>
      </c>
      <c r="B101" t="s">
        <v>89</v>
      </c>
      <c r="C101" t="s">
        <v>104</v>
      </c>
      <c r="D101">
        <v>3</v>
      </c>
      <c r="E101" t="s">
        <v>143</v>
      </c>
      <c r="F101" t="s">
        <v>133</v>
      </c>
      <c r="G101" t="s">
        <v>134</v>
      </c>
      <c r="H101" s="16">
        <v>11099227</v>
      </c>
      <c r="I101" s="16">
        <v>0</v>
      </c>
      <c r="J101" s="16">
        <v>2640376</v>
      </c>
      <c r="K101" s="16">
        <v>5179821</v>
      </c>
      <c r="L101" s="16">
        <v>1423695</v>
      </c>
      <c r="M101" s="16">
        <v>5919406</v>
      </c>
      <c r="N101" s="16">
        <v>769491</v>
      </c>
      <c r="O101">
        <v>1</v>
      </c>
      <c r="P101">
        <v>0</v>
      </c>
      <c r="Q101" s="20">
        <v>0</v>
      </c>
      <c r="R101" s="21">
        <v>0.12999463121806479</v>
      </c>
    </row>
    <row r="102" spans="1:18">
      <c r="A102" t="s">
        <v>279</v>
      </c>
      <c r="B102" t="s">
        <v>74</v>
      </c>
      <c r="C102" t="s">
        <v>101</v>
      </c>
      <c r="D102">
        <v>2</v>
      </c>
      <c r="E102" t="s">
        <v>132</v>
      </c>
      <c r="F102" t="s">
        <v>280</v>
      </c>
      <c r="G102" t="s">
        <v>153</v>
      </c>
      <c r="H102" s="16">
        <v>10639748</v>
      </c>
      <c r="I102" s="16">
        <v>6280671</v>
      </c>
      <c r="J102" s="16">
        <v>3545702</v>
      </c>
      <c r="K102" s="16">
        <v>9314803</v>
      </c>
      <c r="L102" s="16">
        <v>5972633</v>
      </c>
      <c r="M102" s="16">
        <v>1324945</v>
      </c>
      <c r="N102" s="16">
        <v>101195</v>
      </c>
      <c r="O102">
        <v>0</v>
      </c>
      <c r="P102">
        <v>74</v>
      </c>
      <c r="Q102" s="20">
        <v>0.59030260867080686</v>
      </c>
      <c r="R102" s="21">
        <v>7.6376755261539156E-2</v>
      </c>
    </row>
    <row r="103" spans="1:18">
      <c r="A103" t="s">
        <v>281</v>
      </c>
      <c r="B103" t="s">
        <v>74</v>
      </c>
      <c r="C103" t="s">
        <v>104</v>
      </c>
      <c r="D103">
        <v>2</v>
      </c>
      <c r="E103" t="s">
        <v>132</v>
      </c>
      <c r="F103" t="s">
        <v>168</v>
      </c>
      <c r="G103" t="s">
        <v>169</v>
      </c>
      <c r="H103" s="16">
        <v>10596586</v>
      </c>
      <c r="I103" s="16">
        <v>4690192</v>
      </c>
      <c r="J103" s="16">
        <v>196069</v>
      </c>
      <c r="K103" s="16">
        <v>9130854</v>
      </c>
      <c r="L103" s="16">
        <v>8391715</v>
      </c>
      <c r="M103" s="16">
        <v>1465732</v>
      </c>
      <c r="N103" s="16">
        <v>107626</v>
      </c>
      <c r="O103">
        <v>0</v>
      </c>
      <c r="P103">
        <v>54</v>
      </c>
      <c r="Q103" s="20">
        <v>0.44261349834748664</v>
      </c>
      <c r="R103" s="21">
        <v>7.3428157398487584E-2</v>
      </c>
    </row>
    <row r="104" spans="1:18">
      <c r="A104" t="s">
        <v>282</v>
      </c>
      <c r="B104" t="s">
        <v>74</v>
      </c>
      <c r="C104" t="s">
        <v>101</v>
      </c>
      <c r="D104">
        <v>2</v>
      </c>
      <c r="E104" t="s">
        <v>132</v>
      </c>
      <c r="F104" t="s">
        <v>283</v>
      </c>
      <c r="G104" t="s">
        <v>250</v>
      </c>
      <c r="H104" s="16">
        <v>10429410</v>
      </c>
      <c r="I104" s="16">
        <v>5139880</v>
      </c>
      <c r="J104" s="16">
        <v>4267337</v>
      </c>
      <c r="K104" s="16">
        <v>9137080</v>
      </c>
      <c r="L104" s="16">
        <v>6499937</v>
      </c>
      <c r="M104" s="16">
        <v>1292330</v>
      </c>
      <c r="N104" s="16">
        <v>74920</v>
      </c>
      <c r="O104">
        <v>0</v>
      </c>
      <c r="P104">
        <v>100</v>
      </c>
      <c r="Q104" s="20">
        <v>0.49282557690224088</v>
      </c>
      <c r="R104" s="21">
        <v>5.7972808802705195E-2</v>
      </c>
    </row>
    <row r="105" spans="1:18">
      <c r="A105" t="s">
        <v>284</v>
      </c>
      <c r="B105" t="s">
        <v>74</v>
      </c>
      <c r="C105" t="s">
        <v>104</v>
      </c>
      <c r="D105">
        <v>2</v>
      </c>
      <c r="E105" t="s">
        <v>132</v>
      </c>
      <c r="F105" t="s">
        <v>285</v>
      </c>
      <c r="G105" t="s">
        <v>286</v>
      </c>
      <c r="H105" s="16">
        <v>10287933</v>
      </c>
      <c r="I105" s="16">
        <v>5822341</v>
      </c>
      <c r="J105" s="16">
        <v>126018</v>
      </c>
      <c r="K105" s="16">
        <v>9212159</v>
      </c>
      <c r="L105" s="16">
        <v>8620391</v>
      </c>
      <c r="M105" s="16">
        <v>1075774</v>
      </c>
      <c r="N105" s="16">
        <v>-63405</v>
      </c>
      <c r="O105">
        <v>0</v>
      </c>
      <c r="P105">
        <v>94</v>
      </c>
      <c r="Q105" s="20">
        <v>0.56593885282884326</v>
      </c>
      <c r="R105" s="21">
        <v>-5.8938959298142544E-2</v>
      </c>
    </row>
    <row r="106" spans="1:18">
      <c r="A106" t="s">
        <v>287</v>
      </c>
      <c r="B106" t="s">
        <v>68</v>
      </c>
      <c r="C106" t="s">
        <v>101</v>
      </c>
      <c r="D106">
        <v>3</v>
      </c>
      <c r="E106" t="s">
        <v>143</v>
      </c>
      <c r="F106" t="s">
        <v>133</v>
      </c>
      <c r="G106" t="s">
        <v>134</v>
      </c>
      <c r="H106" s="16">
        <v>9817920</v>
      </c>
      <c r="I106" s="16">
        <v>1491826</v>
      </c>
      <c r="J106" s="16">
        <v>4759598</v>
      </c>
      <c r="K106" s="16">
        <v>9487003</v>
      </c>
      <c r="L106" s="16">
        <v>8704047</v>
      </c>
      <c r="M106" s="16">
        <v>330917</v>
      </c>
      <c r="N106" s="16">
        <v>-581406</v>
      </c>
      <c r="O106">
        <v>3</v>
      </c>
      <c r="P106">
        <v>0</v>
      </c>
      <c r="Q106" s="20">
        <v>0.15194929272187999</v>
      </c>
      <c r="R106" s="21">
        <v>-1.756954160710994</v>
      </c>
    </row>
    <row r="107" spans="1:18">
      <c r="A107" t="s">
        <v>288</v>
      </c>
      <c r="B107" t="s">
        <v>83</v>
      </c>
      <c r="C107" t="s">
        <v>101</v>
      </c>
      <c r="D107">
        <v>2</v>
      </c>
      <c r="E107" t="s">
        <v>132</v>
      </c>
      <c r="F107" t="s">
        <v>152</v>
      </c>
      <c r="G107" t="s">
        <v>153</v>
      </c>
      <c r="H107" s="16">
        <v>9681585</v>
      </c>
      <c r="I107" s="16">
        <v>4410744</v>
      </c>
      <c r="J107" s="16">
        <v>4265713</v>
      </c>
      <c r="K107" s="16">
        <v>8970580</v>
      </c>
      <c r="L107" s="16">
        <v>7871552</v>
      </c>
      <c r="M107" s="16">
        <v>711005</v>
      </c>
      <c r="N107" s="16">
        <v>23910</v>
      </c>
      <c r="O107">
        <v>4</v>
      </c>
      <c r="P107">
        <v>0</v>
      </c>
      <c r="Q107" s="20">
        <v>0.45558077525529134</v>
      </c>
      <c r="R107" s="21">
        <v>3.3628455496093557E-2</v>
      </c>
    </row>
    <row r="108" spans="1:18">
      <c r="A108" t="s">
        <v>289</v>
      </c>
      <c r="B108" t="s">
        <v>77</v>
      </c>
      <c r="C108" t="s">
        <v>101</v>
      </c>
      <c r="D108">
        <v>2</v>
      </c>
      <c r="E108" t="s">
        <v>132</v>
      </c>
      <c r="F108" t="s">
        <v>240</v>
      </c>
      <c r="G108" t="s">
        <v>211</v>
      </c>
      <c r="H108" s="16">
        <v>9673655</v>
      </c>
      <c r="I108" s="16">
        <v>0</v>
      </c>
      <c r="J108" s="16">
        <v>5544270</v>
      </c>
      <c r="K108" s="16">
        <v>9170752</v>
      </c>
      <c r="L108" s="16">
        <v>12358</v>
      </c>
      <c r="M108" s="16">
        <v>502903</v>
      </c>
      <c r="N108" s="16">
        <v>41528</v>
      </c>
      <c r="O108">
        <v>0</v>
      </c>
      <c r="P108">
        <v>0</v>
      </c>
      <c r="Q108" s="20">
        <v>0</v>
      </c>
      <c r="R108" s="21">
        <v>8.2576560489796239E-2</v>
      </c>
    </row>
    <row r="109" spans="1:18">
      <c r="A109" t="s">
        <v>290</v>
      </c>
      <c r="B109" t="s">
        <v>74</v>
      </c>
      <c r="C109" t="s">
        <v>101</v>
      </c>
      <c r="D109">
        <v>2</v>
      </c>
      <c r="E109" t="s">
        <v>132</v>
      </c>
      <c r="F109" t="s">
        <v>291</v>
      </c>
      <c r="G109" t="s">
        <v>292</v>
      </c>
      <c r="H109" s="16">
        <v>9593676</v>
      </c>
      <c r="I109" s="16">
        <v>5865696</v>
      </c>
      <c r="J109" s="16">
        <v>2635353</v>
      </c>
      <c r="K109" s="16">
        <v>8273179</v>
      </c>
      <c r="L109" s="16">
        <v>5658920</v>
      </c>
      <c r="M109" s="16">
        <v>1320497</v>
      </c>
      <c r="N109" s="16">
        <v>-11290</v>
      </c>
      <c r="O109">
        <v>0</v>
      </c>
      <c r="P109">
        <v>63</v>
      </c>
      <c r="Q109" s="20">
        <v>0.61141276816102608</v>
      </c>
      <c r="R109" s="21">
        <v>-8.5498111695823612E-3</v>
      </c>
    </row>
    <row r="110" spans="1:18">
      <c r="A110" t="s">
        <v>293</v>
      </c>
      <c r="B110" t="s">
        <v>77</v>
      </c>
      <c r="C110" t="s">
        <v>101</v>
      </c>
      <c r="D110">
        <v>2</v>
      </c>
      <c r="E110" t="s">
        <v>132</v>
      </c>
      <c r="F110" t="s">
        <v>285</v>
      </c>
      <c r="G110" t="s">
        <v>286</v>
      </c>
      <c r="H110" s="16">
        <v>9398098</v>
      </c>
      <c r="I110" s="16">
        <v>84757</v>
      </c>
      <c r="J110" s="16">
        <v>5085412</v>
      </c>
      <c r="K110" s="16">
        <v>8589182</v>
      </c>
      <c r="L110" s="16">
        <v>0</v>
      </c>
      <c r="M110" s="16">
        <v>808917</v>
      </c>
      <c r="N110" s="16">
        <v>38272</v>
      </c>
      <c r="O110">
        <v>0</v>
      </c>
      <c r="P110">
        <v>1</v>
      </c>
      <c r="Q110" s="20">
        <v>9.018526940238334E-3</v>
      </c>
      <c r="R110" s="21">
        <v>4.7312641470014849E-2</v>
      </c>
    </row>
    <row r="111" spans="1:18">
      <c r="A111" t="s">
        <v>294</v>
      </c>
      <c r="B111" t="s">
        <v>74</v>
      </c>
      <c r="C111" t="s">
        <v>101</v>
      </c>
      <c r="D111">
        <v>2</v>
      </c>
      <c r="E111" t="s">
        <v>132</v>
      </c>
      <c r="F111" t="s">
        <v>295</v>
      </c>
      <c r="G111" t="s">
        <v>292</v>
      </c>
      <c r="H111" s="16">
        <v>9392669</v>
      </c>
      <c r="I111" s="16">
        <v>5390917</v>
      </c>
      <c r="J111" s="16">
        <v>2877767</v>
      </c>
      <c r="K111" s="16">
        <v>8364627</v>
      </c>
      <c r="L111" s="16">
        <v>5024687</v>
      </c>
      <c r="M111" s="16">
        <v>1028042</v>
      </c>
      <c r="N111" s="16">
        <v>47445</v>
      </c>
      <c r="O111">
        <v>0</v>
      </c>
      <c r="P111">
        <v>60</v>
      </c>
      <c r="Q111" s="20">
        <v>0.57394942800603321</v>
      </c>
      <c r="R111" s="21">
        <v>4.615083819532665E-2</v>
      </c>
    </row>
    <row r="112" spans="1:18">
      <c r="A112" t="s">
        <v>296</v>
      </c>
      <c r="B112" t="s">
        <v>68</v>
      </c>
      <c r="C112" t="s">
        <v>98</v>
      </c>
      <c r="D112">
        <v>2</v>
      </c>
      <c r="E112" t="s">
        <v>132</v>
      </c>
      <c r="F112" t="s">
        <v>168</v>
      </c>
      <c r="G112" t="s">
        <v>169</v>
      </c>
      <c r="H112" s="16">
        <v>9319011</v>
      </c>
      <c r="I112" s="16">
        <v>2346761</v>
      </c>
      <c r="J112" s="16">
        <v>2833063</v>
      </c>
      <c r="K112" s="16">
        <v>8281145</v>
      </c>
      <c r="L112" s="16">
        <v>7678118</v>
      </c>
      <c r="M112" s="16">
        <v>1037866</v>
      </c>
      <c r="N112" s="16">
        <v>46735</v>
      </c>
      <c r="O112">
        <v>3</v>
      </c>
      <c r="P112">
        <v>0</v>
      </c>
      <c r="Q112" s="20">
        <v>0.25182511320139017</v>
      </c>
      <c r="R112" s="21">
        <v>4.5029897886625057E-2</v>
      </c>
    </row>
    <row r="113" spans="1:18">
      <c r="A113" t="s">
        <v>297</v>
      </c>
      <c r="B113" t="s">
        <v>68</v>
      </c>
      <c r="C113" t="s">
        <v>101</v>
      </c>
      <c r="D113">
        <v>2</v>
      </c>
      <c r="E113" t="s">
        <v>132</v>
      </c>
      <c r="F113" t="s">
        <v>133</v>
      </c>
      <c r="G113" t="s">
        <v>134</v>
      </c>
      <c r="H113" s="16">
        <v>9169083</v>
      </c>
      <c r="I113" s="16">
        <v>4221080</v>
      </c>
      <c r="J113" s="16">
        <v>1805306</v>
      </c>
      <c r="K113" s="16">
        <v>2247776</v>
      </c>
      <c r="L113" s="16">
        <v>1006598</v>
      </c>
      <c r="M113" s="16">
        <v>6921307</v>
      </c>
      <c r="N113" s="16">
        <v>91267</v>
      </c>
      <c r="O113">
        <v>6</v>
      </c>
      <c r="P113">
        <v>1194</v>
      </c>
      <c r="Q113" s="20">
        <v>0.46036010362213975</v>
      </c>
      <c r="R113" s="21">
        <v>1.318638228299944E-2</v>
      </c>
    </row>
    <row r="114" spans="1:18">
      <c r="A114" t="s">
        <v>298</v>
      </c>
      <c r="B114" t="s">
        <v>68</v>
      </c>
      <c r="C114" t="s">
        <v>98</v>
      </c>
      <c r="D114">
        <v>3</v>
      </c>
      <c r="E114" t="s">
        <v>143</v>
      </c>
      <c r="F114" t="s">
        <v>133</v>
      </c>
      <c r="G114" t="s">
        <v>134</v>
      </c>
      <c r="H114" s="16">
        <v>9128133</v>
      </c>
      <c r="I114" s="16">
        <v>1808271</v>
      </c>
      <c r="J114" s="16">
        <v>3225298</v>
      </c>
      <c r="K114" s="16">
        <v>7153636</v>
      </c>
      <c r="L114" s="16">
        <v>6030391</v>
      </c>
      <c r="M114" s="16">
        <v>1974496</v>
      </c>
      <c r="N114" s="16">
        <v>23588</v>
      </c>
      <c r="O114">
        <v>2</v>
      </c>
      <c r="P114">
        <v>0</v>
      </c>
      <c r="Q114" s="20">
        <v>0.19809866924594546</v>
      </c>
      <c r="R114" s="21">
        <v>1.194633972416252E-2</v>
      </c>
    </row>
    <row r="115" spans="1:18">
      <c r="A115" t="s">
        <v>299</v>
      </c>
      <c r="B115" t="s">
        <v>77</v>
      </c>
      <c r="C115" t="s">
        <v>101</v>
      </c>
      <c r="D115">
        <v>2</v>
      </c>
      <c r="E115" t="s">
        <v>132</v>
      </c>
      <c r="F115" t="s">
        <v>285</v>
      </c>
      <c r="G115" t="s">
        <v>286</v>
      </c>
      <c r="H115" s="16">
        <v>8966357</v>
      </c>
      <c r="I115" s="16">
        <v>171308</v>
      </c>
      <c r="J115" s="16">
        <v>2121755</v>
      </c>
      <c r="K115" s="16">
        <v>8604194</v>
      </c>
      <c r="L115" s="16">
        <v>6119</v>
      </c>
      <c r="M115" s="16">
        <v>362163</v>
      </c>
      <c r="N115" s="16">
        <v>28640</v>
      </c>
      <c r="O115">
        <v>0</v>
      </c>
      <c r="P115">
        <v>0</v>
      </c>
      <c r="Q115" s="20">
        <v>1.9105641231996449E-2</v>
      </c>
      <c r="R115" s="21">
        <v>7.9080414067698793E-2</v>
      </c>
    </row>
    <row r="116" spans="1:18">
      <c r="A116" t="s">
        <v>300</v>
      </c>
      <c r="B116" t="s">
        <v>74</v>
      </c>
      <c r="C116" t="s">
        <v>101</v>
      </c>
      <c r="D116">
        <v>2</v>
      </c>
      <c r="E116" t="s">
        <v>132</v>
      </c>
      <c r="F116" t="s">
        <v>301</v>
      </c>
      <c r="G116" t="s">
        <v>153</v>
      </c>
      <c r="H116" s="16">
        <v>8886240</v>
      </c>
      <c r="I116" s="16">
        <v>4355200</v>
      </c>
      <c r="J116" s="16">
        <v>3695086</v>
      </c>
      <c r="K116" s="16">
        <v>7904884</v>
      </c>
      <c r="L116" s="16">
        <v>5826637</v>
      </c>
      <c r="M116" s="16">
        <v>981357</v>
      </c>
      <c r="N116" s="16">
        <v>72764</v>
      </c>
      <c r="O116">
        <v>0</v>
      </c>
      <c r="P116">
        <v>71</v>
      </c>
      <c r="Q116" s="20">
        <v>0.49010605160337778</v>
      </c>
      <c r="R116" s="21">
        <v>7.4146309650820239E-2</v>
      </c>
    </row>
    <row r="117" spans="1:18">
      <c r="A117" t="s">
        <v>302</v>
      </c>
      <c r="B117" t="s">
        <v>68</v>
      </c>
      <c r="C117" t="s">
        <v>101</v>
      </c>
      <c r="D117">
        <v>2</v>
      </c>
      <c r="E117" t="s">
        <v>132</v>
      </c>
      <c r="F117" t="s">
        <v>133</v>
      </c>
      <c r="G117" t="s">
        <v>134</v>
      </c>
      <c r="H117" s="16">
        <v>8305899</v>
      </c>
      <c r="I117" s="16">
        <v>5706342</v>
      </c>
      <c r="J117" s="16">
        <v>1074834</v>
      </c>
      <c r="K117" s="16">
        <v>7554103</v>
      </c>
      <c r="L117" s="16">
        <v>6458000</v>
      </c>
      <c r="M117" s="16">
        <v>751796</v>
      </c>
      <c r="N117" s="16">
        <v>44746</v>
      </c>
      <c r="O117">
        <v>13</v>
      </c>
      <c r="P117">
        <v>0</v>
      </c>
      <c r="Q117" s="20">
        <v>0.6870228015052916</v>
      </c>
      <c r="R117" s="21">
        <v>5.9518805633443111E-2</v>
      </c>
    </row>
    <row r="118" spans="1:18">
      <c r="A118" t="s">
        <v>303</v>
      </c>
      <c r="B118" t="s">
        <v>74</v>
      </c>
      <c r="C118" t="s">
        <v>101</v>
      </c>
      <c r="D118">
        <v>2</v>
      </c>
      <c r="E118" t="s">
        <v>132</v>
      </c>
      <c r="F118" t="s">
        <v>304</v>
      </c>
      <c r="G118" t="s">
        <v>250</v>
      </c>
      <c r="H118" s="16">
        <v>8289955</v>
      </c>
      <c r="I118" s="16">
        <v>3047856</v>
      </c>
      <c r="J118" s="16">
        <v>4535970</v>
      </c>
      <c r="K118" s="16">
        <v>6987568</v>
      </c>
      <c r="L118" s="16">
        <v>5025327</v>
      </c>
      <c r="M118" s="16">
        <v>1302387</v>
      </c>
      <c r="N118" s="16">
        <v>128269</v>
      </c>
      <c r="O118">
        <v>0</v>
      </c>
      <c r="P118">
        <v>23</v>
      </c>
      <c r="Q118" s="20">
        <v>0.36765651924527937</v>
      </c>
      <c r="R118" s="21">
        <v>9.848762311048867E-2</v>
      </c>
    </row>
    <row r="119" spans="1:18">
      <c r="A119" t="s">
        <v>305</v>
      </c>
      <c r="B119" t="s">
        <v>71</v>
      </c>
      <c r="C119" t="s">
        <v>101</v>
      </c>
      <c r="D119">
        <v>3</v>
      </c>
      <c r="E119" t="s">
        <v>143</v>
      </c>
      <c r="F119" t="s">
        <v>256</v>
      </c>
      <c r="G119" t="s">
        <v>211</v>
      </c>
      <c r="H119" s="16">
        <v>8264224</v>
      </c>
      <c r="I119" s="16">
        <v>7613096</v>
      </c>
      <c r="J119" s="16">
        <v>0</v>
      </c>
      <c r="K119" s="16">
        <v>5386785</v>
      </c>
      <c r="L119" s="16">
        <v>5155575</v>
      </c>
      <c r="M119" s="16">
        <v>2877439</v>
      </c>
      <c r="N119" s="16">
        <v>34966</v>
      </c>
      <c r="O119">
        <v>2</v>
      </c>
      <c r="P119">
        <v>0</v>
      </c>
      <c r="Q119" s="20">
        <v>0.92121123531985583</v>
      </c>
      <c r="R119" s="21">
        <v>1.2151778022053639E-2</v>
      </c>
    </row>
    <row r="120" spans="1:18">
      <c r="A120" t="s">
        <v>306</v>
      </c>
      <c r="B120" t="s">
        <v>68</v>
      </c>
      <c r="C120" t="s">
        <v>101</v>
      </c>
      <c r="D120">
        <v>3</v>
      </c>
      <c r="E120" t="s">
        <v>143</v>
      </c>
      <c r="F120" t="s">
        <v>133</v>
      </c>
      <c r="G120" t="s">
        <v>134</v>
      </c>
      <c r="H120" s="16">
        <v>8109928</v>
      </c>
      <c r="I120" s="16">
        <v>124566</v>
      </c>
      <c r="J120" s="16">
        <v>1208503</v>
      </c>
      <c r="K120" s="16">
        <v>6356540</v>
      </c>
      <c r="L120" s="16">
        <v>3232439</v>
      </c>
      <c r="M120" s="16">
        <v>1753388</v>
      </c>
      <c r="N120" s="16">
        <v>59340</v>
      </c>
      <c r="O120">
        <v>2</v>
      </c>
      <c r="P120">
        <v>0</v>
      </c>
      <c r="Q120" s="20">
        <v>1.5359692465827071E-2</v>
      </c>
      <c r="R120" s="21">
        <v>3.3843051281290851E-2</v>
      </c>
    </row>
    <row r="121" spans="1:18">
      <c r="A121" t="s">
        <v>307</v>
      </c>
      <c r="B121" t="s">
        <v>74</v>
      </c>
      <c r="C121" t="s">
        <v>101</v>
      </c>
      <c r="D121">
        <v>2</v>
      </c>
      <c r="E121" t="s">
        <v>132</v>
      </c>
      <c r="F121" t="s">
        <v>308</v>
      </c>
      <c r="G121" t="s">
        <v>206</v>
      </c>
      <c r="H121" s="16">
        <v>8012202</v>
      </c>
      <c r="I121" s="16">
        <v>4669445</v>
      </c>
      <c r="J121" s="16">
        <v>102063</v>
      </c>
      <c r="K121" s="16">
        <v>7136735</v>
      </c>
      <c r="L121" s="16">
        <v>5737237</v>
      </c>
      <c r="M121" s="16">
        <v>875466</v>
      </c>
      <c r="N121" s="16">
        <v>90156</v>
      </c>
      <c r="O121">
        <v>0</v>
      </c>
      <c r="P121">
        <v>67</v>
      </c>
      <c r="Q121" s="20">
        <v>0.58279172192613216</v>
      </c>
      <c r="R121" s="21">
        <v>0.10298058405466345</v>
      </c>
    </row>
    <row r="122" spans="1:18">
      <c r="A122" t="s">
        <v>309</v>
      </c>
      <c r="B122" t="s">
        <v>74</v>
      </c>
      <c r="C122" t="s">
        <v>104</v>
      </c>
      <c r="D122">
        <v>2</v>
      </c>
      <c r="E122" t="s">
        <v>132</v>
      </c>
      <c r="F122" t="s">
        <v>310</v>
      </c>
      <c r="G122" t="s">
        <v>311</v>
      </c>
      <c r="H122" s="16">
        <v>7797398</v>
      </c>
      <c r="I122" s="16">
        <v>4894374</v>
      </c>
      <c r="J122" s="16">
        <v>128024</v>
      </c>
      <c r="K122" s="16">
        <v>6463112</v>
      </c>
      <c r="L122" s="16">
        <v>5469313</v>
      </c>
      <c r="M122" s="16">
        <v>1334286</v>
      </c>
      <c r="N122" s="16">
        <v>102132</v>
      </c>
      <c r="O122">
        <v>0</v>
      </c>
      <c r="P122">
        <v>47</v>
      </c>
      <c r="Q122" s="20">
        <v>0.62769323818022371</v>
      </c>
      <c r="R122" s="21">
        <v>7.6544309091154367E-2</v>
      </c>
    </row>
    <row r="123" spans="1:18">
      <c r="A123" t="s">
        <v>312</v>
      </c>
      <c r="B123" t="s">
        <v>74</v>
      </c>
      <c r="C123" t="s">
        <v>104</v>
      </c>
      <c r="D123">
        <v>2</v>
      </c>
      <c r="E123" t="s">
        <v>132</v>
      </c>
      <c r="F123" t="s">
        <v>313</v>
      </c>
      <c r="G123" t="s">
        <v>191</v>
      </c>
      <c r="H123" s="16">
        <v>7709142</v>
      </c>
      <c r="I123" s="16">
        <v>4734025</v>
      </c>
      <c r="J123" s="16">
        <v>679880</v>
      </c>
      <c r="K123" s="16">
        <v>6376913</v>
      </c>
      <c r="L123" s="16">
        <v>5798229</v>
      </c>
      <c r="M123" s="16">
        <v>1332229</v>
      </c>
      <c r="N123" s="16">
        <v>160941</v>
      </c>
      <c r="O123">
        <v>0</v>
      </c>
      <c r="P123">
        <v>43</v>
      </c>
      <c r="Q123" s="20">
        <v>0.6140793618797008</v>
      </c>
      <c r="R123" s="21">
        <v>0.12080580740998732</v>
      </c>
    </row>
    <row r="124" spans="1:18">
      <c r="A124" t="s">
        <v>314</v>
      </c>
      <c r="B124" t="s">
        <v>77</v>
      </c>
      <c r="C124" t="s">
        <v>98</v>
      </c>
      <c r="D124">
        <v>2</v>
      </c>
      <c r="E124" t="s">
        <v>132</v>
      </c>
      <c r="F124" t="s">
        <v>231</v>
      </c>
      <c r="G124" t="s">
        <v>211</v>
      </c>
      <c r="H124" s="16">
        <v>7667718</v>
      </c>
      <c r="I124" s="16">
        <v>0</v>
      </c>
      <c r="J124" s="16">
        <v>2296079</v>
      </c>
      <c r="K124" s="16">
        <v>7451784</v>
      </c>
      <c r="L124" s="16">
        <v>1109082</v>
      </c>
      <c r="M124" s="16">
        <v>215934</v>
      </c>
      <c r="N124" s="16">
        <v>18575</v>
      </c>
      <c r="O124">
        <v>0</v>
      </c>
      <c r="P124">
        <v>0</v>
      </c>
      <c r="Q124" s="20">
        <v>0</v>
      </c>
      <c r="R124" s="21">
        <v>8.6021654764881855E-2</v>
      </c>
    </row>
    <row r="125" spans="1:18">
      <c r="A125" t="s">
        <v>315</v>
      </c>
      <c r="B125" t="s">
        <v>83</v>
      </c>
      <c r="C125" t="s">
        <v>101</v>
      </c>
      <c r="D125">
        <v>2</v>
      </c>
      <c r="E125" t="s">
        <v>132</v>
      </c>
      <c r="F125" t="s">
        <v>133</v>
      </c>
      <c r="G125" t="s">
        <v>134</v>
      </c>
      <c r="H125" s="16">
        <v>7634789</v>
      </c>
      <c r="I125" s="16">
        <v>4337620</v>
      </c>
      <c r="J125" s="16">
        <v>2358681</v>
      </c>
      <c r="K125" s="16">
        <v>6759703</v>
      </c>
      <c r="L125" s="16">
        <v>5860117</v>
      </c>
      <c r="M125" s="16">
        <v>875086</v>
      </c>
      <c r="N125" s="16">
        <v>-20960</v>
      </c>
      <c r="O125">
        <v>4</v>
      </c>
      <c r="P125">
        <v>0</v>
      </c>
      <c r="Q125" s="20">
        <v>0.56813881824369994</v>
      </c>
      <c r="R125" s="21">
        <v>-2.3951931581581695E-2</v>
      </c>
    </row>
    <row r="126" spans="1:18">
      <c r="A126" t="s">
        <v>316</v>
      </c>
      <c r="B126" t="s">
        <v>74</v>
      </c>
      <c r="C126" t="s">
        <v>101</v>
      </c>
      <c r="D126">
        <v>2</v>
      </c>
      <c r="E126" t="s">
        <v>132</v>
      </c>
      <c r="F126" t="s">
        <v>317</v>
      </c>
      <c r="G126" t="s">
        <v>153</v>
      </c>
      <c r="H126" s="16">
        <v>7597702</v>
      </c>
      <c r="I126" s="16">
        <v>5157460</v>
      </c>
      <c r="J126" s="16">
        <v>1957449</v>
      </c>
      <c r="K126" s="16">
        <v>6198618</v>
      </c>
      <c r="L126" s="16">
        <v>2722048</v>
      </c>
      <c r="M126" s="16">
        <v>1399084</v>
      </c>
      <c r="N126" s="16">
        <v>64128</v>
      </c>
      <c r="O126">
        <v>0</v>
      </c>
      <c r="P126">
        <v>41</v>
      </c>
      <c r="Q126" s="20">
        <v>0.67881841114589647</v>
      </c>
      <c r="R126" s="21">
        <v>4.5835703932001225E-2</v>
      </c>
    </row>
    <row r="127" spans="1:18">
      <c r="A127" t="s">
        <v>318</v>
      </c>
      <c r="B127" t="s">
        <v>74</v>
      </c>
      <c r="C127" t="s">
        <v>104</v>
      </c>
      <c r="D127">
        <v>2</v>
      </c>
      <c r="E127" t="s">
        <v>132</v>
      </c>
      <c r="F127" t="s">
        <v>240</v>
      </c>
      <c r="G127" t="s">
        <v>211</v>
      </c>
      <c r="H127" s="16">
        <v>7450455</v>
      </c>
      <c r="I127" s="16">
        <v>3941264</v>
      </c>
      <c r="J127" s="16">
        <v>95370</v>
      </c>
      <c r="K127" s="16">
        <v>6614889</v>
      </c>
      <c r="L127" s="16">
        <v>5712286</v>
      </c>
      <c r="M127" s="16">
        <v>835565</v>
      </c>
      <c r="N127" s="16">
        <v>73225</v>
      </c>
      <c r="O127">
        <v>0</v>
      </c>
      <c r="P127">
        <v>91</v>
      </c>
      <c r="Q127" s="20">
        <v>0.52899641699735112</v>
      </c>
      <c r="R127" s="21">
        <v>8.7635312632769441E-2</v>
      </c>
    </row>
    <row r="128" spans="1:18">
      <c r="A128" t="s">
        <v>319</v>
      </c>
      <c r="B128" t="s">
        <v>77</v>
      </c>
      <c r="C128" t="s">
        <v>101</v>
      </c>
      <c r="D128">
        <v>2</v>
      </c>
      <c r="E128" t="s">
        <v>132</v>
      </c>
      <c r="F128" t="s">
        <v>320</v>
      </c>
      <c r="G128" t="s">
        <v>153</v>
      </c>
      <c r="H128" s="16">
        <v>7344967</v>
      </c>
      <c r="I128" s="16">
        <v>70447</v>
      </c>
      <c r="J128" s="16">
        <v>1442519</v>
      </c>
      <c r="K128" s="16">
        <v>7030518</v>
      </c>
      <c r="L128" s="16">
        <v>3969962</v>
      </c>
      <c r="M128" s="16">
        <v>314449</v>
      </c>
      <c r="N128" s="16">
        <v>9645</v>
      </c>
      <c r="O128">
        <v>0</v>
      </c>
      <c r="P128">
        <v>0</v>
      </c>
      <c r="Q128" s="20">
        <v>9.5911935342936194E-3</v>
      </c>
      <c r="R128" s="21">
        <v>3.0672700501512169E-2</v>
      </c>
    </row>
    <row r="129" spans="1:18">
      <c r="A129" t="s">
        <v>321</v>
      </c>
      <c r="B129" t="s">
        <v>77</v>
      </c>
      <c r="C129" t="s">
        <v>101</v>
      </c>
      <c r="D129">
        <v>2</v>
      </c>
      <c r="E129" t="s">
        <v>132</v>
      </c>
      <c r="F129" t="s">
        <v>322</v>
      </c>
      <c r="G129" t="s">
        <v>311</v>
      </c>
      <c r="H129" s="16">
        <v>7156587</v>
      </c>
      <c r="I129" s="16">
        <v>0</v>
      </c>
      <c r="J129" s="16">
        <v>1530024</v>
      </c>
      <c r="K129" s="16">
        <v>6765041</v>
      </c>
      <c r="L129" s="16">
        <v>19788</v>
      </c>
      <c r="M129" s="16">
        <v>391545</v>
      </c>
      <c r="N129" s="16">
        <v>31485</v>
      </c>
      <c r="O129">
        <v>0</v>
      </c>
      <c r="P129">
        <v>0</v>
      </c>
      <c r="Q129" s="20">
        <v>0</v>
      </c>
      <c r="R129" s="21">
        <v>8.0412213155575993E-2</v>
      </c>
    </row>
    <row r="130" spans="1:18">
      <c r="A130" t="s">
        <v>323</v>
      </c>
      <c r="B130" t="s">
        <v>89</v>
      </c>
      <c r="C130" t="s">
        <v>101</v>
      </c>
      <c r="D130">
        <v>3</v>
      </c>
      <c r="E130" t="s">
        <v>143</v>
      </c>
      <c r="F130" t="s">
        <v>133</v>
      </c>
      <c r="G130" t="s">
        <v>134</v>
      </c>
      <c r="H130" s="16">
        <v>7128230</v>
      </c>
      <c r="I130" s="16">
        <v>0</v>
      </c>
      <c r="J130" s="16">
        <v>57602</v>
      </c>
      <c r="K130" s="16">
        <v>5428185</v>
      </c>
      <c r="L130" s="16">
        <v>1436051</v>
      </c>
      <c r="M130" s="16">
        <v>1700046</v>
      </c>
      <c r="N130" s="16">
        <v>7241</v>
      </c>
      <c r="O130">
        <v>1</v>
      </c>
      <c r="P130">
        <v>0</v>
      </c>
      <c r="Q130" s="20">
        <v>0</v>
      </c>
      <c r="R130" s="21">
        <v>4.2592965131531737E-3</v>
      </c>
    </row>
    <row r="131" spans="1:18">
      <c r="A131" t="s">
        <v>324</v>
      </c>
      <c r="B131" t="s">
        <v>74</v>
      </c>
      <c r="C131" t="s">
        <v>101</v>
      </c>
      <c r="D131">
        <v>2</v>
      </c>
      <c r="E131" t="s">
        <v>132</v>
      </c>
      <c r="F131" t="s">
        <v>325</v>
      </c>
      <c r="G131" t="s">
        <v>153</v>
      </c>
      <c r="H131" s="16">
        <v>7090260</v>
      </c>
      <c r="I131" s="16">
        <v>1795225</v>
      </c>
      <c r="J131" s="16">
        <v>4733686</v>
      </c>
      <c r="K131" s="16">
        <v>5601399</v>
      </c>
      <c r="L131" s="16">
        <v>4982889</v>
      </c>
      <c r="M131" s="16">
        <v>1488860</v>
      </c>
      <c r="N131" s="16">
        <v>137717</v>
      </c>
      <c r="O131">
        <v>0</v>
      </c>
      <c r="P131">
        <v>21</v>
      </c>
      <c r="Q131" s="20">
        <v>0.25319593357648379</v>
      </c>
      <c r="R131" s="21">
        <v>9.2498287280200958E-2</v>
      </c>
    </row>
    <row r="132" spans="1:18">
      <c r="A132" t="s">
        <v>326</v>
      </c>
      <c r="B132" t="s">
        <v>71</v>
      </c>
      <c r="C132" t="s">
        <v>101</v>
      </c>
      <c r="D132">
        <v>3</v>
      </c>
      <c r="E132" t="s">
        <v>143</v>
      </c>
      <c r="F132" t="s">
        <v>133</v>
      </c>
      <c r="G132" t="s">
        <v>134</v>
      </c>
      <c r="H132" s="16">
        <v>6985150</v>
      </c>
      <c r="I132" s="16">
        <v>206228</v>
      </c>
      <c r="J132" s="16">
        <v>5799868</v>
      </c>
      <c r="K132" s="16">
        <v>6468107</v>
      </c>
      <c r="L132" s="16">
        <v>6301417</v>
      </c>
      <c r="M132" s="16">
        <v>517042</v>
      </c>
      <c r="N132" s="16">
        <v>-20340</v>
      </c>
      <c r="O132">
        <v>6</v>
      </c>
      <c r="P132">
        <v>0</v>
      </c>
      <c r="Q132" s="20">
        <v>2.9523775437893245E-2</v>
      </c>
      <c r="R132" s="21">
        <v>-3.9339163936392016E-2</v>
      </c>
    </row>
    <row r="133" spans="1:18">
      <c r="A133" t="s">
        <v>327</v>
      </c>
      <c r="B133" t="s">
        <v>68</v>
      </c>
      <c r="C133" t="s">
        <v>101</v>
      </c>
      <c r="D133">
        <v>2</v>
      </c>
      <c r="E133" t="s">
        <v>132</v>
      </c>
      <c r="F133" t="s">
        <v>133</v>
      </c>
      <c r="G133" t="s">
        <v>134</v>
      </c>
      <c r="H133" s="16">
        <v>6922792</v>
      </c>
      <c r="I133" s="16">
        <v>4983551</v>
      </c>
      <c r="J133" s="16">
        <v>430931</v>
      </c>
      <c r="K133" s="16">
        <v>6001189</v>
      </c>
      <c r="L133" s="16">
        <v>5605607</v>
      </c>
      <c r="M133" s="16">
        <v>921603</v>
      </c>
      <c r="N133" s="16">
        <v>3161</v>
      </c>
      <c r="O133">
        <v>8</v>
      </c>
      <c r="P133">
        <v>0</v>
      </c>
      <c r="Q133" s="20">
        <v>0.71987588244742873</v>
      </c>
      <c r="R133" s="21">
        <v>3.4298933488714771E-3</v>
      </c>
    </row>
    <row r="134" spans="1:18">
      <c r="A134" t="s">
        <v>328</v>
      </c>
      <c r="B134" t="s">
        <v>74</v>
      </c>
      <c r="C134" t="s">
        <v>101</v>
      </c>
      <c r="D134">
        <v>2</v>
      </c>
      <c r="E134" t="s">
        <v>132</v>
      </c>
      <c r="F134" t="s">
        <v>329</v>
      </c>
      <c r="G134" t="s">
        <v>153</v>
      </c>
      <c r="H134" s="16">
        <v>6738109</v>
      </c>
      <c r="I134" s="16">
        <v>3381902</v>
      </c>
      <c r="J134" s="16">
        <v>2653159</v>
      </c>
      <c r="K134" s="16">
        <v>6036798</v>
      </c>
      <c r="L134" s="16">
        <v>4330744</v>
      </c>
      <c r="M134" s="16">
        <v>701311</v>
      </c>
      <c r="N134" s="16">
        <v>63169</v>
      </c>
      <c r="O134">
        <v>0</v>
      </c>
      <c r="P134">
        <v>64</v>
      </c>
      <c r="Q134" s="20">
        <v>0.50190669221884066</v>
      </c>
      <c r="R134" s="21">
        <v>9.0072735205921475E-2</v>
      </c>
    </row>
    <row r="135" spans="1:18">
      <c r="A135" t="s">
        <v>330</v>
      </c>
      <c r="B135" t="s">
        <v>71</v>
      </c>
      <c r="C135" t="s">
        <v>101</v>
      </c>
      <c r="D135">
        <v>3</v>
      </c>
      <c r="E135" t="s">
        <v>143</v>
      </c>
      <c r="F135" t="s">
        <v>133</v>
      </c>
      <c r="G135" t="s">
        <v>134</v>
      </c>
      <c r="H135" s="16">
        <v>6728365</v>
      </c>
      <c r="I135" s="16">
        <v>5045598</v>
      </c>
      <c r="J135" s="16">
        <v>300929</v>
      </c>
      <c r="K135" s="16">
        <v>5269499</v>
      </c>
      <c r="L135" s="16">
        <v>5249290</v>
      </c>
      <c r="M135" s="16">
        <v>1458866</v>
      </c>
      <c r="N135" s="16">
        <v>27428</v>
      </c>
      <c r="O135">
        <v>2</v>
      </c>
      <c r="P135">
        <v>0</v>
      </c>
      <c r="Q135" s="20">
        <v>0.74989956698246896</v>
      </c>
      <c r="R135" s="21">
        <v>1.8800904263996832E-2</v>
      </c>
    </row>
    <row r="136" spans="1:18">
      <c r="A136" t="s">
        <v>331</v>
      </c>
      <c r="B136" t="s">
        <v>74</v>
      </c>
      <c r="C136" t="s">
        <v>101</v>
      </c>
      <c r="D136">
        <v>2</v>
      </c>
      <c r="E136" t="s">
        <v>132</v>
      </c>
      <c r="F136" t="s">
        <v>332</v>
      </c>
      <c r="G136" t="s">
        <v>250</v>
      </c>
      <c r="H136" s="16">
        <v>6709540</v>
      </c>
      <c r="I136" s="16">
        <v>3134146</v>
      </c>
      <c r="J136" s="16">
        <v>2625446</v>
      </c>
      <c r="K136" s="16">
        <v>5797217</v>
      </c>
      <c r="L136" s="16">
        <v>4132297</v>
      </c>
      <c r="M136" s="16">
        <v>912323</v>
      </c>
      <c r="N136" s="16">
        <v>27824</v>
      </c>
      <c r="O136">
        <v>0</v>
      </c>
      <c r="P136">
        <v>52</v>
      </c>
      <c r="Q136" s="20">
        <v>0.46711786501011993</v>
      </c>
      <c r="R136" s="21">
        <v>3.0497970565249367E-2</v>
      </c>
    </row>
    <row r="137" spans="1:18">
      <c r="A137" t="s">
        <v>333</v>
      </c>
      <c r="B137" t="s">
        <v>74</v>
      </c>
      <c r="C137" t="s">
        <v>104</v>
      </c>
      <c r="D137">
        <v>2</v>
      </c>
      <c r="E137" t="s">
        <v>132</v>
      </c>
      <c r="F137" t="s">
        <v>334</v>
      </c>
      <c r="G137" t="s">
        <v>169</v>
      </c>
      <c r="H137" s="16">
        <v>6440975</v>
      </c>
      <c r="I137" s="16">
        <v>4276888</v>
      </c>
      <c r="J137" s="16">
        <v>101468</v>
      </c>
      <c r="K137" s="16">
        <v>5742632</v>
      </c>
      <c r="L137" s="16">
        <v>4257310</v>
      </c>
      <c r="M137" s="16">
        <v>698343</v>
      </c>
      <c r="N137" s="16">
        <v>-58960</v>
      </c>
      <c r="O137">
        <v>0</v>
      </c>
      <c r="P137">
        <v>37</v>
      </c>
      <c r="Q137" s="20">
        <v>0.66401251363341729</v>
      </c>
      <c r="R137" s="21">
        <v>-8.4428425573106619E-2</v>
      </c>
    </row>
    <row r="138" spans="1:18">
      <c r="A138" t="s">
        <v>335</v>
      </c>
      <c r="B138" t="s">
        <v>74</v>
      </c>
      <c r="C138" t="s">
        <v>101</v>
      </c>
      <c r="D138">
        <v>2</v>
      </c>
      <c r="E138" t="s">
        <v>132</v>
      </c>
      <c r="F138" t="s">
        <v>336</v>
      </c>
      <c r="G138" t="s">
        <v>211</v>
      </c>
      <c r="H138" s="16">
        <v>6153198</v>
      </c>
      <c r="I138" s="16">
        <v>4146753</v>
      </c>
      <c r="J138" s="16">
        <v>1513457</v>
      </c>
      <c r="K138" s="16">
        <v>5607802</v>
      </c>
      <c r="L138" s="16">
        <v>3684186</v>
      </c>
      <c r="M138" s="16">
        <v>545396</v>
      </c>
      <c r="N138" s="16">
        <v>6265</v>
      </c>
      <c r="O138">
        <v>0</v>
      </c>
      <c r="P138">
        <v>38</v>
      </c>
      <c r="Q138" s="20">
        <v>0.67391834294947117</v>
      </c>
      <c r="R138" s="21">
        <v>1.1487066278447221E-2</v>
      </c>
    </row>
    <row r="139" spans="1:18">
      <c r="A139" t="s">
        <v>337</v>
      </c>
      <c r="B139" t="s">
        <v>74</v>
      </c>
      <c r="C139" t="s">
        <v>104</v>
      </c>
      <c r="D139">
        <v>2</v>
      </c>
      <c r="E139" t="s">
        <v>132</v>
      </c>
      <c r="F139" t="s">
        <v>338</v>
      </c>
      <c r="G139" t="s">
        <v>191</v>
      </c>
      <c r="H139" s="16">
        <v>6150462</v>
      </c>
      <c r="I139" s="16">
        <v>2426734</v>
      </c>
      <c r="J139" s="16">
        <v>580660</v>
      </c>
      <c r="K139" s="16">
        <v>5062692</v>
      </c>
      <c r="L139" s="16">
        <v>4713804</v>
      </c>
      <c r="M139" s="16">
        <v>1087770</v>
      </c>
      <c r="N139" s="16">
        <v>126692</v>
      </c>
      <c r="O139">
        <v>0</v>
      </c>
      <c r="P139">
        <v>42</v>
      </c>
      <c r="Q139" s="20">
        <v>0.39456125409765963</v>
      </c>
      <c r="R139" s="21">
        <v>0.11646947424547469</v>
      </c>
    </row>
    <row r="140" spans="1:18">
      <c r="A140" t="s">
        <v>339</v>
      </c>
      <c r="B140" t="s">
        <v>83</v>
      </c>
      <c r="C140" t="s">
        <v>101</v>
      </c>
      <c r="D140">
        <v>3</v>
      </c>
      <c r="E140" t="s">
        <v>143</v>
      </c>
      <c r="F140" t="s">
        <v>152</v>
      </c>
      <c r="G140" t="s">
        <v>153</v>
      </c>
      <c r="H140" s="16">
        <v>6127059</v>
      </c>
      <c r="I140" s="16">
        <v>5052520</v>
      </c>
      <c r="J140" s="16">
        <v>358837</v>
      </c>
      <c r="K140" s="16">
        <v>5114215</v>
      </c>
      <c r="L140" s="16">
        <v>1401791</v>
      </c>
      <c r="M140" s="16">
        <v>1012844</v>
      </c>
      <c r="N140" s="16">
        <v>87801</v>
      </c>
      <c r="O140">
        <v>2</v>
      </c>
      <c r="P140">
        <v>0</v>
      </c>
      <c r="Q140" s="20">
        <v>0.82462401618786441</v>
      </c>
      <c r="R140" s="21">
        <v>8.6687584662593645E-2</v>
      </c>
    </row>
    <row r="141" spans="1:18">
      <c r="A141" t="s">
        <v>340</v>
      </c>
      <c r="B141" t="s">
        <v>74</v>
      </c>
      <c r="C141" t="s">
        <v>101</v>
      </c>
      <c r="D141">
        <v>2</v>
      </c>
      <c r="E141" t="s">
        <v>132</v>
      </c>
      <c r="F141" t="s">
        <v>341</v>
      </c>
      <c r="G141" t="s">
        <v>153</v>
      </c>
      <c r="H141" s="16">
        <v>6025512</v>
      </c>
      <c r="I141" s="16">
        <v>3904119</v>
      </c>
      <c r="J141" s="16">
        <v>1766625</v>
      </c>
      <c r="K141" s="16">
        <v>5245617</v>
      </c>
      <c r="L141" s="16">
        <v>3895892</v>
      </c>
      <c r="M141" s="16">
        <v>779896</v>
      </c>
      <c r="N141" s="16">
        <v>43690</v>
      </c>
      <c r="O141">
        <v>0</v>
      </c>
      <c r="P141">
        <v>65</v>
      </c>
      <c r="Q141" s="20">
        <v>0.64793149528206073</v>
      </c>
      <c r="R141" s="21">
        <v>5.6020289884805154E-2</v>
      </c>
    </row>
    <row r="142" spans="1:18">
      <c r="A142" t="s">
        <v>342</v>
      </c>
      <c r="B142" t="s">
        <v>74</v>
      </c>
      <c r="C142" t="s">
        <v>104</v>
      </c>
      <c r="D142">
        <v>2</v>
      </c>
      <c r="E142" t="s">
        <v>132</v>
      </c>
      <c r="F142" t="s">
        <v>343</v>
      </c>
      <c r="G142" t="s">
        <v>311</v>
      </c>
      <c r="H142" s="16">
        <v>5947631</v>
      </c>
      <c r="I142" s="16">
        <v>2715140</v>
      </c>
      <c r="J142" s="16">
        <v>122142</v>
      </c>
      <c r="K142" s="16">
        <v>5082570</v>
      </c>
      <c r="L142" s="16">
        <v>4215916</v>
      </c>
      <c r="M142" s="16">
        <v>865061</v>
      </c>
      <c r="N142" s="16">
        <v>84355</v>
      </c>
      <c r="O142">
        <v>0</v>
      </c>
      <c r="P142">
        <v>48</v>
      </c>
      <c r="Q142" s="20">
        <v>0.45650780957998233</v>
      </c>
      <c r="R142" s="21">
        <v>9.7513354549563558E-2</v>
      </c>
    </row>
    <row r="143" spans="1:18">
      <c r="A143" t="s">
        <v>344</v>
      </c>
      <c r="B143" t="s">
        <v>83</v>
      </c>
      <c r="C143" t="s">
        <v>101</v>
      </c>
      <c r="D143">
        <v>2</v>
      </c>
      <c r="E143" t="s">
        <v>132</v>
      </c>
      <c r="F143" t="s">
        <v>133</v>
      </c>
      <c r="G143" t="s">
        <v>134</v>
      </c>
      <c r="H143" s="16">
        <v>5910371</v>
      </c>
      <c r="I143" s="16">
        <v>4911404</v>
      </c>
      <c r="J143" s="16">
        <v>142443</v>
      </c>
      <c r="K143" s="16">
        <v>4604461</v>
      </c>
      <c r="L143" s="16">
        <v>955770</v>
      </c>
      <c r="M143" s="16">
        <v>1305911</v>
      </c>
      <c r="N143" s="16">
        <v>53482</v>
      </c>
      <c r="O143">
        <v>2</v>
      </c>
      <c r="P143">
        <v>0</v>
      </c>
      <c r="Q143" s="20">
        <v>0.83098066094328094</v>
      </c>
      <c r="R143" s="21">
        <v>4.0953786284057644E-2</v>
      </c>
    </row>
    <row r="144" spans="1:18">
      <c r="A144" t="s">
        <v>345</v>
      </c>
      <c r="B144" t="s">
        <v>71</v>
      </c>
      <c r="C144" t="s">
        <v>101</v>
      </c>
      <c r="D144">
        <v>3</v>
      </c>
      <c r="E144" t="s">
        <v>143</v>
      </c>
      <c r="F144" t="s">
        <v>133</v>
      </c>
      <c r="G144" t="s">
        <v>134</v>
      </c>
      <c r="H144" s="16">
        <v>5908741</v>
      </c>
      <c r="I144" s="16">
        <v>5699352</v>
      </c>
      <c r="J144" s="16">
        <v>0</v>
      </c>
      <c r="K144" s="16">
        <v>4565835</v>
      </c>
      <c r="L144" s="16">
        <v>4284526</v>
      </c>
      <c r="M144" s="16">
        <v>1342907</v>
      </c>
      <c r="N144" s="16">
        <v>21772</v>
      </c>
      <c r="O144">
        <v>2</v>
      </c>
      <c r="P144">
        <v>0</v>
      </c>
      <c r="Q144" s="20">
        <v>0.96456284003648152</v>
      </c>
      <c r="R144" s="21">
        <v>1.6212589553855926E-2</v>
      </c>
    </row>
    <row r="145" spans="1:18">
      <c r="A145" t="s">
        <v>346</v>
      </c>
      <c r="B145" t="s">
        <v>74</v>
      </c>
      <c r="C145" t="s">
        <v>104</v>
      </c>
      <c r="D145">
        <v>2</v>
      </c>
      <c r="E145" t="s">
        <v>132</v>
      </c>
      <c r="F145" t="s">
        <v>347</v>
      </c>
      <c r="G145" t="s">
        <v>206</v>
      </c>
      <c r="H145" s="16">
        <v>5864997</v>
      </c>
      <c r="I145" s="16">
        <v>3484517</v>
      </c>
      <c r="J145" s="16">
        <v>93410</v>
      </c>
      <c r="K145" s="16">
        <v>5176305</v>
      </c>
      <c r="L145" s="16">
        <v>4200019</v>
      </c>
      <c r="M145" s="16">
        <v>688692</v>
      </c>
      <c r="N145" s="16">
        <v>96744</v>
      </c>
      <c r="O145">
        <v>0</v>
      </c>
      <c r="P145">
        <v>43</v>
      </c>
      <c r="Q145" s="20">
        <v>0.59412084950768096</v>
      </c>
      <c r="R145" s="21">
        <v>0.14047498736735725</v>
      </c>
    </row>
    <row r="146" spans="1:18">
      <c r="A146" t="s">
        <v>348</v>
      </c>
      <c r="B146" t="s">
        <v>89</v>
      </c>
      <c r="C146" t="s">
        <v>95</v>
      </c>
      <c r="D146">
        <v>1</v>
      </c>
      <c r="E146" t="s">
        <v>136</v>
      </c>
      <c r="F146" t="s">
        <v>152</v>
      </c>
      <c r="G146" t="s">
        <v>153</v>
      </c>
      <c r="H146" s="16">
        <v>5840339</v>
      </c>
      <c r="I146" s="16">
        <v>13422</v>
      </c>
      <c r="J146" s="16">
        <v>2078296</v>
      </c>
      <c r="K146" s="16">
        <v>2843018</v>
      </c>
      <c r="L146" s="16">
        <v>446078</v>
      </c>
      <c r="M146" s="16">
        <v>2997321</v>
      </c>
      <c r="N146" s="16">
        <v>234895</v>
      </c>
      <c r="O146">
        <v>1</v>
      </c>
      <c r="P146">
        <v>0</v>
      </c>
      <c r="Q146" s="20">
        <v>2.2981542680998485E-3</v>
      </c>
      <c r="R146" s="21">
        <v>7.8368316239735419E-2</v>
      </c>
    </row>
    <row r="147" spans="1:18">
      <c r="A147" t="s">
        <v>349</v>
      </c>
      <c r="B147" t="s">
        <v>77</v>
      </c>
      <c r="C147" t="s">
        <v>101</v>
      </c>
      <c r="D147">
        <v>2</v>
      </c>
      <c r="E147" t="s">
        <v>132</v>
      </c>
      <c r="F147" t="s">
        <v>274</v>
      </c>
      <c r="G147" t="s">
        <v>206</v>
      </c>
      <c r="H147" s="16">
        <v>5757818</v>
      </c>
      <c r="I147" s="16">
        <v>117078</v>
      </c>
      <c r="J147" s="16">
        <v>1739421</v>
      </c>
      <c r="K147" s="16">
        <v>5373679</v>
      </c>
      <c r="L147" s="16">
        <v>2897611</v>
      </c>
      <c r="M147" s="16">
        <v>384138</v>
      </c>
      <c r="N147" s="16">
        <v>6703</v>
      </c>
      <c r="O147">
        <v>0</v>
      </c>
      <c r="P147">
        <v>0</v>
      </c>
      <c r="Q147" s="20">
        <v>2.0333744484455744E-2</v>
      </c>
      <c r="R147" s="21">
        <v>1.7449458267601747E-2</v>
      </c>
    </row>
    <row r="148" spans="1:18">
      <c r="A148" t="s">
        <v>350</v>
      </c>
      <c r="B148" t="s">
        <v>74</v>
      </c>
      <c r="C148" t="s">
        <v>101</v>
      </c>
      <c r="D148">
        <v>2</v>
      </c>
      <c r="E148" t="s">
        <v>132</v>
      </c>
      <c r="F148" t="s">
        <v>351</v>
      </c>
      <c r="G148" t="s">
        <v>206</v>
      </c>
      <c r="H148" s="16">
        <v>5719662</v>
      </c>
      <c r="I148" s="16">
        <v>3339910</v>
      </c>
      <c r="J148" s="16">
        <v>1938620</v>
      </c>
      <c r="K148" s="16">
        <v>4949213</v>
      </c>
      <c r="L148" s="16">
        <v>4208550</v>
      </c>
      <c r="M148" s="16">
        <v>770449</v>
      </c>
      <c r="N148" s="16">
        <v>97940</v>
      </c>
      <c r="O148">
        <v>0</v>
      </c>
      <c r="P148">
        <v>42</v>
      </c>
      <c r="Q148" s="20">
        <v>0.5839348548917751</v>
      </c>
      <c r="R148" s="21">
        <v>0.12712067898069826</v>
      </c>
    </row>
    <row r="149" spans="1:18">
      <c r="A149" t="s">
        <v>352</v>
      </c>
      <c r="B149" t="s">
        <v>89</v>
      </c>
      <c r="C149" t="s">
        <v>101</v>
      </c>
      <c r="D149">
        <v>2</v>
      </c>
      <c r="E149" t="s">
        <v>132</v>
      </c>
      <c r="F149" t="s">
        <v>133</v>
      </c>
      <c r="G149" t="s">
        <v>134</v>
      </c>
      <c r="H149" s="16">
        <v>5693593</v>
      </c>
      <c r="I149" s="16">
        <v>2749466</v>
      </c>
      <c r="J149" s="16">
        <v>285902</v>
      </c>
      <c r="K149" s="16">
        <v>5209013</v>
      </c>
      <c r="L149" s="16">
        <v>1424737</v>
      </c>
      <c r="M149" s="16">
        <v>484580</v>
      </c>
      <c r="N149" s="16">
        <v>62997</v>
      </c>
      <c r="O149">
        <v>1</v>
      </c>
      <c r="P149">
        <v>0</v>
      </c>
      <c r="Q149" s="20">
        <v>0.4829052585950559</v>
      </c>
      <c r="R149" s="21">
        <v>0.13000330182838746</v>
      </c>
    </row>
    <row r="150" spans="1:18">
      <c r="A150" t="s">
        <v>353</v>
      </c>
      <c r="B150" t="s">
        <v>86</v>
      </c>
      <c r="C150" t="s">
        <v>101</v>
      </c>
      <c r="D150">
        <v>2</v>
      </c>
      <c r="E150" t="s">
        <v>132</v>
      </c>
      <c r="F150" t="s">
        <v>152</v>
      </c>
      <c r="G150" t="s">
        <v>153</v>
      </c>
      <c r="H150" s="16">
        <v>5689169</v>
      </c>
      <c r="I150" s="16">
        <v>0</v>
      </c>
      <c r="J150" s="16">
        <v>74567</v>
      </c>
      <c r="K150" s="16">
        <v>5622109</v>
      </c>
      <c r="L150" s="16">
        <v>5571532</v>
      </c>
      <c r="M150" s="16">
        <v>67060</v>
      </c>
      <c r="N150" s="16">
        <v>-12511</v>
      </c>
      <c r="O150">
        <v>4</v>
      </c>
      <c r="P150">
        <v>0</v>
      </c>
      <c r="Q150" s="20">
        <v>0</v>
      </c>
      <c r="R150" s="21">
        <v>-0.18656427080226662</v>
      </c>
    </row>
    <row r="151" spans="1:18">
      <c r="A151" t="s">
        <v>354</v>
      </c>
      <c r="B151" t="s">
        <v>89</v>
      </c>
      <c r="C151" t="s">
        <v>101</v>
      </c>
      <c r="D151">
        <v>3</v>
      </c>
      <c r="E151" t="s">
        <v>143</v>
      </c>
      <c r="F151" t="s">
        <v>133</v>
      </c>
      <c r="G151" t="s">
        <v>134</v>
      </c>
      <c r="H151" s="16">
        <v>5605239</v>
      </c>
      <c r="I151" s="16">
        <v>0</v>
      </c>
      <c r="J151" s="16">
        <v>1702943</v>
      </c>
      <c r="K151" s="16">
        <v>5191285</v>
      </c>
      <c r="L151" s="16">
        <v>1527129</v>
      </c>
      <c r="M151" s="16">
        <v>413953</v>
      </c>
      <c r="N151" s="16">
        <v>183581</v>
      </c>
      <c r="O151">
        <v>1</v>
      </c>
      <c r="P151">
        <v>0</v>
      </c>
      <c r="Q151" s="20">
        <v>0</v>
      </c>
      <c r="R151" s="21">
        <v>0.44348271422117969</v>
      </c>
    </row>
    <row r="152" spans="1:18">
      <c r="A152" t="s">
        <v>355</v>
      </c>
      <c r="B152" t="s">
        <v>89</v>
      </c>
      <c r="C152" t="s">
        <v>104</v>
      </c>
      <c r="D152">
        <v>2</v>
      </c>
      <c r="E152" t="s">
        <v>132</v>
      </c>
      <c r="F152" t="s">
        <v>141</v>
      </c>
      <c r="G152" t="s">
        <v>134</v>
      </c>
      <c r="H152" s="16">
        <v>5601767</v>
      </c>
      <c r="I152" s="16">
        <v>0</v>
      </c>
      <c r="J152" s="16">
        <v>83223</v>
      </c>
      <c r="K152" s="16">
        <v>5150710</v>
      </c>
      <c r="L152" s="16">
        <v>2793620</v>
      </c>
      <c r="M152" s="16">
        <v>451057</v>
      </c>
      <c r="N152" s="16">
        <v>157740</v>
      </c>
      <c r="O152">
        <v>1</v>
      </c>
      <c r="P152">
        <v>0</v>
      </c>
      <c r="Q152" s="20">
        <v>0</v>
      </c>
      <c r="R152" s="21">
        <v>0.34971189893960186</v>
      </c>
    </row>
    <row r="153" spans="1:18">
      <c r="A153" t="s">
        <v>356</v>
      </c>
      <c r="B153" t="s">
        <v>74</v>
      </c>
      <c r="C153" t="s">
        <v>101</v>
      </c>
      <c r="D153">
        <v>2</v>
      </c>
      <c r="E153" t="s">
        <v>132</v>
      </c>
      <c r="F153" t="s">
        <v>357</v>
      </c>
      <c r="G153" t="s">
        <v>153</v>
      </c>
      <c r="H153" s="16">
        <v>5518860</v>
      </c>
      <c r="I153" s="16">
        <v>3014084</v>
      </c>
      <c r="J153" s="16">
        <v>1999359</v>
      </c>
      <c r="K153" s="16">
        <v>4797328</v>
      </c>
      <c r="L153" s="16">
        <v>3759992</v>
      </c>
      <c r="M153" s="16">
        <v>721533</v>
      </c>
      <c r="N153" s="16">
        <v>63192</v>
      </c>
      <c r="O153">
        <v>0</v>
      </c>
      <c r="P153">
        <v>37</v>
      </c>
      <c r="Q153" s="20">
        <v>0.54614250044393231</v>
      </c>
      <c r="R153" s="21">
        <v>8.7580193837288101E-2</v>
      </c>
    </row>
    <row r="154" spans="1:18">
      <c r="A154" t="s">
        <v>358</v>
      </c>
      <c r="B154" t="s">
        <v>68</v>
      </c>
      <c r="C154" t="s">
        <v>101</v>
      </c>
      <c r="D154">
        <v>2</v>
      </c>
      <c r="E154" t="s">
        <v>132</v>
      </c>
      <c r="F154" t="s">
        <v>145</v>
      </c>
      <c r="G154" t="s">
        <v>146</v>
      </c>
      <c r="H154" s="16">
        <v>5497490</v>
      </c>
      <c r="I154" s="16">
        <v>349554</v>
      </c>
      <c r="J154" s="16">
        <v>2839440</v>
      </c>
      <c r="K154" s="16">
        <v>5357627</v>
      </c>
      <c r="L154" s="16">
        <v>3955496</v>
      </c>
      <c r="M154" s="16">
        <v>139863</v>
      </c>
      <c r="N154" s="16">
        <v>-72542</v>
      </c>
      <c r="O154">
        <v>11</v>
      </c>
      <c r="P154">
        <v>2</v>
      </c>
      <c r="Q154" s="20">
        <v>6.3584290285202877E-2</v>
      </c>
      <c r="R154" s="21">
        <v>-0.51866469330702192</v>
      </c>
    </row>
    <row r="155" spans="1:18">
      <c r="A155" t="s">
        <v>359</v>
      </c>
      <c r="B155" t="s">
        <v>74</v>
      </c>
      <c r="C155" t="s">
        <v>101</v>
      </c>
      <c r="D155">
        <v>2</v>
      </c>
      <c r="E155" t="s">
        <v>132</v>
      </c>
      <c r="F155" t="s">
        <v>360</v>
      </c>
      <c r="G155" t="s">
        <v>153</v>
      </c>
      <c r="H155" s="16">
        <v>5480854</v>
      </c>
      <c r="I155" s="16">
        <v>2414154</v>
      </c>
      <c r="J155" s="16">
        <v>2362178</v>
      </c>
      <c r="K155" s="16">
        <v>4749686</v>
      </c>
      <c r="L155" s="16">
        <v>3640564</v>
      </c>
      <c r="M155" s="16">
        <v>731168</v>
      </c>
      <c r="N155" s="16">
        <v>67567</v>
      </c>
      <c r="O155">
        <v>0</v>
      </c>
      <c r="P155">
        <v>42</v>
      </c>
      <c r="Q155" s="20">
        <v>0.44047040844364765</v>
      </c>
      <c r="R155" s="21">
        <v>9.2409678760558445E-2</v>
      </c>
    </row>
    <row r="156" spans="1:18">
      <c r="A156" t="s">
        <v>361</v>
      </c>
      <c r="B156" t="s">
        <v>83</v>
      </c>
      <c r="C156" t="s">
        <v>101</v>
      </c>
      <c r="D156">
        <v>2</v>
      </c>
      <c r="E156" t="s">
        <v>132</v>
      </c>
      <c r="F156" t="s">
        <v>133</v>
      </c>
      <c r="G156" t="s">
        <v>134</v>
      </c>
      <c r="H156" s="16">
        <v>5396429</v>
      </c>
      <c r="I156" s="16">
        <v>3146654</v>
      </c>
      <c r="J156" s="16">
        <v>380061</v>
      </c>
      <c r="K156" s="16">
        <v>4330973</v>
      </c>
      <c r="L156" s="16">
        <v>2403206</v>
      </c>
      <c r="M156" s="16">
        <v>1065456</v>
      </c>
      <c r="N156" s="16">
        <v>5623</v>
      </c>
      <c r="O156">
        <v>2</v>
      </c>
      <c r="P156">
        <v>0</v>
      </c>
      <c r="Q156" s="20">
        <v>0.58309930511454888</v>
      </c>
      <c r="R156" s="21">
        <v>5.2775525221125975E-3</v>
      </c>
    </row>
    <row r="157" spans="1:18">
      <c r="A157" t="s">
        <v>362</v>
      </c>
      <c r="B157" t="s">
        <v>83</v>
      </c>
      <c r="C157" t="s">
        <v>101</v>
      </c>
      <c r="D157">
        <v>3</v>
      </c>
      <c r="E157" t="s">
        <v>143</v>
      </c>
      <c r="F157" t="s">
        <v>133</v>
      </c>
      <c r="G157" t="s">
        <v>134</v>
      </c>
      <c r="H157" s="16">
        <v>5320020</v>
      </c>
      <c r="I157" s="16">
        <v>202040</v>
      </c>
      <c r="J157" s="16">
        <v>820052</v>
      </c>
      <c r="K157" s="16">
        <v>4207903</v>
      </c>
      <c r="L157" s="16">
        <v>3721450</v>
      </c>
      <c r="M157" s="16">
        <v>1112117</v>
      </c>
      <c r="N157" s="16">
        <v>214159</v>
      </c>
      <c r="O157">
        <v>4</v>
      </c>
      <c r="P157">
        <v>0</v>
      </c>
      <c r="Q157" s="20">
        <v>3.79773008372149E-2</v>
      </c>
      <c r="R157" s="21">
        <v>0.19256876749478696</v>
      </c>
    </row>
    <row r="158" spans="1:18">
      <c r="A158" t="s">
        <v>363</v>
      </c>
      <c r="B158" t="s">
        <v>74</v>
      </c>
      <c r="C158" t="s">
        <v>104</v>
      </c>
      <c r="D158">
        <v>2</v>
      </c>
      <c r="E158" t="s">
        <v>132</v>
      </c>
      <c r="F158" t="s">
        <v>364</v>
      </c>
      <c r="G158" t="s">
        <v>286</v>
      </c>
      <c r="H158" s="16">
        <v>5255197</v>
      </c>
      <c r="I158" s="16">
        <v>2414287</v>
      </c>
      <c r="J158" s="16">
        <v>268857</v>
      </c>
      <c r="K158" s="16">
        <v>3712056</v>
      </c>
      <c r="L158" s="16">
        <v>3478935</v>
      </c>
      <c r="M158" s="16">
        <v>1543140</v>
      </c>
      <c r="N158" s="16">
        <v>55905</v>
      </c>
      <c r="O158">
        <v>0</v>
      </c>
      <c r="P158">
        <v>34</v>
      </c>
      <c r="Q158" s="20">
        <v>0.45940941890475279</v>
      </c>
      <c r="R158" s="21">
        <v>3.622808040748085E-2</v>
      </c>
    </row>
    <row r="159" spans="1:18">
      <c r="A159" t="s">
        <v>365</v>
      </c>
      <c r="B159" t="s">
        <v>74</v>
      </c>
      <c r="C159" t="s">
        <v>101</v>
      </c>
      <c r="D159">
        <v>2</v>
      </c>
      <c r="E159" t="s">
        <v>132</v>
      </c>
      <c r="F159" t="s">
        <v>366</v>
      </c>
      <c r="G159" t="s">
        <v>153</v>
      </c>
      <c r="H159" s="16">
        <v>5237017</v>
      </c>
      <c r="I159" s="16">
        <v>3269865</v>
      </c>
      <c r="J159" s="16">
        <v>1690494</v>
      </c>
      <c r="K159" s="16">
        <v>4578165</v>
      </c>
      <c r="L159" s="16">
        <v>2875361</v>
      </c>
      <c r="M159" s="16">
        <v>658852</v>
      </c>
      <c r="N159" s="16">
        <v>51433</v>
      </c>
      <c r="O159">
        <v>0</v>
      </c>
      <c r="P159">
        <v>43</v>
      </c>
      <c r="Q159" s="20">
        <v>0.62437547939981863</v>
      </c>
      <c r="R159" s="21">
        <v>7.8064572923812942E-2</v>
      </c>
    </row>
    <row r="160" spans="1:18">
      <c r="A160" t="s">
        <v>367</v>
      </c>
      <c r="B160" t="s">
        <v>74</v>
      </c>
      <c r="C160" t="s">
        <v>101</v>
      </c>
      <c r="D160">
        <v>2</v>
      </c>
      <c r="E160" t="s">
        <v>132</v>
      </c>
      <c r="F160" t="s">
        <v>368</v>
      </c>
      <c r="G160" t="s">
        <v>206</v>
      </c>
      <c r="H160" s="16">
        <v>5226965</v>
      </c>
      <c r="I160" s="16">
        <v>2502039</v>
      </c>
      <c r="J160" s="16">
        <v>2315549</v>
      </c>
      <c r="K160" s="16">
        <v>4486752</v>
      </c>
      <c r="L160" s="16">
        <v>3966163</v>
      </c>
      <c r="M160" s="16">
        <v>740213</v>
      </c>
      <c r="N160" s="16">
        <v>80060</v>
      </c>
      <c r="O160">
        <v>0</v>
      </c>
      <c r="P160">
        <v>42</v>
      </c>
      <c r="Q160" s="20">
        <v>0.47867911876203495</v>
      </c>
      <c r="R160" s="21">
        <v>0.10815805720785773</v>
      </c>
    </row>
    <row r="161" spans="1:18">
      <c r="A161" t="s">
        <v>369</v>
      </c>
      <c r="B161" t="s">
        <v>74</v>
      </c>
      <c r="C161" t="s">
        <v>101</v>
      </c>
      <c r="D161">
        <v>2</v>
      </c>
      <c r="E161" t="s">
        <v>132</v>
      </c>
      <c r="F161" t="s">
        <v>370</v>
      </c>
      <c r="G161" t="s">
        <v>211</v>
      </c>
      <c r="H161" s="16">
        <v>5120654</v>
      </c>
      <c r="I161" s="16">
        <v>3007322</v>
      </c>
      <c r="J161" s="16">
        <v>1781578</v>
      </c>
      <c r="K161" s="16">
        <v>4552206</v>
      </c>
      <c r="L161" s="16">
        <v>3233206</v>
      </c>
      <c r="M161" s="16">
        <v>568449</v>
      </c>
      <c r="N161" s="16">
        <v>14813</v>
      </c>
      <c r="O161">
        <v>0</v>
      </c>
      <c r="P161">
        <v>48</v>
      </c>
      <c r="Q161" s="20">
        <v>0.58729256067681979</v>
      </c>
      <c r="R161" s="21">
        <v>2.6058626191619652E-2</v>
      </c>
    </row>
    <row r="162" spans="1:18">
      <c r="A162" t="s">
        <v>371</v>
      </c>
      <c r="B162" t="s">
        <v>74</v>
      </c>
      <c r="C162" t="s">
        <v>101</v>
      </c>
      <c r="D162">
        <v>2</v>
      </c>
      <c r="E162" t="s">
        <v>132</v>
      </c>
      <c r="F162" t="s">
        <v>372</v>
      </c>
      <c r="G162" t="s">
        <v>153</v>
      </c>
      <c r="H162" s="16">
        <v>5080095</v>
      </c>
      <c r="I162" s="16">
        <v>2825843</v>
      </c>
      <c r="J162" s="16">
        <v>1742638</v>
      </c>
      <c r="K162" s="16">
        <v>4400213</v>
      </c>
      <c r="L162" s="16">
        <v>3127441</v>
      </c>
      <c r="M162" s="16">
        <v>679882</v>
      </c>
      <c r="N162" s="16">
        <v>39849</v>
      </c>
      <c r="O162">
        <v>0</v>
      </c>
      <c r="P162">
        <v>52</v>
      </c>
      <c r="Q162" s="20">
        <v>0.55625790462579927</v>
      </c>
      <c r="R162" s="21">
        <v>5.8611641431895532E-2</v>
      </c>
    </row>
    <row r="163" spans="1:18">
      <c r="A163" t="s">
        <v>373</v>
      </c>
      <c r="B163" t="s">
        <v>74</v>
      </c>
      <c r="C163" t="s">
        <v>101</v>
      </c>
      <c r="D163">
        <v>2</v>
      </c>
      <c r="E163" t="s">
        <v>132</v>
      </c>
      <c r="F163" t="s">
        <v>374</v>
      </c>
      <c r="G163" t="s">
        <v>153</v>
      </c>
      <c r="H163" s="16">
        <v>5006767</v>
      </c>
      <c r="I163" s="16">
        <v>2253045</v>
      </c>
      <c r="J163" s="16">
        <v>1985392</v>
      </c>
      <c r="K163" s="16">
        <v>4281566</v>
      </c>
      <c r="L163" s="16">
        <v>3569795</v>
      </c>
      <c r="M163" s="16">
        <v>725201</v>
      </c>
      <c r="N163" s="16">
        <v>91288</v>
      </c>
      <c r="O163">
        <v>0</v>
      </c>
      <c r="P163">
        <v>42</v>
      </c>
      <c r="Q163" s="20">
        <v>0.44999997004054715</v>
      </c>
      <c r="R163" s="21">
        <v>0.12587958372920061</v>
      </c>
    </row>
    <row r="164" spans="1:18">
      <c r="A164" t="s">
        <v>375</v>
      </c>
      <c r="B164" t="s">
        <v>74</v>
      </c>
      <c r="C164" t="s">
        <v>104</v>
      </c>
      <c r="D164">
        <v>2</v>
      </c>
      <c r="E164" t="s">
        <v>132</v>
      </c>
      <c r="F164" t="s">
        <v>376</v>
      </c>
      <c r="G164" t="s">
        <v>191</v>
      </c>
      <c r="H164" s="16">
        <v>5001705</v>
      </c>
      <c r="I164" s="16">
        <v>2465775</v>
      </c>
      <c r="J164" s="16">
        <v>417999</v>
      </c>
      <c r="K164" s="16">
        <v>4294849</v>
      </c>
      <c r="L164" s="16">
        <v>3809418</v>
      </c>
      <c r="M164" s="16">
        <v>706857</v>
      </c>
      <c r="N164" s="16">
        <v>89771</v>
      </c>
      <c r="O164">
        <v>0</v>
      </c>
      <c r="P164">
        <v>26</v>
      </c>
      <c r="Q164" s="20">
        <v>0.49298689147000874</v>
      </c>
      <c r="R164" s="21">
        <v>0.12700022776884151</v>
      </c>
    </row>
    <row r="165" spans="1:18">
      <c r="A165" t="s">
        <v>377</v>
      </c>
      <c r="B165" t="s">
        <v>74</v>
      </c>
      <c r="C165" t="s">
        <v>101</v>
      </c>
      <c r="D165">
        <v>2</v>
      </c>
      <c r="E165" t="s">
        <v>132</v>
      </c>
      <c r="F165" t="s">
        <v>378</v>
      </c>
      <c r="G165" t="s">
        <v>211</v>
      </c>
      <c r="H165" s="16">
        <v>5001481</v>
      </c>
      <c r="I165" s="16">
        <v>2405513</v>
      </c>
      <c r="J165" s="16">
        <v>2274203</v>
      </c>
      <c r="K165" s="16">
        <v>4513039</v>
      </c>
      <c r="L165" s="16">
        <v>3579169</v>
      </c>
      <c r="M165" s="16">
        <v>488442</v>
      </c>
      <c r="N165" s="16">
        <v>56092</v>
      </c>
      <c r="O165">
        <v>0</v>
      </c>
      <c r="P165">
        <v>43</v>
      </c>
      <c r="Q165" s="20">
        <v>0.48096013960664852</v>
      </c>
      <c r="R165" s="21">
        <v>0.11483860929240319</v>
      </c>
    </row>
    <row r="166" spans="1:18">
      <c r="A166" t="s">
        <v>379</v>
      </c>
      <c r="B166" t="s">
        <v>74</v>
      </c>
      <c r="C166" t="s">
        <v>101</v>
      </c>
      <c r="D166">
        <v>2</v>
      </c>
      <c r="E166" t="s">
        <v>132</v>
      </c>
      <c r="F166" t="s">
        <v>380</v>
      </c>
      <c r="G166" t="s">
        <v>292</v>
      </c>
      <c r="H166" s="16">
        <v>4955393</v>
      </c>
      <c r="I166" s="16">
        <v>2543544</v>
      </c>
      <c r="J166" s="16">
        <v>1776853</v>
      </c>
      <c r="K166" s="16">
        <v>4170475</v>
      </c>
      <c r="L166" s="16">
        <v>2524489</v>
      </c>
      <c r="M166" s="16">
        <v>784918</v>
      </c>
      <c r="N166" s="16">
        <v>17861</v>
      </c>
      <c r="O166">
        <v>0</v>
      </c>
      <c r="P166">
        <v>37</v>
      </c>
      <c r="Q166" s="20">
        <v>0.51328804799135008</v>
      </c>
      <c r="R166" s="21">
        <v>2.2755243222858948E-2</v>
      </c>
    </row>
    <row r="167" spans="1:18">
      <c r="A167" t="s">
        <v>381</v>
      </c>
      <c r="B167" t="s">
        <v>74</v>
      </c>
      <c r="C167" t="s">
        <v>104</v>
      </c>
      <c r="D167">
        <v>2</v>
      </c>
      <c r="E167" t="s">
        <v>132</v>
      </c>
      <c r="F167" t="s">
        <v>382</v>
      </c>
      <c r="G167" t="s">
        <v>286</v>
      </c>
      <c r="H167" s="16">
        <v>4900497</v>
      </c>
      <c r="I167" s="16">
        <v>2806982</v>
      </c>
      <c r="J167" s="16">
        <v>64904</v>
      </c>
      <c r="K167" s="16">
        <v>4355306</v>
      </c>
      <c r="L167" s="16">
        <v>4069063</v>
      </c>
      <c r="M167" s="16">
        <v>545191</v>
      </c>
      <c r="N167" s="16">
        <v>40727</v>
      </c>
      <c r="O167">
        <v>0</v>
      </c>
      <c r="P167">
        <v>61</v>
      </c>
      <c r="Q167" s="20">
        <v>0.57279537157149574</v>
      </c>
      <c r="R167" s="21">
        <v>7.4702260308772528E-2</v>
      </c>
    </row>
    <row r="168" spans="1:18">
      <c r="A168" t="s">
        <v>383</v>
      </c>
      <c r="B168" t="s">
        <v>68</v>
      </c>
      <c r="C168" t="s">
        <v>101</v>
      </c>
      <c r="D168">
        <v>3</v>
      </c>
      <c r="E168" t="s">
        <v>143</v>
      </c>
      <c r="F168" t="s">
        <v>152</v>
      </c>
      <c r="G168" t="s">
        <v>153</v>
      </c>
      <c r="H168" s="16">
        <v>4867454</v>
      </c>
      <c r="I168" s="16">
        <v>4058265</v>
      </c>
      <c r="J168" s="16">
        <v>133330</v>
      </c>
      <c r="K168" s="16">
        <v>4580926</v>
      </c>
      <c r="L168" s="16">
        <v>4427000</v>
      </c>
      <c r="M168" s="16">
        <v>286528</v>
      </c>
      <c r="N168" s="16">
        <v>-15088</v>
      </c>
      <c r="O168">
        <v>2</v>
      </c>
      <c r="P168">
        <v>0</v>
      </c>
      <c r="Q168" s="20">
        <v>0.83375518289438377</v>
      </c>
      <c r="R168" s="21">
        <v>-5.2658029930757203E-2</v>
      </c>
    </row>
    <row r="169" spans="1:18">
      <c r="A169" t="s">
        <v>384</v>
      </c>
      <c r="B169" t="s">
        <v>74</v>
      </c>
      <c r="C169" t="s">
        <v>101</v>
      </c>
      <c r="D169">
        <v>2</v>
      </c>
      <c r="E169" t="s">
        <v>132</v>
      </c>
      <c r="F169" t="s">
        <v>152</v>
      </c>
      <c r="G169" t="s">
        <v>153</v>
      </c>
      <c r="H169" s="16">
        <v>4823195</v>
      </c>
      <c r="I169" s="16">
        <v>2063713</v>
      </c>
      <c r="J169" s="16">
        <v>2358709</v>
      </c>
      <c r="K169" s="16">
        <v>4361957</v>
      </c>
      <c r="L169" s="16">
        <v>3701135</v>
      </c>
      <c r="M169" s="16">
        <v>461238</v>
      </c>
      <c r="N169" s="16">
        <v>35402</v>
      </c>
      <c r="O169">
        <v>0</v>
      </c>
      <c r="P169">
        <v>32</v>
      </c>
      <c r="Q169" s="20">
        <v>0.42787260311888697</v>
      </c>
      <c r="R169" s="21">
        <v>7.6754300382882584E-2</v>
      </c>
    </row>
    <row r="170" spans="1:18">
      <c r="A170" t="s">
        <v>385</v>
      </c>
      <c r="B170" t="s">
        <v>74</v>
      </c>
      <c r="C170" t="s">
        <v>101</v>
      </c>
      <c r="D170">
        <v>2</v>
      </c>
      <c r="E170" t="s">
        <v>132</v>
      </c>
      <c r="F170" t="s">
        <v>386</v>
      </c>
      <c r="G170" t="s">
        <v>250</v>
      </c>
      <c r="H170" s="16">
        <v>4809081</v>
      </c>
      <c r="I170" s="16">
        <v>3029511</v>
      </c>
      <c r="J170" s="16">
        <v>860496</v>
      </c>
      <c r="K170" s="16">
        <v>4250410</v>
      </c>
      <c r="L170" s="16">
        <v>2599551</v>
      </c>
      <c r="M170" s="16">
        <v>558671</v>
      </c>
      <c r="N170" s="16">
        <v>-94630</v>
      </c>
      <c r="O170">
        <v>0</v>
      </c>
      <c r="P170">
        <v>33</v>
      </c>
      <c r="Q170" s="20">
        <v>0.62995632637503918</v>
      </c>
      <c r="R170" s="21">
        <v>-0.16938412768874705</v>
      </c>
    </row>
    <row r="171" spans="1:18">
      <c r="A171" t="s">
        <v>387</v>
      </c>
      <c r="B171" t="s">
        <v>68</v>
      </c>
      <c r="C171" t="s">
        <v>101</v>
      </c>
      <c r="D171">
        <v>2</v>
      </c>
      <c r="E171" t="s">
        <v>132</v>
      </c>
      <c r="F171" t="s">
        <v>133</v>
      </c>
      <c r="G171" t="s">
        <v>134</v>
      </c>
      <c r="H171" s="16">
        <v>4771435</v>
      </c>
      <c r="I171" s="16">
        <v>519289</v>
      </c>
      <c r="J171" s="16">
        <v>551149</v>
      </c>
      <c r="K171" s="16">
        <v>4215511</v>
      </c>
      <c r="L171" s="16">
        <v>3140110</v>
      </c>
      <c r="M171" s="16">
        <v>555924</v>
      </c>
      <c r="N171" s="16">
        <v>73001</v>
      </c>
      <c r="O171">
        <v>14</v>
      </c>
      <c r="P171">
        <v>1</v>
      </c>
      <c r="Q171" s="20">
        <v>0.10883287732097367</v>
      </c>
      <c r="R171" s="21">
        <v>0.13131471208294659</v>
      </c>
    </row>
    <row r="172" spans="1:18">
      <c r="A172" t="s">
        <v>388</v>
      </c>
      <c r="B172" t="s">
        <v>74</v>
      </c>
      <c r="C172" t="s">
        <v>101</v>
      </c>
      <c r="D172">
        <v>2</v>
      </c>
      <c r="E172" t="s">
        <v>132</v>
      </c>
      <c r="F172" t="s">
        <v>389</v>
      </c>
      <c r="G172" t="s">
        <v>211</v>
      </c>
      <c r="H172" s="16">
        <v>4761886</v>
      </c>
      <c r="I172" s="16">
        <v>2112846</v>
      </c>
      <c r="J172" s="16">
        <v>272749</v>
      </c>
      <c r="K172" s="16">
        <v>2941561</v>
      </c>
      <c r="L172" s="16">
        <v>2702820</v>
      </c>
      <c r="M172" s="16">
        <v>1820326</v>
      </c>
      <c r="N172" s="16">
        <v>150861</v>
      </c>
      <c r="O172">
        <v>0</v>
      </c>
      <c r="P172">
        <v>53</v>
      </c>
      <c r="Q172" s="20">
        <v>0.44369940817566822</v>
      </c>
      <c r="R172" s="21">
        <v>8.2875814551898949E-2</v>
      </c>
    </row>
    <row r="173" spans="1:18">
      <c r="A173" t="s">
        <v>390</v>
      </c>
      <c r="B173" t="s">
        <v>74</v>
      </c>
      <c r="C173" t="s">
        <v>101</v>
      </c>
      <c r="D173">
        <v>2</v>
      </c>
      <c r="E173" t="s">
        <v>132</v>
      </c>
      <c r="F173" t="s">
        <v>391</v>
      </c>
      <c r="G173" t="s">
        <v>153</v>
      </c>
      <c r="H173" s="16">
        <v>4743625</v>
      </c>
      <c r="I173" s="16">
        <v>2649065</v>
      </c>
      <c r="J173" s="16">
        <v>1563458</v>
      </c>
      <c r="K173" s="16">
        <v>4294414</v>
      </c>
      <c r="L173" s="16">
        <v>3216918</v>
      </c>
      <c r="M173" s="16">
        <v>449211</v>
      </c>
      <c r="N173" s="16">
        <v>-21007</v>
      </c>
      <c r="O173">
        <v>0</v>
      </c>
      <c r="P173">
        <v>44</v>
      </c>
      <c r="Q173" s="20">
        <v>0.55844738991804788</v>
      </c>
      <c r="R173" s="21">
        <v>-4.6764215480030541E-2</v>
      </c>
    </row>
    <row r="174" spans="1:18">
      <c r="A174" t="s">
        <v>392</v>
      </c>
      <c r="B174" t="s">
        <v>74</v>
      </c>
      <c r="C174" t="s">
        <v>101</v>
      </c>
      <c r="D174">
        <v>2</v>
      </c>
      <c r="E174" t="s">
        <v>132</v>
      </c>
      <c r="F174" t="s">
        <v>393</v>
      </c>
      <c r="G174" t="s">
        <v>211</v>
      </c>
      <c r="H174" s="16">
        <v>4711067</v>
      </c>
      <c r="I174" s="16">
        <v>2604416</v>
      </c>
      <c r="J174" s="16">
        <v>1757371</v>
      </c>
      <c r="K174" s="16">
        <v>4251167</v>
      </c>
      <c r="L174" s="16">
        <v>3104437</v>
      </c>
      <c r="M174" s="16">
        <v>459900</v>
      </c>
      <c r="N174" s="16">
        <v>31316</v>
      </c>
      <c r="O174">
        <v>0</v>
      </c>
      <c r="P174">
        <v>48</v>
      </c>
      <c r="Q174" s="20">
        <v>0.55282932719912492</v>
      </c>
      <c r="R174" s="21">
        <v>6.8093063709502064E-2</v>
      </c>
    </row>
    <row r="175" spans="1:18">
      <c r="A175" t="s">
        <v>394</v>
      </c>
      <c r="B175" t="s">
        <v>74</v>
      </c>
      <c r="C175" t="s">
        <v>101</v>
      </c>
      <c r="D175">
        <v>2</v>
      </c>
      <c r="E175" t="s">
        <v>132</v>
      </c>
      <c r="F175" t="s">
        <v>395</v>
      </c>
      <c r="G175" t="s">
        <v>153</v>
      </c>
      <c r="H175" s="16">
        <v>4708756</v>
      </c>
      <c r="I175" s="16">
        <v>2442816</v>
      </c>
      <c r="J175" s="16">
        <v>1900759</v>
      </c>
      <c r="K175" s="16">
        <v>3974929</v>
      </c>
      <c r="L175" s="16">
        <v>2831124</v>
      </c>
      <c r="M175" s="16">
        <v>733827</v>
      </c>
      <c r="N175" s="16">
        <v>43745</v>
      </c>
      <c r="O175">
        <v>0</v>
      </c>
      <c r="P175">
        <v>43</v>
      </c>
      <c r="Q175" s="20">
        <v>0.51878160601228862</v>
      </c>
      <c r="R175" s="21">
        <v>5.9612142916518472E-2</v>
      </c>
    </row>
    <row r="176" spans="1:18">
      <c r="A176" t="s">
        <v>396</v>
      </c>
      <c r="B176" t="s">
        <v>68</v>
      </c>
      <c r="C176" t="s">
        <v>101</v>
      </c>
      <c r="D176">
        <v>2</v>
      </c>
      <c r="E176" t="s">
        <v>132</v>
      </c>
      <c r="F176" t="s">
        <v>397</v>
      </c>
      <c r="G176" t="s">
        <v>169</v>
      </c>
      <c r="H176" s="16">
        <v>4694166</v>
      </c>
      <c r="I176" s="16">
        <v>2081191</v>
      </c>
      <c r="J176" s="16">
        <v>202378</v>
      </c>
      <c r="K176" s="16">
        <v>4151046</v>
      </c>
      <c r="L176" s="16">
        <v>3006019</v>
      </c>
      <c r="M176" s="16">
        <v>543120</v>
      </c>
      <c r="N176" s="16">
        <v>6616</v>
      </c>
      <c r="O176">
        <v>2</v>
      </c>
      <c r="P176">
        <v>0</v>
      </c>
      <c r="Q176" s="20">
        <v>0.44335692431839863</v>
      </c>
      <c r="R176" s="21">
        <v>1.2181470025040506E-2</v>
      </c>
    </row>
    <row r="177" spans="1:18">
      <c r="A177" t="s">
        <v>398</v>
      </c>
      <c r="B177" t="s">
        <v>83</v>
      </c>
      <c r="C177" t="s">
        <v>101</v>
      </c>
      <c r="D177">
        <v>1</v>
      </c>
      <c r="E177" t="s">
        <v>136</v>
      </c>
      <c r="F177" t="s">
        <v>210</v>
      </c>
      <c r="G177" t="s">
        <v>211</v>
      </c>
      <c r="H177" s="16">
        <v>4693143</v>
      </c>
      <c r="I177" s="16">
        <v>1705318</v>
      </c>
      <c r="J177" s="16">
        <v>2877681</v>
      </c>
      <c r="K177" s="16">
        <v>627711</v>
      </c>
      <c r="L177" s="16">
        <v>462814</v>
      </c>
      <c r="M177" s="16">
        <v>4065433</v>
      </c>
      <c r="N177" s="16">
        <v>178193</v>
      </c>
      <c r="O177">
        <v>2</v>
      </c>
      <c r="P177">
        <v>0</v>
      </c>
      <c r="Q177" s="20">
        <v>0.36336374152673379</v>
      </c>
      <c r="R177" s="21">
        <v>4.3831247495654216E-2</v>
      </c>
    </row>
    <row r="178" spans="1:18">
      <c r="A178" t="s">
        <v>399</v>
      </c>
      <c r="B178" t="s">
        <v>74</v>
      </c>
      <c r="C178" t="s">
        <v>101</v>
      </c>
      <c r="D178">
        <v>2</v>
      </c>
      <c r="E178" t="s">
        <v>132</v>
      </c>
      <c r="F178" t="s">
        <v>400</v>
      </c>
      <c r="G178" t="s">
        <v>211</v>
      </c>
      <c r="H178" s="16">
        <v>4628457</v>
      </c>
      <c r="I178" s="16">
        <v>2759911</v>
      </c>
      <c r="J178" s="16">
        <v>1477685</v>
      </c>
      <c r="K178" s="16">
        <v>4052907</v>
      </c>
      <c r="L178" s="16">
        <v>2926934</v>
      </c>
      <c r="M178" s="16">
        <v>575550</v>
      </c>
      <c r="N178" s="16">
        <v>39506</v>
      </c>
      <c r="O178">
        <v>0</v>
      </c>
      <c r="P178">
        <v>41</v>
      </c>
      <c r="Q178" s="20">
        <v>0.59629180955985983</v>
      </c>
      <c r="R178" s="21">
        <v>6.8640430892190074E-2</v>
      </c>
    </row>
    <row r="179" spans="1:18">
      <c r="A179" t="s">
        <v>401</v>
      </c>
      <c r="B179" t="s">
        <v>74</v>
      </c>
      <c r="C179" t="s">
        <v>101</v>
      </c>
      <c r="D179">
        <v>2</v>
      </c>
      <c r="E179" t="s">
        <v>132</v>
      </c>
      <c r="F179" t="s">
        <v>402</v>
      </c>
      <c r="G179" t="s">
        <v>206</v>
      </c>
      <c r="H179" s="16">
        <v>4623919</v>
      </c>
      <c r="I179" s="16">
        <v>2226604</v>
      </c>
      <c r="J179" s="16">
        <v>62988</v>
      </c>
      <c r="K179" s="16">
        <v>4278904</v>
      </c>
      <c r="L179" s="16">
        <v>4034494</v>
      </c>
      <c r="M179" s="16">
        <v>345015</v>
      </c>
      <c r="N179" s="16">
        <v>4137</v>
      </c>
      <c r="O179">
        <v>0</v>
      </c>
      <c r="P179">
        <v>33</v>
      </c>
      <c r="Q179" s="20">
        <v>0.48154044220930342</v>
      </c>
      <c r="R179" s="21">
        <v>1.1990783009434373E-2</v>
      </c>
    </row>
    <row r="180" spans="1:18">
      <c r="A180" t="s">
        <v>403</v>
      </c>
      <c r="B180" t="s">
        <v>74</v>
      </c>
      <c r="C180" t="s">
        <v>101</v>
      </c>
      <c r="D180">
        <v>2</v>
      </c>
      <c r="E180" t="s">
        <v>132</v>
      </c>
      <c r="F180" t="s">
        <v>404</v>
      </c>
      <c r="G180" t="s">
        <v>405</v>
      </c>
      <c r="H180" s="16">
        <v>4619477</v>
      </c>
      <c r="I180" s="16">
        <v>2203747</v>
      </c>
      <c r="J180" s="16">
        <v>1878095</v>
      </c>
      <c r="K180" s="16">
        <v>3944573</v>
      </c>
      <c r="L180" s="16">
        <v>3362668</v>
      </c>
      <c r="M180" s="16">
        <v>674904</v>
      </c>
      <c r="N180" s="16">
        <v>61351</v>
      </c>
      <c r="O180">
        <v>0</v>
      </c>
      <c r="P180">
        <v>35</v>
      </c>
      <c r="Q180" s="20">
        <v>0.47705551948846159</v>
      </c>
      <c r="R180" s="21">
        <v>9.0903298839538654E-2</v>
      </c>
    </row>
    <row r="181" spans="1:18">
      <c r="A181" t="s">
        <v>406</v>
      </c>
      <c r="B181" t="s">
        <v>74</v>
      </c>
      <c r="C181" t="s">
        <v>101</v>
      </c>
      <c r="D181">
        <v>2</v>
      </c>
      <c r="E181" t="s">
        <v>132</v>
      </c>
      <c r="F181" t="s">
        <v>407</v>
      </c>
      <c r="G181" t="s">
        <v>211</v>
      </c>
      <c r="H181" s="16">
        <v>4611344</v>
      </c>
      <c r="I181" s="16">
        <v>2511048</v>
      </c>
      <c r="J181" s="16">
        <v>1827077</v>
      </c>
      <c r="K181" s="16">
        <v>4149322</v>
      </c>
      <c r="L181" s="16">
        <v>3147337</v>
      </c>
      <c r="M181" s="16">
        <v>462022</v>
      </c>
      <c r="N181" s="16">
        <v>56029</v>
      </c>
      <c r="O181">
        <v>0</v>
      </c>
      <c r="P181">
        <v>34</v>
      </c>
      <c r="Q181" s="20">
        <v>0.54453712410091293</v>
      </c>
      <c r="R181" s="21">
        <v>0.12126911705503202</v>
      </c>
    </row>
    <row r="182" spans="1:18">
      <c r="A182" t="s">
        <v>408</v>
      </c>
      <c r="B182" t="s">
        <v>74</v>
      </c>
      <c r="C182" t="s">
        <v>104</v>
      </c>
      <c r="D182">
        <v>2</v>
      </c>
      <c r="E182" t="s">
        <v>132</v>
      </c>
      <c r="F182" t="s">
        <v>205</v>
      </c>
      <c r="G182" t="s">
        <v>206</v>
      </c>
      <c r="H182" s="16">
        <v>4592109</v>
      </c>
      <c r="I182" s="16">
        <v>2119061</v>
      </c>
      <c r="J182" s="16">
        <v>98016</v>
      </c>
      <c r="K182" s="16">
        <v>4086659</v>
      </c>
      <c r="L182" s="16">
        <v>3821250</v>
      </c>
      <c r="M182" s="16">
        <v>505450</v>
      </c>
      <c r="N182" s="16">
        <v>37386</v>
      </c>
      <c r="O182">
        <v>0</v>
      </c>
      <c r="P182">
        <v>23</v>
      </c>
      <c r="Q182" s="20">
        <v>0.46145703422980594</v>
      </c>
      <c r="R182" s="21">
        <v>7.3965773073498858E-2</v>
      </c>
    </row>
    <row r="183" spans="1:18">
      <c r="A183" t="s">
        <v>409</v>
      </c>
      <c r="B183" t="s">
        <v>74</v>
      </c>
      <c r="C183" t="s">
        <v>101</v>
      </c>
      <c r="D183">
        <v>2</v>
      </c>
      <c r="E183" t="s">
        <v>132</v>
      </c>
      <c r="F183" t="s">
        <v>285</v>
      </c>
      <c r="G183" t="s">
        <v>286</v>
      </c>
      <c r="H183" s="16">
        <v>4576649</v>
      </c>
      <c r="I183" s="16">
        <v>1918926</v>
      </c>
      <c r="J183" s="16">
        <v>95106</v>
      </c>
      <c r="K183" s="16">
        <v>3981973</v>
      </c>
      <c r="L183" s="16">
        <v>3614558</v>
      </c>
      <c r="M183" s="16">
        <v>594676</v>
      </c>
      <c r="N183" s="16">
        <v>20745</v>
      </c>
      <c r="O183">
        <v>0</v>
      </c>
      <c r="P183">
        <v>13</v>
      </c>
      <c r="Q183" s="20">
        <v>0.41928625070439091</v>
      </c>
      <c r="R183" s="21">
        <v>3.4884542170862787E-2</v>
      </c>
    </row>
    <row r="184" spans="1:18">
      <c r="A184" t="s">
        <v>410</v>
      </c>
      <c r="B184" t="s">
        <v>83</v>
      </c>
      <c r="C184" t="s">
        <v>101</v>
      </c>
      <c r="D184">
        <v>2</v>
      </c>
      <c r="E184" t="s">
        <v>132</v>
      </c>
      <c r="F184" t="s">
        <v>411</v>
      </c>
      <c r="G184" t="s">
        <v>134</v>
      </c>
      <c r="H184" s="16">
        <v>4430137</v>
      </c>
      <c r="I184" s="16">
        <v>3009463</v>
      </c>
      <c r="J184" s="16">
        <v>304040</v>
      </c>
      <c r="K184" s="16">
        <v>3791172</v>
      </c>
      <c r="L184" s="16">
        <v>2097512</v>
      </c>
      <c r="M184" s="16">
        <v>638966</v>
      </c>
      <c r="N184" s="16">
        <v>77505</v>
      </c>
      <c r="O184">
        <v>4</v>
      </c>
      <c r="P184">
        <v>0</v>
      </c>
      <c r="Q184" s="20">
        <v>0.67931601212332715</v>
      </c>
      <c r="R184" s="21">
        <v>0.12129753382809101</v>
      </c>
    </row>
    <row r="185" spans="1:18">
      <c r="A185" t="s">
        <v>412</v>
      </c>
      <c r="B185" t="s">
        <v>74</v>
      </c>
      <c r="C185" t="s">
        <v>101</v>
      </c>
      <c r="D185">
        <v>2</v>
      </c>
      <c r="E185" t="s">
        <v>132</v>
      </c>
      <c r="F185" t="s">
        <v>413</v>
      </c>
      <c r="G185" t="s">
        <v>153</v>
      </c>
      <c r="H185" s="16">
        <v>4396565</v>
      </c>
      <c r="I185" s="16">
        <v>2418705</v>
      </c>
      <c r="J185" s="16">
        <v>1725897</v>
      </c>
      <c r="K185" s="16">
        <v>3713519</v>
      </c>
      <c r="L185" s="16">
        <v>2413371</v>
      </c>
      <c r="M185" s="16">
        <v>683045</v>
      </c>
      <c r="N185" s="16">
        <v>47363</v>
      </c>
      <c r="O185">
        <v>0</v>
      </c>
      <c r="P185">
        <v>27</v>
      </c>
      <c r="Q185" s="20">
        <v>0.5501351623369608</v>
      </c>
      <c r="R185" s="21">
        <v>6.934096582216398E-2</v>
      </c>
    </row>
    <row r="186" spans="1:18">
      <c r="A186" t="s">
        <v>414</v>
      </c>
      <c r="B186" t="s">
        <v>74</v>
      </c>
      <c r="C186" t="s">
        <v>101</v>
      </c>
      <c r="D186">
        <v>2</v>
      </c>
      <c r="E186" t="s">
        <v>132</v>
      </c>
      <c r="F186" t="s">
        <v>415</v>
      </c>
      <c r="G186" t="s">
        <v>250</v>
      </c>
      <c r="H186" s="16">
        <v>4353921</v>
      </c>
      <c r="I186" s="16">
        <v>2093169</v>
      </c>
      <c r="J186" s="16">
        <v>1630122</v>
      </c>
      <c r="K186" s="16">
        <v>3728002</v>
      </c>
      <c r="L186" s="16">
        <v>2693904</v>
      </c>
      <c r="M186" s="16">
        <v>625919</v>
      </c>
      <c r="N186" s="16">
        <v>11184</v>
      </c>
      <c r="O186">
        <v>0</v>
      </c>
      <c r="P186">
        <v>46</v>
      </c>
      <c r="Q186" s="20">
        <v>0.4807549333118355</v>
      </c>
      <c r="R186" s="21">
        <v>1.7868126706490777E-2</v>
      </c>
    </row>
    <row r="187" spans="1:18">
      <c r="A187" t="s">
        <v>416</v>
      </c>
      <c r="B187" t="s">
        <v>74</v>
      </c>
      <c r="C187" t="s">
        <v>101</v>
      </c>
      <c r="D187">
        <v>2</v>
      </c>
      <c r="E187" t="s">
        <v>132</v>
      </c>
      <c r="F187" t="s">
        <v>417</v>
      </c>
      <c r="G187" t="s">
        <v>206</v>
      </c>
      <c r="H187" s="16">
        <v>4293025</v>
      </c>
      <c r="I187" s="16">
        <v>1931981</v>
      </c>
      <c r="J187" s="16">
        <v>2082784</v>
      </c>
      <c r="K187" s="16">
        <v>3926078</v>
      </c>
      <c r="L187" s="16">
        <v>3248681</v>
      </c>
      <c r="M187" s="16">
        <v>366947</v>
      </c>
      <c r="N187" s="16">
        <v>30621</v>
      </c>
      <c r="O187">
        <v>0</v>
      </c>
      <c r="P187">
        <v>30</v>
      </c>
      <c r="Q187" s="20">
        <v>0.45002789408400834</v>
      </c>
      <c r="R187" s="21">
        <v>8.3448018378675937E-2</v>
      </c>
    </row>
    <row r="188" spans="1:18">
      <c r="A188" t="s">
        <v>418</v>
      </c>
      <c r="B188" t="s">
        <v>74</v>
      </c>
      <c r="C188" t="s">
        <v>101</v>
      </c>
      <c r="D188">
        <v>2</v>
      </c>
      <c r="E188" t="s">
        <v>132</v>
      </c>
      <c r="F188" t="s">
        <v>419</v>
      </c>
      <c r="G188" t="s">
        <v>250</v>
      </c>
      <c r="H188" s="16">
        <v>4277774</v>
      </c>
      <c r="I188" s="16">
        <v>2912319</v>
      </c>
      <c r="J188" s="16">
        <v>842001</v>
      </c>
      <c r="K188" s="16">
        <v>3824832</v>
      </c>
      <c r="L188" s="16">
        <v>2178933</v>
      </c>
      <c r="M188" s="16">
        <v>452941</v>
      </c>
      <c r="N188" s="16">
        <v>-47234</v>
      </c>
      <c r="O188">
        <v>0</v>
      </c>
      <c r="P188">
        <v>25</v>
      </c>
      <c r="Q188" s="20">
        <v>0.68080244538397772</v>
      </c>
      <c r="R188" s="21">
        <v>-0.10428289777255757</v>
      </c>
    </row>
    <row r="189" spans="1:18">
      <c r="A189" t="s">
        <v>420</v>
      </c>
      <c r="B189" t="s">
        <v>89</v>
      </c>
      <c r="C189" t="s">
        <v>162</v>
      </c>
      <c r="D189">
        <v>3</v>
      </c>
      <c r="E189" t="s">
        <v>143</v>
      </c>
      <c r="F189" t="s">
        <v>133</v>
      </c>
      <c r="G189" t="s">
        <v>134</v>
      </c>
      <c r="H189" s="16">
        <v>4273032</v>
      </c>
      <c r="I189" s="16">
        <v>0</v>
      </c>
      <c r="J189" s="16">
        <v>10070</v>
      </c>
      <c r="K189" s="16">
        <v>4054308</v>
      </c>
      <c r="L189" s="16">
        <v>302882</v>
      </c>
      <c r="M189" s="16">
        <v>218725</v>
      </c>
      <c r="N189" s="16">
        <v>27357</v>
      </c>
      <c r="O189">
        <v>1</v>
      </c>
      <c r="P189">
        <v>0</v>
      </c>
      <c r="Q189" s="20">
        <v>0</v>
      </c>
      <c r="R189" s="21">
        <v>0.12507486569893703</v>
      </c>
    </row>
    <row r="190" spans="1:18">
      <c r="A190" t="s">
        <v>421</v>
      </c>
      <c r="B190" t="s">
        <v>74</v>
      </c>
      <c r="C190" t="s">
        <v>104</v>
      </c>
      <c r="D190">
        <v>2</v>
      </c>
      <c r="E190" t="s">
        <v>132</v>
      </c>
      <c r="F190" t="s">
        <v>422</v>
      </c>
      <c r="G190" t="s">
        <v>250</v>
      </c>
      <c r="H190" s="16">
        <v>4220290</v>
      </c>
      <c r="I190" s="16">
        <v>2838984</v>
      </c>
      <c r="J190" s="16">
        <v>51013</v>
      </c>
      <c r="K190" s="16">
        <v>3705206</v>
      </c>
      <c r="L190" s="16">
        <v>3120122</v>
      </c>
      <c r="M190" s="16">
        <v>515085</v>
      </c>
      <c r="N190" s="16">
        <v>2438</v>
      </c>
      <c r="O190">
        <v>0</v>
      </c>
      <c r="P190">
        <v>64</v>
      </c>
      <c r="Q190" s="20">
        <v>0.67269879558039847</v>
      </c>
      <c r="R190" s="21">
        <v>4.7331993748604599E-3</v>
      </c>
    </row>
    <row r="191" spans="1:18">
      <c r="A191" t="s">
        <v>423</v>
      </c>
      <c r="B191" t="s">
        <v>83</v>
      </c>
      <c r="C191" t="s">
        <v>101</v>
      </c>
      <c r="D191">
        <v>1</v>
      </c>
      <c r="E191" t="s">
        <v>136</v>
      </c>
      <c r="F191" t="s">
        <v>133</v>
      </c>
      <c r="G191" t="s">
        <v>134</v>
      </c>
      <c r="H191" s="16">
        <v>4216691</v>
      </c>
      <c r="I191" s="16">
        <v>2371524</v>
      </c>
      <c r="J191" s="16">
        <v>1584124</v>
      </c>
      <c r="K191" s="16">
        <v>845490</v>
      </c>
      <c r="L191" s="16">
        <v>628360</v>
      </c>
      <c r="M191" s="16">
        <v>3371201</v>
      </c>
      <c r="N191" s="16">
        <v>142709</v>
      </c>
      <c r="O191">
        <v>1</v>
      </c>
      <c r="P191">
        <v>0</v>
      </c>
      <c r="Q191" s="20">
        <v>0.56241351334494272</v>
      </c>
      <c r="R191" s="21">
        <v>4.2331798074336117E-2</v>
      </c>
    </row>
    <row r="192" spans="1:18">
      <c r="A192" t="s">
        <v>424</v>
      </c>
      <c r="B192" t="s">
        <v>68</v>
      </c>
      <c r="C192" t="s">
        <v>101</v>
      </c>
      <c r="D192">
        <v>3</v>
      </c>
      <c r="E192" t="s">
        <v>143</v>
      </c>
      <c r="F192" t="s">
        <v>133</v>
      </c>
      <c r="G192" t="s">
        <v>134</v>
      </c>
      <c r="H192" s="16">
        <v>4210126</v>
      </c>
      <c r="I192" s="16">
        <v>2847301</v>
      </c>
      <c r="J192" s="16">
        <v>43125</v>
      </c>
      <c r="K192" s="16">
        <v>3877707</v>
      </c>
      <c r="L192" s="16">
        <v>3595866</v>
      </c>
      <c r="M192" s="16">
        <v>332419</v>
      </c>
      <c r="N192" s="16">
        <v>10938</v>
      </c>
      <c r="O192">
        <v>2</v>
      </c>
      <c r="P192">
        <v>0</v>
      </c>
      <c r="Q192" s="20">
        <v>0.67629828655959467</v>
      </c>
      <c r="R192" s="21">
        <v>3.2904256375237279E-2</v>
      </c>
    </row>
    <row r="193" spans="1:18">
      <c r="A193" t="s">
        <v>425</v>
      </c>
      <c r="B193" t="s">
        <v>74</v>
      </c>
      <c r="C193" t="s">
        <v>104</v>
      </c>
      <c r="D193">
        <v>2</v>
      </c>
      <c r="E193" t="s">
        <v>132</v>
      </c>
      <c r="F193" t="s">
        <v>426</v>
      </c>
      <c r="G193" t="s">
        <v>206</v>
      </c>
      <c r="H193" s="16">
        <v>4208943</v>
      </c>
      <c r="I193" s="16">
        <v>2155418</v>
      </c>
      <c r="J193" s="16">
        <v>64259</v>
      </c>
      <c r="K193" s="16">
        <v>3729590</v>
      </c>
      <c r="L193" s="16">
        <v>2881808</v>
      </c>
      <c r="M193" s="16">
        <v>479354</v>
      </c>
      <c r="N193" s="16">
        <v>33690</v>
      </c>
      <c r="O193">
        <v>0</v>
      </c>
      <c r="P193">
        <v>32</v>
      </c>
      <c r="Q193" s="20">
        <v>0.51210434543779759</v>
      </c>
      <c r="R193" s="21">
        <v>7.0282087976735352E-2</v>
      </c>
    </row>
    <row r="194" spans="1:18">
      <c r="A194" t="s">
        <v>427</v>
      </c>
      <c r="B194" t="s">
        <v>74</v>
      </c>
      <c r="C194" t="s">
        <v>101</v>
      </c>
      <c r="D194">
        <v>2</v>
      </c>
      <c r="E194" t="s">
        <v>132</v>
      </c>
      <c r="F194" t="s">
        <v>428</v>
      </c>
      <c r="G194" t="s">
        <v>286</v>
      </c>
      <c r="H194" s="16">
        <v>4197272</v>
      </c>
      <c r="I194" s="16">
        <v>2316100</v>
      </c>
      <c r="J194" s="16">
        <v>1596916</v>
      </c>
      <c r="K194" s="16">
        <v>3808279</v>
      </c>
      <c r="L194" s="16">
        <v>2581655</v>
      </c>
      <c r="M194" s="16">
        <v>388994</v>
      </c>
      <c r="N194" s="16">
        <v>-11297</v>
      </c>
      <c r="O194">
        <v>0</v>
      </c>
      <c r="P194">
        <v>36</v>
      </c>
      <c r="Q194" s="20">
        <v>0.5518107952022171</v>
      </c>
      <c r="R194" s="21">
        <v>-2.9041579047491734E-2</v>
      </c>
    </row>
    <row r="195" spans="1:18">
      <c r="A195" t="s">
        <v>429</v>
      </c>
      <c r="B195" t="s">
        <v>68</v>
      </c>
      <c r="C195" t="s">
        <v>101</v>
      </c>
      <c r="D195">
        <v>3</v>
      </c>
      <c r="E195" t="s">
        <v>143</v>
      </c>
      <c r="F195" t="s">
        <v>133</v>
      </c>
      <c r="G195" t="s">
        <v>134</v>
      </c>
      <c r="H195" s="16">
        <v>4169757</v>
      </c>
      <c r="I195" s="16">
        <v>3015052</v>
      </c>
      <c r="J195" s="16">
        <v>426429</v>
      </c>
      <c r="K195" s="16">
        <v>3206112</v>
      </c>
      <c r="L195" s="16">
        <v>3148852</v>
      </c>
      <c r="M195" s="16">
        <v>963645</v>
      </c>
      <c r="N195" s="16">
        <v>36714</v>
      </c>
      <c r="O195">
        <v>2</v>
      </c>
      <c r="P195">
        <v>0</v>
      </c>
      <c r="Q195" s="20">
        <v>0.72307618885225211</v>
      </c>
      <c r="R195" s="21">
        <v>3.8099092508133182E-2</v>
      </c>
    </row>
    <row r="196" spans="1:18">
      <c r="A196" t="s">
        <v>430</v>
      </c>
      <c r="B196" t="s">
        <v>74</v>
      </c>
      <c r="C196" t="s">
        <v>104</v>
      </c>
      <c r="D196">
        <v>2</v>
      </c>
      <c r="E196" t="s">
        <v>132</v>
      </c>
      <c r="F196" t="s">
        <v>431</v>
      </c>
      <c r="G196" t="s">
        <v>169</v>
      </c>
      <c r="H196" s="16">
        <v>4165405</v>
      </c>
      <c r="I196" s="16">
        <v>1902039</v>
      </c>
      <c r="J196" s="16">
        <v>62696</v>
      </c>
      <c r="K196" s="16">
        <v>3605161</v>
      </c>
      <c r="L196" s="16">
        <v>3475567</v>
      </c>
      <c r="M196" s="16">
        <v>560245</v>
      </c>
      <c r="N196" s="16">
        <v>69149</v>
      </c>
      <c r="O196">
        <v>0</v>
      </c>
      <c r="P196">
        <v>33</v>
      </c>
      <c r="Q196" s="20">
        <v>0.45662762684540881</v>
      </c>
      <c r="R196" s="21">
        <v>0.12342635811118351</v>
      </c>
    </row>
    <row r="197" spans="1:18">
      <c r="A197" t="s">
        <v>432</v>
      </c>
      <c r="B197" t="s">
        <v>74</v>
      </c>
      <c r="C197" t="s">
        <v>104</v>
      </c>
      <c r="D197">
        <v>2</v>
      </c>
      <c r="E197" t="s">
        <v>132</v>
      </c>
      <c r="F197" t="s">
        <v>433</v>
      </c>
      <c r="G197" t="s">
        <v>169</v>
      </c>
      <c r="H197" s="16">
        <v>4139220</v>
      </c>
      <c r="I197" s="16">
        <v>2205442</v>
      </c>
      <c r="J197" s="16">
        <v>71983</v>
      </c>
      <c r="K197" s="16">
        <v>3767157</v>
      </c>
      <c r="L197" s="16">
        <v>3072793</v>
      </c>
      <c r="M197" s="16">
        <v>372063</v>
      </c>
      <c r="N197" s="16">
        <v>-175224</v>
      </c>
      <c r="O197">
        <v>0</v>
      </c>
      <c r="P197">
        <v>57</v>
      </c>
      <c r="Q197" s="20">
        <v>0.53281584453109521</v>
      </c>
      <c r="R197" s="21">
        <v>-0.47095249997984212</v>
      </c>
    </row>
    <row r="198" spans="1:18">
      <c r="A198" t="s">
        <v>434</v>
      </c>
      <c r="B198" t="s">
        <v>68</v>
      </c>
      <c r="C198" t="s">
        <v>101</v>
      </c>
      <c r="D198">
        <v>3</v>
      </c>
      <c r="E198" t="s">
        <v>143</v>
      </c>
      <c r="F198" t="s">
        <v>133</v>
      </c>
      <c r="G198" t="s">
        <v>134</v>
      </c>
      <c r="H198" s="16">
        <v>4103912</v>
      </c>
      <c r="I198" s="16">
        <v>2357588</v>
      </c>
      <c r="J198" s="16">
        <v>780582</v>
      </c>
      <c r="K198" s="16">
        <v>3844172</v>
      </c>
      <c r="L198" s="16">
        <v>3656603</v>
      </c>
      <c r="M198" s="16">
        <v>259739</v>
      </c>
      <c r="N198" s="16">
        <v>-13487</v>
      </c>
      <c r="O198">
        <v>6</v>
      </c>
      <c r="P198">
        <v>2</v>
      </c>
      <c r="Q198" s="20">
        <v>0.57447333178684146</v>
      </c>
      <c r="R198" s="21">
        <v>-5.1925201837228908E-2</v>
      </c>
    </row>
    <row r="199" spans="1:18">
      <c r="A199" t="s">
        <v>435</v>
      </c>
      <c r="B199" t="s">
        <v>68</v>
      </c>
      <c r="C199" t="s">
        <v>101</v>
      </c>
      <c r="D199">
        <v>3</v>
      </c>
      <c r="E199" t="s">
        <v>143</v>
      </c>
      <c r="F199" t="s">
        <v>133</v>
      </c>
      <c r="G199" t="s">
        <v>134</v>
      </c>
      <c r="H199" s="16">
        <v>4083051</v>
      </c>
      <c r="I199" s="16">
        <v>3072887</v>
      </c>
      <c r="J199" s="16">
        <v>0</v>
      </c>
      <c r="K199" s="16">
        <v>3586224</v>
      </c>
      <c r="L199" s="16">
        <v>3290397</v>
      </c>
      <c r="M199" s="16">
        <v>496827</v>
      </c>
      <c r="N199" s="16">
        <v>37510</v>
      </c>
      <c r="O199">
        <v>2</v>
      </c>
      <c r="P199">
        <v>0</v>
      </c>
      <c r="Q199" s="20">
        <v>0.7525957917253544</v>
      </c>
      <c r="R199" s="21">
        <v>7.5499117399014146E-2</v>
      </c>
    </row>
    <row r="200" spans="1:18">
      <c r="A200" t="s">
        <v>436</v>
      </c>
      <c r="B200" t="s">
        <v>68</v>
      </c>
      <c r="C200" t="s">
        <v>101</v>
      </c>
      <c r="D200">
        <v>3</v>
      </c>
      <c r="E200" t="s">
        <v>143</v>
      </c>
      <c r="F200" t="s">
        <v>133</v>
      </c>
      <c r="G200" t="s">
        <v>134</v>
      </c>
      <c r="H200" s="16">
        <v>4015478</v>
      </c>
      <c r="I200" s="16">
        <v>1049271</v>
      </c>
      <c r="J200" s="16">
        <v>397840</v>
      </c>
      <c r="K200" s="16">
        <v>2768001</v>
      </c>
      <c r="L200" s="16">
        <v>2548528</v>
      </c>
      <c r="M200" s="16">
        <v>1247478</v>
      </c>
      <c r="N200" s="16">
        <v>40983</v>
      </c>
      <c r="O200">
        <v>2</v>
      </c>
      <c r="P200">
        <v>0</v>
      </c>
      <c r="Q200" s="20">
        <v>0.26130662401836097</v>
      </c>
      <c r="R200" s="21">
        <v>3.2852683574379669E-2</v>
      </c>
    </row>
    <row r="201" spans="1:18">
      <c r="A201" t="s">
        <v>437</v>
      </c>
      <c r="B201" t="s">
        <v>68</v>
      </c>
      <c r="C201" t="s">
        <v>101</v>
      </c>
      <c r="D201">
        <v>2</v>
      </c>
      <c r="E201" t="s">
        <v>132</v>
      </c>
      <c r="F201" t="s">
        <v>133</v>
      </c>
      <c r="G201" t="s">
        <v>134</v>
      </c>
      <c r="H201" s="16">
        <v>3974214</v>
      </c>
      <c r="I201" s="16">
        <v>1481346</v>
      </c>
      <c r="J201" s="16">
        <v>1467647</v>
      </c>
      <c r="K201" s="16">
        <v>3476632</v>
      </c>
      <c r="L201" s="16">
        <v>2505700</v>
      </c>
      <c r="M201" s="16">
        <v>497582</v>
      </c>
      <c r="N201" s="16">
        <v>178132</v>
      </c>
      <c r="O201">
        <v>2</v>
      </c>
      <c r="P201">
        <v>0</v>
      </c>
      <c r="Q201" s="20">
        <v>0.37273936431203752</v>
      </c>
      <c r="R201" s="21">
        <v>0.35799526510203344</v>
      </c>
    </row>
    <row r="202" spans="1:18">
      <c r="A202" t="s">
        <v>438</v>
      </c>
      <c r="B202" t="s">
        <v>74</v>
      </c>
      <c r="C202" t="s">
        <v>104</v>
      </c>
      <c r="D202">
        <v>2</v>
      </c>
      <c r="E202" t="s">
        <v>132</v>
      </c>
      <c r="F202" t="s">
        <v>439</v>
      </c>
      <c r="G202" t="s">
        <v>211</v>
      </c>
      <c r="H202" s="16">
        <v>3972475</v>
      </c>
      <c r="I202" s="16">
        <v>2984261</v>
      </c>
      <c r="J202" s="16">
        <v>45978</v>
      </c>
      <c r="K202" s="16">
        <v>3408327</v>
      </c>
      <c r="L202" s="16">
        <v>2184028</v>
      </c>
      <c r="M202" s="16">
        <v>564148</v>
      </c>
      <c r="N202" s="16">
        <v>54242</v>
      </c>
      <c r="O202">
        <v>0</v>
      </c>
      <c r="P202">
        <v>67</v>
      </c>
      <c r="Q202" s="20">
        <v>0.75123468366698343</v>
      </c>
      <c r="R202" s="21">
        <v>9.6148528400348848E-2</v>
      </c>
    </row>
    <row r="203" spans="1:18">
      <c r="A203" t="s">
        <v>440</v>
      </c>
      <c r="B203" t="s">
        <v>74</v>
      </c>
      <c r="C203" t="s">
        <v>104</v>
      </c>
      <c r="D203">
        <v>2</v>
      </c>
      <c r="E203" t="s">
        <v>132</v>
      </c>
      <c r="F203" t="s">
        <v>417</v>
      </c>
      <c r="G203" t="s">
        <v>206</v>
      </c>
      <c r="H203" s="16">
        <v>3937240</v>
      </c>
      <c r="I203" s="16">
        <v>1896239</v>
      </c>
      <c r="J203" s="16">
        <v>64906</v>
      </c>
      <c r="K203" s="16">
        <v>3595750</v>
      </c>
      <c r="L203" s="16">
        <v>3358772</v>
      </c>
      <c r="M203" s="16">
        <v>341490</v>
      </c>
      <c r="N203" s="16">
        <v>22200</v>
      </c>
      <c r="O203">
        <v>0</v>
      </c>
      <c r="P203">
        <v>20</v>
      </c>
      <c r="Q203" s="20">
        <v>0.48161630990236814</v>
      </c>
      <c r="R203" s="21">
        <v>6.5009224281823777E-2</v>
      </c>
    </row>
    <row r="204" spans="1:18">
      <c r="A204" t="s">
        <v>441</v>
      </c>
      <c r="B204" t="s">
        <v>74</v>
      </c>
      <c r="C204" t="s">
        <v>101</v>
      </c>
      <c r="D204">
        <v>2</v>
      </c>
      <c r="E204" t="s">
        <v>132</v>
      </c>
      <c r="F204" t="s">
        <v>320</v>
      </c>
      <c r="G204" t="s">
        <v>153</v>
      </c>
      <c r="H204" s="16">
        <v>3925612</v>
      </c>
      <c r="I204" s="16">
        <v>2510069</v>
      </c>
      <c r="J204" s="16">
        <v>1252624</v>
      </c>
      <c r="K204" s="16">
        <v>3482422</v>
      </c>
      <c r="L204" s="16">
        <v>2385515</v>
      </c>
      <c r="M204" s="16">
        <v>443190</v>
      </c>
      <c r="N204" s="16">
        <v>2990</v>
      </c>
      <c r="O204">
        <v>0</v>
      </c>
      <c r="P204">
        <v>40</v>
      </c>
      <c r="Q204" s="20">
        <v>0.63940832665072356</v>
      </c>
      <c r="R204" s="21">
        <v>6.7465421151199261E-3</v>
      </c>
    </row>
    <row r="205" spans="1:18">
      <c r="A205" t="s">
        <v>442</v>
      </c>
      <c r="B205" t="s">
        <v>83</v>
      </c>
      <c r="C205" t="s">
        <v>101</v>
      </c>
      <c r="D205">
        <v>3</v>
      </c>
      <c r="E205" t="s">
        <v>143</v>
      </c>
      <c r="F205" t="s">
        <v>133</v>
      </c>
      <c r="G205" t="s">
        <v>134</v>
      </c>
      <c r="H205" s="16">
        <v>3867550</v>
      </c>
      <c r="I205" s="16">
        <v>3669172</v>
      </c>
      <c r="J205" s="16">
        <v>0</v>
      </c>
      <c r="K205" s="16">
        <v>3108284</v>
      </c>
      <c r="L205" s="16">
        <v>2897640</v>
      </c>
      <c r="M205" s="16">
        <v>759267</v>
      </c>
      <c r="N205" s="16">
        <v>58649</v>
      </c>
      <c r="O205">
        <v>4</v>
      </c>
      <c r="P205">
        <v>0</v>
      </c>
      <c r="Q205" s="20">
        <v>0.94870706261069671</v>
      </c>
      <c r="R205" s="21">
        <v>7.7244236875828931E-2</v>
      </c>
    </row>
    <row r="206" spans="1:18">
      <c r="A206" t="s">
        <v>443</v>
      </c>
      <c r="B206" t="s">
        <v>68</v>
      </c>
      <c r="C206" t="s">
        <v>101</v>
      </c>
      <c r="D206">
        <v>2</v>
      </c>
      <c r="E206" t="s">
        <v>132</v>
      </c>
      <c r="F206" t="s">
        <v>133</v>
      </c>
      <c r="G206" t="s">
        <v>134</v>
      </c>
      <c r="H206" s="16">
        <v>3838853</v>
      </c>
      <c r="I206" s="16">
        <v>2169339</v>
      </c>
      <c r="J206" s="16">
        <v>624007</v>
      </c>
      <c r="K206" s="16">
        <v>3082489</v>
      </c>
      <c r="L206" s="16">
        <v>2888708</v>
      </c>
      <c r="M206" s="16">
        <v>756364</v>
      </c>
      <c r="N206" s="16">
        <v>63886</v>
      </c>
      <c r="O206">
        <v>2</v>
      </c>
      <c r="P206">
        <v>0</v>
      </c>
      <c r="Q206" s="20">
        <v>0.56510082568934006</v>
      </c>
      <c r="R206" s="21">
        <v>8.4464622853546709E-2</v>
      </c>
    </row>
    <row r="207" spans="1:18">
      <c r="A207" t="s">
        <v>444</v>
      </c>
      <c r="B207" t="s">
        <v>74</v>
      </c>
      <c r="C207" t="s">
        <v>101</v>
      </c>
      <c r="D207">
        <v>2</v>
      </c>
      <c r="E207" t="s">
        <v>132</v>
      </c>
      <c r="F207" t="s">
        <v>445</v>
      </c>
      <c r="G207" t="s">
        <v>153</v>
      </c>
      <c r="H207" s="16">
        <v>3821907</v>
      </c>
      <c r="I207" s="16">
        <v>2104047</v>
      </c>
      <c r="J207" s="16">
        <v>1433561</v>
      </c>
      <c r="K207" s="16">
        <v>3160085</v>
      </c>
      <c r="L207" s="16">
        <v>2195942</v>
      </c>
      <c r="M207" s="16">
        <v>661823</v>
      </c>
      <c r="N207" s="16">
        <v>46266</v>
      </c>
      <c r="O207">
        <v>0</v>
      </c>
      <c r="P207">
        <v>33</v>
      </c>
      <c r="Q207" s="20">
        <v>0.55052281491935828</v>
      </c>
      <c r="R207" s="21">
        <v>6.9906908644758486E-2</v>
      </c>
    </row>
    <row r="208" spans="1:18">
      <c r="A208" t="s">
        <v>446</v>
      </c>
      <c r="B208" t="s">
        <v>83</v>
      </c>
      <c r="C208" t="s">
        <v>101</v>
      </c>
      <c r="D208">
        <v>1</v>
      </c>
      <c r="E208" t="s">
        <v>136</v>
      </c>
      <c r="F208" t="s">
        <v>152</v>
      </c>
      <c r="G208" t="s">
        <v>153</v>
      </c>
      <c r="H208" s="16">
        <v>3771045</v>
      </c>
      <c r="I208" s="16">
        <v>2855746</v>
      </c>
      <c r="J208" s="16">
        <v>659934</v>
      </c>
      <c r="K208" s="16">
        <v>2600674</v>
      </c>
      <c r="L208" s="16">
        <v>2530465</v>
      </c>
      <c r="M208" s="16">
        <v>1170371</v>
      </c>
      <c r="N208" s="16">
        <v>22439</v>
      </c>
      <c r="O208">
        <v>2</v>
      </c>
      <c r="P208">
        <v>0</v>
      </c>
      <c r="Q208" s="20">
        <v>0.7572823978499329</v>
      </c>
      <c r="R208" s="21">
        <v>1.9172552976791119E-2</v>
      </c>
    </row>
    <row r="209" spans="1:18">
      <c r="A209" t="s">
        <v>447</v>
      </c>
      <c r="B209" t="s">
        <v>74</v>
      </c>
      <c r="C209" t="s">
        <v>104</v>
      </c>
      <c r="D209">
        <v>2</v>
      </c>
      <c r="E209" t="s">
        <v>132</v>
      </c>
      <c r="F209" t="s">
        <v>137</v>
      </c>
      <c r="G209" t="s">
        <v>138</v>
      </c>
      <c r="H209" s="16">
        <v>3697064</v>
      </c>
      <c r="I209" s="16">
        <v>2359271</v>
      </c>
      <c r="J209" s="16">
        <v>1298166</v>
      </c>
      <c r="K209" s="16">
        <v>2958395</v>
      </c>
      <c r="L209" s="16">
        <v>2895602</v>
      </c>
      <c r="M209" s="16">
        <v>738669</v>
      </c>
      <c r="N209" s="16">
        <v>32971</v>
      </c>
      <c r="O209">
        <v>0</v>
      </c>
      <c r="P209">
        <v>3</v>
      </c>
      <c r="Q209" s="20">
        <v>0.63814718922907476</v>
      </c>
      <c r="R209" s="21">
        <v>4.4635689327696168E-2</v>
      </c>
    </row>
    <row r="210" spans="1:18">
      <c r="A210" t="s">
        <v>448</v>
      </c>
      <c r="B210" t="s">
        <v>74</v>
      </c>
      <c r="C210" t="s">
        <v>101</v>
      </c>
      <c r="D210">
        <v>2</v>
      </c>
      <c r="E210" t="s">
        <v>132</v>
      </c>
      <c r="F210" t="s">
        <v>449</v>
      </c>
      <c r="G210" t="s">
        <v>153</v>
      </c>
      <c r="H210" s="16">
        <v>3602002</v>
      </c>
      <c r="I210" s="16">
        <v>2122930</v>
      </c>
      <c r="J210" s="16">
        <v>1237073</v>
      </c>
      <c r="K210" s="16">
        <v>2952122</v>
      </c>
      <c r="L210" s="16">
        <v>2123286</v>
      </c>
      <c r="M210" s="16">
        <v>649880</v>
      </c>
      <c r="N210" s="16">
        <v>49612</v>
      </c>
      <c r="O210">
        <v>0</v>
      </c>
      <c r="P210">
        <v>49</v>
      </c>
      <c r="Q210" s="20">
        <v>0.58937501978066642</v>
      </c>
      <c r="R210" s="21">
        <v>7.6340247430294828E-2</v>
      </c>
    </row>
    <row r="211" spans="1:18">
      <c r="A211" t="s">
        <v>450</v>
      </c>
      <c r="B211" t="s">
        <v>74</v>
      </c>
      <c r="C211" t="s">
        <v>104</v>
      </c>
      <c r="D211">
        <v>2</v>
      </c>
      <c r="E211" t="s">
        <v>132</v>
      </c>
      <c r="F211" t="s">
        <v>152</v>
      </c>
      <c r="G211" t="s">
        <v>153</v>
      </c>
      <c r="H211" s="16">
        <v>3599853</v>
      </c>
      <c r="I211" s="16">
        <v>1971630</v>
      </c>
      <c r="J211" s="16">
        <v>67374</v>
      </c>
      <c r="K211" s="16">
        <v>3204306</v>
      </c>
      <c r="L211" s="16">
        <v>2928278</v>
      </c>
      <c r="M211" s="16">
        <v>395546</v>
      </c>
      <c r="N211" s="16">
        <v>43282</v>
      </c>
      <c r="O211">
        <v>0</v>
      </c>
      <c r="P211">
        <v>36</v>
      </c>
      <c r="Q211" s="20">
        <v>0.54769736430904259</v>
      </c>
      <c r="R211" s="21">
        <v>0.1094234298918457</v>
      </c>
    </row>
    <row r="212" spans="1:18">
      <c r="A212" t="s">
        <v>451</v>
      </c>
      <c r="B212" t="s">
        <v>74</v>
      </c>
      <c r="C212" t="s">
        <v>104</v>
      </c>
      <c r="D212">
        <v>2</v>
      </c>
      <c r="E212" t="s">
        <v>132</v>
      </c>
      <c r="F212" t="s">
        <v>338</v>
      </c>
      <c r="G212" t="s">
        <v>191</v>
      </c>
      <c r="H212" s="16">
        <v>3594753</v>
      </c>
      <c r="I212" s="16">
        <v>1704360</v>
      </c>
      <c r="J212" s="16">
        <v>69573</v>
      </c>
      <c r="K212" s="16">
        <v>3222508</v>
      </c>
      <c r="L212" s="16">
        <v>3063219</v>
      </c>
      <c r="M212" s="16">
        <v>372246</v>
      </c>
      <c r="N212" s="16">
        <v>40028</v>
      </c>
      <c r="O212">
        <v>0</v>
      </c>
      <c r="P212">
        <v>31</v>
      </c>
      <c r="Q212" s="20">
        <v>0.47412436960202831</v>
      </c>
      <c r="R212" s="21">
        <v>0.10753104130064527</v>
      </c>
    </row>
    <row r="213" spans="1:18">
      <c r="A213" t="s">
        <v>452</v>
      </c>
      <c r="B213" t="s">
        <v>83</v>
      </c>
      <c r="C213" t="s">
        <v>101</v>
      </c>
      <c r="D213">
        <v>2</v>
      </c>
      <c r="E213" t="s">
        <v>132</v>
      </c>
      <c r="F213" t="s">
        <v>133</v>
      </c>
      <c r="G213" t="s">
        <v>134</v>
      </c>
      <c r="H213" s="16">
        <v>3581979</v>
      </c>
      <c r="I213" s="16">
        <v>0</v>
      </c>
      <c r="J213" s="16">
        <v>32840</v>
      </c>
      <c r="K213" s="16">
        <v>3456968</v>
      </c>
      <c r="L213" s="16">
        <v>3343316</v>
      </c>
      <c r="M213" s="16">
        <v>125012</v>
      </c>
      <c r="N213" s="16">
        <v>36457</v>
      </c>
      <c r="O213">
        <v>7</v>
      </c>
      <c r="P213">
        <v>0</v>
      </c>
      <c r="Q213" s="20">
        <v>0</v>
      </c>
      <c r="R213" s="21">
        <v>0.29162800371164366</v>
      </c>
    </row>
    <row r="214" spans="1:18">
      <c r="A214" t="s">
        <v>453</v>
      </c>
      <c r="B214" t="s">
        <v>74</v>
      </c>
      <c r="C214" t="s">
        <v>101</v>
      </c>
      <c r="D214">
        <v>2</v>
      </c>
      <c r="E214" t="s">
        <v>132</v>
      </c>
      <c r="F214" t="s">
        <v>454</v>
      </c>
      <c r="G214" t="s">
        <v>211</v>
      </c>
      <c r="H214" s="16">
        <v>3580369</v>
      </c>
      <c r="I214" s="16">
        <v>2026537</v>
      </c>
      <c r="J214" s="16">
        <v>1263909</v>
      </c>
      <c r="K214" s="16">
        <v>3099759</v>
      </c>
      <c r="L214" s="16">
        <v>2053088</v>
      </c>
      <c r="M214" s="16">
        <v>480609</v>
      </c>
      <c r="N214" s="16">
        <v>50518</v>
      </c>
      <c r="O214">
        <v>0</v>
      </c>
      <c r="P214">
        <v>37</v>
      </c>
      <c r="Q214" s="20">
        <v>0.56601344721731195</v>
      </c>
      <c r="R214" s="21">
        <v>0.10511247188462972</v>
      </c>
    </row>
    <row r="215" spans="1:18">
      <c r="A215" t="s">
        <v>455</v>
      </c>
      <c r="B215" t="s">
        <v>74</v>
      </c>
      <c r="C215" t="s">
        <v>101</v>
      </c>
      <c r="D215">
        <v>2</v>
      </c>
      <c r="E215" t="s">
        <v>132</v>
      </c>
      <c r="F215" t="s">
        <v>456</v>
      </c>
      <c r="G215" t="s">
        <v>169</v>
      </c>
      <c r="H215" s="16">
        <v>3560020</v>
      </c>
      <c r="I215" s="16">
        <v>844153</v>
      </c>
      <c r="J215" s="16">
        <v>93547</v>
      </c>
      <c r="K215" s="16">
        <v>2777495</v>
      </c>
      <c r="L215" s="16">
        <v>2443413</v>
      </c>
      <c r="M215" s="16">
        <v>782524</v>
      </c>
      <c r="N215" s="16">
        <v>81923</v>
      </c>
      <c r="O215">
        <v>0</v>
      </c>
      <c r="P215">
        <v>27</v>
      </c>
      <c r="Q215" s="20">
        <v>0.23712029707698271</v>
      </c>
      <c r="R215" s="21">
        <v>0.10469071875111817</v>
      </c>
    </row>
    <row r="216" spans="1:18">
      <c r="A216" t="s">
        <v>457</v>
      </c>
      <c r="B216" t="s">
        <v>74</v>
      </c>
      <c r="C216" t="s">
        <v>104</v>
      </c>
      <c r="D216">
        <v>2</v>
      </c>
      <c r="E216" t="s">
        <v>132</v>
      </c>
      <c r="F216" t="s">
        <v>458</v>
      </c>
      <c r="G216" t="s">
        <v>169</v>
      </c>
      <c r="H216" s="16">
        <v>3536882</v>
      </c>
      <c r="I216" s="16">
        <v>1947393</v>
      </c>
      <c r="J216" s="16">
        <v>76531</v>
      </c>
      <c r="K216" s="16">
        <v>3036157</v>
      </c>
      <c r="L216" s="16">
        <v>2486501</v>
      </c>
      <c r="M216" s="16">
        <v>500725</v>
      </c>
      <c r="N216" s="16">
        <v>35360</v>
      </c>
      <c r="O216">
        <v>0</v>
      </c>
      <c r="P216">
        <v>31</v>
      </c>
      <c r="Q216" s="20">
        <v>0.55059597690847473</v>
      </c>
      <c r="R216" s="21">
        <v>7.061760447351341E-2</v>
      </c>
    </row>
    <row r="217" spans="1:18">
      <c r="A217" t="s">
        <v>459</v>
      </c>
      <c r="B217" t="s">
        <v>74</v>
      </c>
      <c r="C217" t="s">
        <v>101</v>
      </c>
      <c r="D217">
        <v>2</v>
      </c>
      <c r="E217" t="s">
        <v>132</v>
      </c>
      <c r="F217" t="s">
        <v>460</v>
      </c>
      <c r="G217" t="s">
        <v>153</v>
      </c>
      <c r="H217" s="16">
        <v>3533412</v>
      </c>
      <c r="I217" s="16">
        <v>2440661</v>
      </c>
      <c r="J217" s="16">
        <v>811287</v>
      </c>
      <c r="K217" s="16">
        <v>3050255</v>
      </c>
      <c r="L217" s="16">
        <v>2070676</v>
      </c>
      <c r="M217" s="16">
        <v>483158</v>
      </c>
      <c r="N217" s="16">
        <v>38049</v>
      </c>
      <c r="O217">
        <v>0</v>
      </c>
      <c r="P217">
        <v>39</v>
      </c>
      <c r="Q217" s="20">
        <v>0.69073773451836351</v>
      </c>
      <c r="R217" s="21">
        <v>7.8750636437769833E-2</v>
      </c>
    </row>
    <row r="218" spans="1:18">
      <c r="A218" t="s">
        <v>461</v>
      </c>
      <c r="B218" t="s">
        <v>74</v>
      </c>
      <c r="C218" t="s">
        <v>104</v>
      </c>
      <c r="D218">
        <v>2</v>
      </c>
      <c r="E218" t="s">
        <v>132</v>
      </c>
      <c r="F218" t="s">
        <v>231</v>
      </c>
      <c r="G218" t="s">
        <v>211</v>
      </c>
      <c r="H218" s="16">
        <v>3521401</v>
      </c>
      <c r="I218" s="16">
        <v>2227237</v>
      </c>
      <c r="J218" s="16">
        <v>42278</v>
      </c>
      <c r="K218" s="16">
        <v>3165067</v>
      </c>
      <c r="L218" s="16">
        <v>2107401</v>
      </c>
      <c r="M218" s="16">
        <v>356334</v>
      </c>
      <c r="N218" s="16">
        <v>40869</v>
      </c>
      <c r="O218">
        <v>0</v>
      </c>
      <c r="P218">
        <v>50</v>
      </c>
      <c r="Q218" s="20">
        <v>0.63248604745667991</v>
      </c>
      <c r="R218" s="21">
        <v>0.11469295660812609</v>
      </c>
    </row>
    <row r="219" spans="1:18">
      <c r="A219" t="s">
        <v>462</v>
      </c>
      <c r="B219" t="s">
        <v>74</v>
      </c>
      <c r="C219" t="s">
        <v>101</v>
      </c>
      <c r="D219">
        <v>2</v>
      </c>
      <c r="E219" t="s">
        <v>132</v>
      </c>
      <c r="F219" t="s">
        <v>463</v>
      </c>
      <c r="G219" t="s">
        <v>211</v>
      </c>
      <c r="H219" s="16">
        <v>3496717</v>
      </c>
      <c r="I219" s="16">
        <v>2183195</v>
      </c>
      <c r="J219" s="16">
        <v>912950</v>
      </c>
      <c r="K219" s="16">
        <v>3107808</v>
      </c>
      <c r="L219" s="16">
        <v>2122143</v>
      </c>
      <c r="M219" s="16">
        <v>388909</v>
      </c>
      <c r="N219" s="16">
        <v>11385</v>
      </c>
      <c r="O219">
        <v>0</v>
      </c>
      <c r="P219">
        <v>26</v>
      </c>
      <c r="Q219" s="20">
        <v>0.62435564559556866</v>
      </c>
      <c r="R219" s="21">
        <v>2.9274200391351191E-2</v>
      </c>
    </row>
    <row r="220" spans="1:18">
      <c r="A220" t="s">
        <v>464</v>
      </c>
      <c r="B220" t="s">
        <v>89</v>
      </c>
      <c r="C220" t="s">
        <v>101</v>
      </c>
      <c r="D220">
        <v>2</v>
      </c>
      <c r="E220" t="s">
        <v>132</v>
      </c>
      <c r="F220" t="s">
        <v>163</v>
      </c>
      <c r="G220" t="s">
        <v>134</v>
      </c>
      <c r="H220" s="16">
        <v>3489800</v>
      </c>
      <c r="I220" s="16">
        <v>2651603</v>
      </c>
      <c r="J220" s="16">
        <v>245350</v>
      </c>
      <c r="K220" s="16">
        <v>2961442</v>
      </c>
      <c r="L220" s="16">
        <v>486</v>
      </c>
      <c r="M220" s="16">
        <v>528358</v>
      </c>
      <c r="N220" s="16">
        <v>54923</v>
      </c>
      <c r="O220">
        <v>1</v>
      </c>
      <c r="P220">
        <v>0</v>
      </c>
      <c r="Q220" s="20">
        <v>0.75981517565476531</v>
      </c>
      <c r="R220" s="21">
        <v>0.10395035184477192</v>
      </c>
    </row>
    <row r="221" spans="1:18">
      <c r="A221" t="s">
        <v>465</v>
      </c>
      <c r="B221" t="s">
        <v>74</v>
      </c>
      <c r="C221" t="s">
        <v>101</v>
      </c>
      <c r="D221">
        <v>2</v>
      </c>
      <c r="E221" t="s">
        <v>132</v>
      </c>
      <c r="F221" t="s">
        <v>295</v>
      </c>
      <c r="G221" t="s">
        <v>292</v>
      </c>
      <c r="H221" s="16">
        <v>3371023</v>
      </c>
      <c r="I221" s="16">
        <v>2347045</v>
      </c>
      <c r="J221" s="16">
        <v>736496</v>
      </c>
      <c r="K221" s="16">
        <v>2951300</v>
      </c>
      <c r="L221" s="16">
        <v>1711448</v>
      </c>
      <c r="M221" s="16">
        <v>419723</v>
      </c>
      <c r="N221" s="16">
        <v>-17502</v>
      </c>
      <c r="O221">
        <v>0</v>
      </c>
      <c r="P221">
        <v>27</v>
      </c>
      <c r="Q221" s="20">
        <v>0.69624117070693381</v>
      </c>
      <c r="R221" s="21">
        <v>-4.1698930008600914E-2</v>
      </c>
    </row>
    <row r="222" spans="1:18">
      <c r="A222" t="s">
        <v>466</v>
      </c>
      <c r="B222" t="s">
        <v>89</v>
      </c>
      <c r="C222" t="s">
        <v>104</v>
      </c>
      <c r="D222">
        <v>3</v>
      </c>
      <c r="E222" t="s">
        <v>143</v>
      </c>
      <c r="F222" t="s">
        <v>133</v>
      </c>
      <c r="G222" t="s">
        <v>134</v>
      </c>
      <c r="H222" s="16">
        <v>3355480</v>
      </c>
      <c r="I222" s="16">
        <v>0</v>
      </c>
      <c r="J222" s="16">
        <v>1496805</v>
      </c>
      <c r="K222" s="16">
        <v>3246587</v>
      </c>
      <c r="L222" s="16">
        <v>2817398</v>
      </c>
      <c r="M222" s="16">
        <v>108894</v>
      </c>
      <c r="N222" s="16">
        <v>-21401</v>
      </c>
      <c r="O222">
        <v>1</v>
      </c>
      <c r="P222">
        <v>0</v>
      </c>
      <c r="Q222" s="20">
        <v>0</v>
      </c>
      <c r="R222" s="21">
        <v>-0.19653057101401364</v>
      </c>
    </row>
    <row r="223" spans="1:18">
      <c r="A223" t="s">
        <v>467</v>
      </c>
      <c r="B223" t="s">
        <v>71</v>
      </c>
      <c r="C223" t="s">
        <v>101</v>
      </c>
      <c r="D223">
        <v>3</v>
      </c>
      <c r="E223" t="s">
        <v>143</v>
      </c>
      <c r="F223" t="s">
        <v>133</v>
      </c>
      <c r="G223" t="s">
        <v>134</v>
      </c>
      <c r="H223" s="16">
        <v>3349114</v>
      </c>
      <c r="I223" s="16">
        <v>981286</v>
      </c>
      <c r="J223" s="16">
        <v>1176251</v>
      </c>
      <c r="K223" s="16">
        <v>1492807</v>
      </c>
      <c r="L223" s="16">
        <v>1195424</v>
      </c>
      <c r="M223" s="16">
        <v>1856308</v>
      </c>
      <c r="N223" s="16">
        <v>-6861</v>
      </c>
      <c r="O223">
        <v>2</v>
      </c>
      <c r="P223">
        <v>0</v>
      </c>
      <c r="Q223" s="20">
        <v>0.29299868562252585</v>
      </c>
      <c r="R223" s="21">
        <v>-3.6960461302757946E-3</v>
      </c>
    </row>
    <row r="224" spans="1:18">
      <c r="A224" t="s">
        <v>468</v>
      </c>
      <c r="B224" t="s">
        <v>74</v>
      </c>
      <c r="C224" t="s">
        <v>101</v>
      </c>
      <c r="D224">
        <v>2</v>
      </c>
      <c r="E224" t="s">
        <v>132</v>
      </c>
      <c r="F224" t="s">
        <v>469</v>
      </c>
      <c r="G224" t="s">
        <v>250</v>
      </c>
      <c r="H224" s="16">
        <v>3298316</v>
      </c>
      <c r="I224" s="16">
        <v>1553691</v>
      </c>
      <c r="J224" s="16">
        <v>1127300</v>
      </c>
      <c r="K224" s="16">
        <v>2879989</v>
      </c>
      <c r="L224" s="16">
        <v>2043465</v>
      </c>
      <c r="M224" s="16">
        <v>418327</v>
      </c>
      <c r="N224" s="16">
        <v>14758</v>
      </c>
      <c r="O224">
        <v>0</v>
      </c>
      <c r="P224">
        <v>23</v>
      </c>
      <c r="Q224" s="20">
        <v>0.47105583576588783</v>
      </c>
      <c r="R224" s="21">
        <v>3.5278621748058341E-2</v>
      </c>
    </row>
    <row r="225" spans="1:18">
      <c r="A225" t="s">
        <v>470</v>
      </c>
      <c r="B225" t="s">
        <v>74</v>
      </c>
      <c r="C225" t="s">
        <v>101</v>
      </c>
      <c r="D225">
        <v>2</v>
      </c>
      <c r="E225" t="s">
        <v>132</v>
      </c>
      <c r="F225" t="s">
        <v>471</v>
      </c>
      <c r="G225" t="s">
        <v>153</v>
      </c>
      <c r="H225" s="16">
        <v>3236571</v>
      </c>
      <c r="I225" s="16">
        <v>1774848</v>
      </c>
      <c r="J225" s="16">
        <v>1187747</v>
      </c>
      <c r="K225" s="16">
        <v>2994341</v>
      </c>
      <c r="L225" s="16">
        <v>2307741</v>
      </c>
      <c r="M225" s="16">
        <v>242230</v>
      </c>
      <c r="N225" s="16">
        <v>9280</v>
      </c>
      <c r="O225">
        <v>0</v>
      </c>
      <c r="P225">
        <v>27</v>
      </c>
      <c r="Q225" s="20">
        <v>0.54837295396887631</v>
      </c>
      <c r="R225" s="21">
        <v>3.8310696445526982E-2</v>
      </c>
    </row>
    <row r="226" spans="1:18">
      <c r="A226" t="s">
        <v>472</v>
      </c>
      <c r="B226" t="s">
        <v>74</v>
      </c>
      <c r="C226" t="s">
        <v>101</v>
      </c>
      <c r="D226">
        <v>2</v>
      </c>
      <c r="E226" t="s">
        <v>132</v>
      </c>
      <c r="F226" t="s">
        <v>285</v>
      </c>
      <c r="G226" t="s">
        <v>286</v>
      </c>
      <c r="H226" s="16">
        <v>3204041</v>
      </c>
      <c r="I226" s="16">
        <v>1899727</v>
      </c>
      <c r="J226" s="16">
        <v>920292</v>
      </c>
      <c r="K226" s="16">
        <v>2966229</v>
      </c>
      <c r="L226" s="16">
        <v>1898859</v>
      </c>
      <c r="M226" s="16">
        <v>237812</v>
      </c>
      <c r="N226" s="16">
        <v>-36780</v>
      </c>
      <c r="O226">
        <v>0</v>
      </c>
      <c r="P226">
        <v>30</v>
      </c>
      <c r="Q226" s="20">
        <v>0.59291594583215379</v>
      </c>
      <c r="R226" s="21">
        <v>-0.1546599835163911</v>
      </c>
    </row>
    <row r="227" spans="1:18">
      <c r="A227" t="s">
        <v>473</v>
      </c>
      <c r="B227" t="s">
        <v>89</v>
      </c>
      <c r="C227" t="s">
        <v>162</v>
      </c>
      <c r="D227">
        <v>3</v>
      </c>
      <c r="E227" t="s">
        <v>143</v>
      </c>
      <c r="F227" t="s">
        <v>133</v>
      </c>
      <c r="G227" t="s">
        <v>134</v>
      </c>
      <c r="H227" s="16">
        <v>3178633</v>
      </c>
      <c r="I227" s="16">
        <v>0</v>
      </c>
      <c r="J227" s="16">
        <v>188807</v>
      </c>
      <c r="K227" s="16">
        <v>2314513</v>
      </c>
      <c r="L227" s="16">
        <v>187079</v>
      </c>
      <c r="M227" s="16">
        <v>864120</v>
      </c>
      <c r="N227" s="16">
        <v>85921</v>
      </c>
      <c r="O227">
        <v>1</v>
      </c>
      <c r="P227">
        <v>0</v>
      </c>
      <c r="Q227" s="20">
        <v>0</v>
      </c>
      <c r="R227" s="21">
        <v>9.9431791880757306E-2</v>
      </c>
    </row>
    <row r="228" spans="1:18">
      <c r="A228" t="s">
        <v>474</v>
      </c>
      <c r="B228" t="s">
        <v>74</v>
      </c>
      <c r="C228" t="s">
        <v>101</v>
      </c>
      <c r="D228">
        <v>2</v>
      </c>
      <c r="E228" t="s">
        <v>132</v>
      </c>
      <c r="F228" t="s">
        <v>475</v>
      </c>
      <c r="G228" t="s">
        <v>211</v>
      </c>
      <c r="H228" s="16">
        <v>3177885</v>
      </c>
      <c r="I228" s="16">
        <v>1903319</v>
      </c>
      <c r="J228" s="16">
        <v>755974</v>
      </c>
      <c r="K228" s="16">
        <v>2922736</v>
      </c>
      <c r="L228" s="16">
        <v>1989157</v>
      </c>
      <c r="M228" s="16">
        <v>255149</v>
      </c>
      <c r="N228" s="16">
        <v>10379</v>
      </c>
      <c r="O228">
        <v>0</v>
      </c>
      <c r="P228">
        <v>50</v>
      </c>
      <c r="Q228" s="20">
        <v>0.59892632993327322</v>
      </c>
      <c r="R228" s="21">
        <v>4.0678191958424294E-2</v>
      </c>
    </row>
    <row r="229" spans="1:18">
      <c r="A229" t="s">
        <v>476</v>
      </c>
      <c r="B229" t="s">
        <v>74</v>
      </c>
      <c r="C229" t="s">
        <v>104</v>
      </c>
      <c r="D229">
        <v>2</v>
      </c>
      <c r="E229" t="s">
        <v>132</v>
      </c>
      <c r="F229" t="s">
        <v>477</v>
      </c>
      <c r="G229" t="s">
        <v>206</v>
      </c>
      <c r="H229" s="16">
        <v>3170210</v>
      </c>
      <c r="I229" s="16">
        <v>1332748</v>
      </c>
      <c r="J229" s="16">
        <v>50225</v>
      </c>
      <c r="K229" s="16">
        <v>2691774</v>
      </c>
      <c r="L229" s="16">
        <v>2343824</v>
      </c>
      <c r="M229" s="16">
        <v>478436</v>
      </c>
      <c r="N229" s="16">
        <v>61354</v>
      </c>
      <c r="O229">
        <v>0</v>
      </c>
      <c r="P229">
        <v>30</v>
      </c>
      <c r="Q229" s="20">
        <v>0.42039738692389461</v>
      </c>
      <c r="R229" s="21">
        <v>0.12823867769147806</v>
      </c>
    </row>
    <row r="230" spans="1:18">
      <c r="A230" t="s">
        <v>478</v>
      </c>
      <c r="B230" t="s">
        <v>74</v>
      </c>
      <c r="C230" t="s">
        <v>101</v>
      </c>
      <c r="D230">
        <v>2</v>
      </c>
      <c r="E230" t="s">
        <v>132</v>
      </c>
      <c r="F230" t="s">
        <v>479</v>
      </c>
      <c r="G230" t="s">
        <v>211</v>
      </c>
      <c r="H230" s="16">
        <v>3164020</v>
      </c>
      <c r="I230" s="16">
        <v>1893982</v>
      </c>
      <c r="J230" s="16">
        <v>1038960</v>
      </c>
      <c r="K230" s="16">
        <v>2694342</v>
      </c>
      <c r="L230" s="16">
        <v>1921903</v>
      </c>
      <c r="M230" s="16">
        <v>469678</v>
      </c>
      <c r="N230" s="16">
        <v>54084</v>
      </c>
      <c r="O230">
        <v>0</v>
      </c>
      <c r="P230">
        <v>37</v>
      </c>
      <c r="Q230" s="20">
        <v>0.5985998824280504</v>
      </c>
      <c r="R230" s="21">
        <v>0.11515123126908222</v>
      </c>
    </row>
    <row r="231" spans="1:18">
      <c r="A231" t="s">
        <v>480</v>
      </c>
      <c r="B231" t="s">
        <v>77</v>
      </c>
      <c r="C231" t="s">
        <v>101</v>
      </c>
      <c r="D231">
        <v>2</v>
      </c>
      <c r="E231" t="s">
        <v>132</v>
      </c>
      <c r="F231" t="s">
        <v>481</v>
      </c>
      <c r="G231" t="s">
        <v>311</v>
      </c>
      <c r="H231" s="16">
        <v>3149260</v>
      </c>
      <c r="I231" s="16">
        <v>97703</v>
      </c>
      <c r="J231" s="16">
        <v>1887129</v>
      </c>
      <c r="K231" s="16">
        <v>2981880</v>
      </c>
      <c r="L231" s="16">
        <v>579566</v>
      </c>
      <c r="M231" s="16">
        <v>167380</v>
      </c>
      <c r="N231" s="16">
        <v>7765</v>
      </c>
      <c r="O231">
        <v>0</v>
      </c>
      <c r="P231">
        <v>0</v>
      </c>
      <c r="Q231" s="20">
        <v>3.1024113601290461E-2</v>
      </c>
      <c r="R231" s="21">
        <v>4.639144461703907E-2</v>
      </c>
    </row>
    <row r="232" spans="1:18">
      <c r="A232" t="s">
        <v>482</v>
      </c>
      <c r="B232" t="s">
        <v>74</v>
      </c>
      <c r="C232" t="s">
        <v>104</v>
      </c>
      <c r="D232">
        <v>2</v>
      </c>
      <c r="E232" t="s">
        <v>132</v>
      </c>
      <c r="F232" t="s">
        <v>483</v>
      </c>
      <c r="G232" t="s">
        <v>169</v>
      </c>
      <c r="H232" s="16">
        <v>3148823</v>
      </c>
      <c r="I232" s="16">
        <v>1137840</v>
      </c>
      <c r="J232" s="16">
        <v>63353</v>
      </c>
      <c r="K232" s="16">
        <v>2750332</v>
      </c>
      <c r="L232" s="16">
        <v>2423788</v>
      </c>
      <c r="M232" s="16">
        <v>398491</v>
      </c>
      <c r="N232" s="16">
        <v>46430</v>
      </c>
      <c r="O232">
        <v>0</v>
      </c>
      <c r="P232">
        <v>44</v>
      </c>
      <c r="Q232" s="20">
        <v>0.36135406785328994</v>
      </c>
      <c r="R232" s="21">
        <v>0.11651455114419146</v>
      </c>
    </row>
    <row r="233" spans="1:18">
      <c r="A233" t="s">
        <v>484</v>
      </c>
      <c r="B233" t="s">
        <v>83</v>
      </c>
      <c r="C233" t="s">
        <v>104</v>
      </c>
      <c r="D233">
        <v>2</v>
      </c>
      <c r="E233" t="s">
        <v>132</v>
      </c>
      <c r="F233" t="s">
        <v>133</v>
      </c>
      <c r="G233" t="s">
        <v>134</v>
      </c>
      <c r="H233" s="16">
        <v>3121461</v>
      </c>
      <c r="I233" s="16">
        <v>322716</v>
      </c>
      <c r="J233" s="16">
        <v>2041911</v>
      </c>
      <c r="K233" s="16">
        <v>2869313</v>
      </c>
      <c r="L233" s="16">
        <v>2551067</v>
      </c>
      <c r="M233" s="16">
        <v>252148</v>
      </c>
      <c r="N233" s="16">
        <v>26784</v>
      </c>
      <c r="O233">
        <v>2</v>
      </c>
      <c r="P233">
        <v>0</v>
      </c>
      <c r="Q233" s="20">
        <v>0.10338620280695482</v>
      </c>
      <c r="R233" s="21">
        <v>0.10622332915589257</v>
      </c>
    </row>
    <row r="234" spans="1:18">
      <c r="A234" t="s">
        <v>485</v>
      </c>
      <c r="B234" t="s">
        <v>74</v>
      </c>
      <c r="C234" t="s">
        <v>104</v>
      </c>
      <c r="D234">
        <v>2</v>
      </c>
      <c r="E234" t="s">
        <v>132</v>
      </c>
      <c r="F234" t="s">
        <v>276</v>
      </c>
      <c r="G234" t="s">
        <v>211</v>
      </c>
      <c r="H234" s="16">
        <v>3110902</v>
      </c>
      <c r="I234" s="16">
        <v>2060713</v>
      </c>
      <c r="J234" s="16">
        <v>47999</v>
      </c>
      <c r="K234" s="16">
        <v>2795236</v>
      </c>
      <c r="L234" s="16">
        <v>2444801</v>
      </c>
      <c r="M234" s="16">
        <v>315666</v>
      </c>
      <c r="N234" s="16">
        <v>32434</v>
      </c>
      <c r="O234">
        <v>0</v>
      </c>
      <c r="P234">
        <v>52</v>
      </c>
      <c r="Q234" s="20">
        <v>0.66241655957018253</v>
      </c>
      <c r="R234" s="21">
        <v>0.10274784107252602</v>
      </c>
    </row>
    <row r="235" spans="1:18">
      <c r="A235" t="s">
        <v>486</v>
      </c>
      <c r="B235" t="s">
        <v>74</v>
      </c>
      <c r="C235" t="s">
        <v>104</v>
      </c>
      <c r="D235">
        <v>2</v>
      </c>
      <c r="E235" t="s">
        <v>132</v>
      </c>
      <c r="F235" t="s">
        <v>487</v>
      </c>
      <c r="G235" t="s">
        <v>169</v>
      </c>
      <c r="H235" s="16">
        <v>3090901</v>
      </c>
      <c r="I235" s="16">
        <v>2018252</v>
      </c>
      <c r="J235" s="16">
        <v>37393</v>
      </c>
      <c r="K235" s="16">
        <v>2788780</v>
      </c>
      <c r="L235" s="16">
        <v>1804363</v>
      </c>
      <c r="M235" s="16">
        <v>302121</v>
      </c>
      <c r="N235" s="16">
        <v>-799</v>
      </c>
      <c r="O235">
        <v>0</v>
      </c>
      <c r="P235">
        <v>10</v>
      </c>
      <c r="Q235" s="20">
        <v>0.65296559158640155</v>
      </c>
      <c r="R235" s="21">
        <v>-2.6446357585205929E-3</v>
      </c>
    </row>
    <row r="236" spans="1:18">
      <c r="A236" t="s">
        <v>488</v>
      </c>
      <c r="B236" t="s">
        <v>68</v>
      </c>
      <c r="C236" t="s">
        <v>101</v>
      </c>
      <c r="D236">
        <v>3</v>
      </c>
      <c r="E236" t="s">
        <v>143</v>
      </c>
      <c r="F236" t="s">
        <v>133</v>
      </c>
      <c r="G236" t="s">
        <v>134</v>
      </c>
      <c r="H236" s="16">
        <v>3085035</v>
      </c>
      <c r="I236" s="16">
        <v>734757</v>
      </c>
      <c r="J236" s="16">
        <v>2187944</v>
      </c>
      <c r="K236" s="16">
        <v>2533960</v>
      </c>
      <c r="L236" s="16">
        <v>2490162</v>
      </c>
      <c r="M236" s="16">
        <v>551075</v>
      </c>
      <c r="N236" s="16">
        <v>25874</v>
      </c>
      <c r="O236">
        <v>2</v>
      </c>
      <c r="P236">
        <v>0</v>
      </c>
      <c r="Q236" s="20">
        <v>0.23816812451074298</v>
      </c>
      <c r="R236" s="21">
        <v>4.6951866805788688E-2</v>
      </c>
    </row>
    <row r="237" spans="1:18">
      <c r="A237" t="s">
        <v>489</v>
      </c>
      <c r="B237" t="s">
        <v>74</v>
      </c>
      <c r="C237" t="s">
        <v>101</v>
      </c>
      <c r="D237">
        <v>2</v>
      </c>
      <c r="E237" t="s">
        <v>132</v>
      </c>
      <c r="F237" t="s">
        <v>490</v>
      </c>
      <c r="G237" t="s">
        <v>153</v>
      </c>
      <c r="H237" s="16">
        <v>3075343</v>
      </c>
      <c r="I237" s="16">
        <v>1963579</v>
      </c>
      <c r="J237" s="16">
        <v>949187</v>
      </c>
      <c r="K237" s="16">
        <v>2718927</v>
      </c>
      <c r="L237" s="16">
        <v>1417754</v>
      </c>
      <c r="M237" s="16">
        <v>356416</v>
      </c>
      <c r="N237" s="16">
        <v>-15714</v>
      </c>
      <c r="O237">
        <v>0</v>
      </c>
      <c r="P237">
        <v>28</v>
      </c>
      <c r="Q237" s="20">
        <v>0.63849105611959378</v>
      </c>
      <c r="R237" s="21">
        <v>-4.4088929789908422E-2</v>
      </c>
    </row>
    <row r="238" spans="1:18">
      <c r="A238" t="s">
        <v>491</v>
      </c>
      <c r="B238" t="s">
        <v>83</v>
      </c>
      <c r="C238" t="s">
        <v>101</v>
      </c>
      <c r="D238">
        <v>2</v>
      </c>
      <c r="E238" t="s">
        <v>132</v>
      </c>
      <c r="F238" t="s">
        <v>133</v>
      </c>
      <c r="G238" t="s">
        <v>134</v>
      </c>
      <c r="H238" s="16">
        <v>3071149</v>
      </c>
      <c r="I238" s="16">
        <v>1390480</v>
      </c>
      <c r="J238" s="16">
        <v>1128868</v>
      </c>
      <c r="K238" s="16">
        <v>2772448</v>
      </c>
      <c r="L238" s="16">
        <v>2703027</v>
      </c>
      <c r="M238" s="16">
        <v>298701</v>
      </c>
      <c r="N238" s="16">
        <v>-90661</v>
      </c>
      <c r="O238">
        <v>3</v>
      </c>
      <c r="P238">
        <v>0</v>
      </c>
      <c r="Q238" s="20">
        <v>0.45275562989617241</v>
      </c>
      <c r="R238" s="21">
        <v>-0.30351756438712962</v>
      </c>
    </row>
    <row r="239" spans="1:18">
      <c r="A239" t="s">
        <v>492</v>
      </c>
      <c r="B239" t="s">
        <v>74</v>
      </c>
      <c r="C239" t="s">
        <v>104</v>
      </c>
      <c r="D239">
        <v>2</v>
      </c>
      <c r="E239" t="s">
        <v>132</v>
      </c>
      <c r="F239" t="s">
        <v>493</v>
      </c>
      <c r="G239" t="s">
        <v>206</v>
      </c>
      <c r="H239" s="16">
        <v>3053784</v>
      </c>
      <c r="I239" s="16">
        <v>1519889</v>
      </c>
      <c r="J239" s="16">
        <v>62371</v>
      </c>
      <c r="K239" s="16">
        <v>2744119</v>
      </c>
      <c r="L239" s="16">
        <v>2156800</v>
      </c>
      <c r="M239" s="16">
        <v>309665</v>
      </c>
      <c r="N239" s="16">
        <v>18876</v>
      </c>
      <c r="O239">
        <v>0</v>
      </c>
      <c r="P239">
        <v>34</v>
      </c>
      <c r="Q239" s="20">
        <v>0.49770677952337167</v>
      </c>
      <c r="R239" s="21">
        <v>6.0956194597387499E-2</v>
      </c>
    </row>
    <row r="240" spans="1:18">
      <c r="A240" t="s">
        <v>494</v>
      </c>
      <c r="B240" t="s">
        <v>74</v>
      </c>
      <c r="C240" t="s">
        <v>101</v>
      </c>
      <c r="D240">
        <v>2</v>
      </c>
      <c r="E240" t="s">
        <v>132</v>
      </c>
      <c r="F240" t="s">
        <v>495</v>
      </c>
      <c r="G240" t="s">
        <v>211</v>
      </c>
      <c r="H240" s="16">
        <v>3018003</v>
      </c>
      <c r="I240" s="16">
        <v>1804806</v>
      </c>
      <c r="J240" s="16">
        <v>924481</v>
      </c>
      <c r="K240" s="16">
        <v>2721527</v>
      </c>
      <c r="L240" s="16">
        <v>1772512</v>
      </c>
      <c r="M240" s="16">
        <v>296475</v>
      </c>
      <c r="N240" s="16">
        <v>19315</v>
      </c>
      <c r="O240">
        <v>0</v>
      </c>
      <c r="P240">
        <v>29</v>
      </c>
      <c r="Q240" s="20">
        <v>0.59801332205435187</v>
      </c>
      <c r="R240" s="21">
        <v>6.514883211063327E-2</v>
      </c>
    </row>
    <row r="241" spans="1:18">
      <c r="A241" t="s">
        <v>496</v>
      </c>
      <c r="B241" t="s">
        <v>89</v>
      </c>
      <c r="C241" t="s">
        <v>101</v>
      </c>
      <c r="D241">
        <v>2</v>
      </c>
      <c r="E241" t="s">
        <v>132</v>
      </c>
      <c r="F241" t="s">
        <v>368</v>
      </c>
      <c r="G241" t="s">
        <v>206</v>
      </c>
      <c r="H241" s="16">
        <v>3015510</v>
      </c>
      <c r="I241" s="16">
        <v>6614</v>
      </c>
      <c r="J241" s="16">
        <v>1125884</v>
      </c>
      <c r="K241" s="16">
        <v>2635750</v>
      </c>
      <c r="L241" s="16">
        <v>1368331</v>
      </c>
      <c r="M241" s="16">
        <v>379760</v>
      </c>
      <c r="N241" s="16">
        <v>2595</v>
      </c>
      <c r="O241">
        <v>1</v>
      </c>
      <c r="P241">
        <v>0</v>
      </c>
      <c r="Q241" s="20">
        <v>2.1933271652224665E-3</v>
      </c>
      <c r="R241" s="21">
        <v>6.8332631135453971E-3</v>
      </c>
    </row>
    <row r="242" spans="1:18">
      <c r="A242" t="s">
        <v>497</v>
      </c>
      <c r="B242" t="s">
        <v>68</v>
      </c>
      <c r="C242" t="s">
        <v>101</v>
      </c>
      <c r="D242">
        <v>2</v>
      </c>
      <c r="E242" t="s">
        <v>132</v>
      </c>
      <c r="F242" t="s">
        <v>133</v>
      </c>
      <c r="G242" t="s">
        <v>134</v>
      </c>
      <c r="H242" s="16">
        <v>3005856</v>
      </c>
      <c r="I242" s="16">
        <v>2535614</v>
      </c>
      <c r="J242" s="16">
        <v>108991</v>
      </c>
      <c r="K242" s="16">
        <v>2696251</v>
      </c>
      <c r="L242" s="16">
        <v>2618378</v>
      </c>
      <c r="M242" s="16">
        <v>309605</v>
      </c>
      <c r="N242" s="16">
        <v>-461</v>
      </c>
      <c r="O242">
        <v>2</v>
      </c>
      <c r="P242">
        <v>0</v>
      </c>
      <c r="Q242" s="20">
        <v>0.84355804136991264</v>
      </c>
      <c r="R242" s="21">
        <v>-1.4889940407939149E-3</v>
      </c>
    </row>
    <row r="243" spans="1:18">
      <c r="A243" t="s">
        <v>498</v>
      </c>
      <c r="B243" t="s">
        <v>74</v>
      </c>
      <c r="C243" t="s">
        <v>101</v>
      </c>
      <c r="D243">
        <v>2</v>
      </c>
      <c r="E243" t="s">
        <v>132</v>
      </c>
      <c r="F243" t="s">
        <v>499</v>
      </c>
      <c r="G243" t="s">
        <v>211</v>
      </c>
      <c r="H243" s="16">
        <v>2993490</v>
      </c>
      <c r="I243" s="16">
        <v>1648008</v>
      </c>
      <c r="J243" s="16">
        <v>1102377</v>
      </c>
      <c r="K243" s="16">
        <v>2692303</v>
      </c>
      <c r="L243" s="16">
        <v>1735557</v>
      </c>
      <c r="M243" s="16">
        <v>301188</v>
      </c>
      <c r="N243" s="16">
        <v>15025</v>
      </c>
      <c r="O243">
        <v>0</v>
      </c>
      <c r="P243">
        <v>34</v>
      </c>
      <c r="Q243" s="20">
        <v>0.55053065151378489</v>
      </c>
      <c r="R243" s="21">
        <v>4.9885785622269148E-2</v>
      </c>
    </row>
    <row r="244" spans="1:18">
      <c r="A244" t="s">
        <v>500</v>
      </c>
      <c r="B244" t="s">
        <v>74</v>
      </c>
      <c r="C244" t="s">
        <v>104</v>
      </c>
      <c r="D244">
        <v>2</v>
      </c>
      <c r="E244" t="s">
        <v>132</v>
      </c>
      <c r="F244" t="s">
        <v>501</v>
      </c>
      <c r="G244" t="s">
        <v>211</v>
      </c>
      <c r="H244" s="16">
        <v>2993218</v>
      </c>
      <c r="I244" s="16">
        <v>2281185</v>
      </c>
      <c r="J244" s="16">
        <v>44989</v>
      </c>
      <c r="K244" s="16">
        <v>2614757</v>
      </c>
      <c r="L244" s="16">
        <v>1502417</v>
      </c>
      <c r="M244" s="16">
        <v>378462</v>
      </c>
      <c r="N244" s="16">
        <v>25738</v>
      </c>
      <c r="O244">
        <v>0</v>
      </c>
      <c r="P244">
        <v>45</v>
      </c>
      <c r="Q244" s="20">
        <v>0.76211789452021206</v>
      </c>
      <c r="R244" s="21">
        <v>6.8006827633950037E-2</v>
      </c>
    </row>
    <row r="245" spans="1:18">
      <c r="A245" t="s">
        <v>502</v>
      </c>
      <c r="B245" t="s">
        <v>74</v>
      </c>
      <c r="C245" t="s">
        <v>101</v>
      </c>
      <c r="D245">
        <v>2</v>
      </c>
      <c r="E245" t="s">
        <v>132</v>
      </c>
      <c r="F245" t="s">
        <v>503</v>
      </c>
      <c r="G245" t="s">
        <v>153</v>
      </c>
      <c r="H245" s="16">
        <v>2993188</v>
      </c>
      <c r="I245" s="16">
        <v>1911625</v>
      </c>
      <c r="J245" s="16">
        <v>917059</v>
      </c>
      <c r="K245" s="16">
        <v>2678647</v>
      </c>
      <c r="L245" s="16">
        <v>1640215</v>
      </c>
      <c r="M245" s="16">
        <v>314541</v>
      </c>
      <c r="N245" s="16">
        <v>10536</v>
      </c>
      <c r="O245">
        <v>0</v>
      </c>
      <c r="P245">
        <v>30</v>
      </c>
      <c r="Q245" s="20">
        <v>0.63865851393230233</v>
      </c>
      <c r="R245" s="21">
        <v>3.3496428128606447E-2</v>
      </c>
    </row>
    <row r="246" spans="1:18">
      <c r="A246" t="s">
        <v>504</v>
      </c>
      <c r="B246" t="s">
        <v>74</v>
      </c>
      <c r="C246" t="s">
        <v>101</v>
      </c>
      <c r="D246">
        <v>2</v>
      </c>
      <c r="E246" t="s">
        <v>132</v>
      </c>
      <c r="F246" t="s">
        <v>505</v>
      </c>
      <c r="G246" t="s">
        <v>211</v>
      </c>
      <c r="H246" s="16">
        <v>2991757</v>
      </c>
      <c r="I246" s="16">
        <v>1775079</v>
      </c>
      <c r="J246" s="16">
        <v>852922</v>
      </c>
      <c r="K246" s="16">
        <v>2703702</v>
      </c>
      <c r="L246" s="16">
        <v>1769851</v>
      </c>
      <c r="M246" s="16">
        <v>288055</v>
      </c>
      <c r="N246" s="16">
        <v>12753</v>
      </c>
      <c r="O246">
        <v>0</v>
      </c>
      <c r="P246">
        <v>31</v>
      </c>
      <c r="Q246" s="20">
        <v>0.59332325452902757</v>
      </c>
      <c r="R246" s="21">
        <v>4.4272795125930811E-2</v>
      </c>
    </row>
    <row r="247" spans="1:18">
      <c r="A247" t="s">
        <v>506</v>
      </c>
      <c r="B247" t="s">
        <v>77</v>
      </c>
      <c r="C247" t="s">
        <v>101</v>
      </c>
      <c r="D247">
        <v>2</v>
      </c>
      <c r="E247" t="s">
        <v>132</v>
      </c>
      <c r="F247" t="s">
        <v>145</v>
      </c>
      <c r="G247" t="s">
        <v>146</v>
      </c>
      <c r="H247" s="16">
        <v>2971468</v>
      </c>
      <c r="I247" s="16">
        <v>29298</v>
      </c>
      <c r="J247" s="16">
        <v>1141543</v>
      </c>
      <c r="K247" s="16">
        <v>2706428</v>
      </c>
      <c r="L247" s="16">
        <v>0</v>
      </c>
      <c r="M247" s="16">
        <v>265040</v>
      </c>
      <c r="N247" s="16">
        <v>12663</v>
      </c>
      <c r="O247">
        <v>0</v>
      </c>
      <c r="P247">
        <v>2</v>
      </c>
      <c r="Q247" s="20">
        <v>9.859773014550384E-3</v>
      </c>
      <c r="R247" s="21">
        <v>4.777769393299125E-2</v>
      </c>
    </row>
    <row r="248" spans="1:18">
      <c r="A248" t="s">
        <v>507</v>
      </c>
      <c r="B248" t="s">
        <v>74</v>
      </c>
      <c r="C248" t="s">
        <v>101</v>
      </c>
      <c r="D248">
        <v>2</v>
      </c>
      <c r="E248" t="s">
        <v>132</v>
      </c>
      <c r="F248" t="s">
        <v>508</v>
      </c>
      <c r="G248" t="s">
        <v>250</v>
      </c>
      <c r="H248" s="16">
        <v>2951598</v>
      </c>
      <c r="I248" s="16">
        <v>1955613</v>
      </c>
      <c r="J248" s="16">
        <v>671335</v>
      </c>
      <c r="K248" s="16">
        <v>2623867</v>
      </c>
      <c r="L248" s="16">
        <v>1681986</v>
      </c>
      <c r="M248" s="16">
        <v>327731</v>
      </c>
      <c r="N248" s="16">
        <v>-37367</v>
      </c>
      <c r="O248">
        <v>0</v>
      </c>
      <c r="P248">
        <v>36</v>
      </c>
      <c r="Q248" s="20">
        <v>0.66256075522479685</v>
      </c>
      <c r="R248" s="21">
        <v>-0.11401728856897883</v>
      </c>
    </row>
    <row r="249" spans="1:18">
      <c r="A249" t="s">
        <v>509</v>
      </c>
      <c r="B249" t="s">
        <v>74</v>
      </c>
      <c r="C249" t="s">
        <v>101</v>
      </c>
      <c r="D249">
        <v>2</v>
      </c>
      <c r="E249" t="s">
        <v>132</v>
      </c>
      <c r="F249" t="s">
        <v>510</v>
      </c>
      <c r="G249" t="s">
        <v>153</v>
      </c>
      <c r="H249" s="16">
        <v>2947863</v>
      </c>
      <c r="I249" s="16">
        <v>1604471</v>
      </c>
      <c r="J249" s="16">
        <v>993446</v>
      </c>
      <c r="K249" s="16">
        <v>2278328</v>
      </c>
      <c r="L249" s="16">
        <v>1726406</v>
      </c>
      <c r="M249" s="16">
        <v>669535</v>
      </c>
      <c r="N249" s="16">
        <v>54027</v>
      </c>
      <c r="O249">
        <v>0</v>
      </c>
      <c r="P249">
        <v>26</v>
      </c>
      <c r="Q249" s="20">
        <v>0.54428275669527382</v>
      </c>
      <c r="R249" s="21">
        <v>8.0693317003592044E-2</v>
      </c>
    </row>
    <row r="250" spans="1:18">
      <c r="A250" t="s">
        <v>511</v>
      </c>
      <c r="B250" t="s">
        <v>74</v>
      </c>
      <c r="C250" t="s">
        <v>104</v>
      </c>
      <c r="D250">
        <v>2</v>
      </c>
      <c r="E250" t="s">
        <v>132</v>
      </c>
      <c r="F250" t="s">
        <v>512</v>
      </c>
      <c r="G250" t="s">
        <v>153</v>
      </c>
      <c r="H250" s="16">
        <v>2938079</v>
      </c>
      <c r="I250" s="16">
        <v>2219286</v>
      </c>
      <c r="J250" s="16">
        <v>45272</v>
      </c>
      <c r="K250" s="16">
        <v>2608497</v>
      </c>
      <c r="L250" s="16">
        <v>1646343</v>
      </c>
      <c r="M250" s="16">
        <v>329581</v>
      </c>
      <c r="N250" s="16">
        <v>24151</v>
      </c>
      <c r="O250">
        <v>0</v>
      </c>
      <c r="P250">
        <v>56</v>
      </c>
      <c r="Q250" s="20">
        <v>0.75535273217636423</v>
      </c>
      <c r="R250" s="21">
        <v>7.3277889198709881E-2</v>
      </c>
    </row>
    <row r="251" spans="1:18">
      <c r="A251" t="s">
        <v>513</v>
      </c>
      <c r="B251" t="s">
        <v>89</v>
      </c>
      <c r="C251" t="s">
        <v>98</v>
      </c>
      <c r="D251">
        <v>2</v>
      </c>
      <c r="E251" t="s">
        <v>132</v>
      </c>
      <c r="F251" t="s">
        <v>168</v>
      </c>
      <c r="G251" t="s">
        <v>169</v>
      </c>
      <c r="H251" s="16">
        <v>2922091</v>
      </c>
      <c r="I251" s="16">
        <v>0</v>
      </c>
      <c r="J251" s="16">
        <v>1906534</v>
      </c>
      <c r="K251" s="16">
        <v>748459</v>
      </c>
      <c r="L251" s="16">
        <v>0</v>
      </c>
      <c r="M251" s="16">
        <v>2173632</v>
      </c>
      <c r="N251" s="16">
        <v>54400</v>
      </c>
      <c r="O251">
        <v>1</v>
      </c>
      <c r="P251">
        <v>0</v>
      </c>
      <c r="Q251" s="20">
        <v>0</v>
      </c>
      <c r="R251" s="21">
        <v>2.5027235521008155E-2</v>
      </c>
    </row>
    <row r="252" spans="1:18">
      <c r="A252" t="s">
        <v>514</v>
      </c>
      <c r="B252" t="s">
        <v>74</v>
      </c>
      <c r="C252" t="s">
        <v>101</v>
      </c>
      <c r="D252">
        <v>2</v>
      </c>
      <c r="E252" t="s">
        <v>132</v>
      </c>
      <c r="F252" t="s">
        <v>515</v>
      </c>
      <c r="G252" t="s">
        <v>153</v>
      </c>
      <c r="H252" s="16">
        <v>2892572</v>
      </c>
      <c r="I252" s="16">
        <v>1467305</v>
      </c>
      <c r="J252" s="16">
        <v>1305144</v>
      </c>
      <c r="K252" s="16">
        <v>2366108</v>
      </c>
      <c r="L252" s="16">
        <v>1829174</v>
      </c>
      <c r="M252" s="16">
        <v>526464</v>
      </c>
      <c r="N252" s="16">
        <v>59805</v>
      </c>
      <c r="O252">
        <v>0</v>
      </c>
      <c r="P252">
        <v>16</v>
      </c>
      <c r="Q252" s="20">
        <v>0.50726654340842681</v>
      </c>
      <c r="R252" s="21">
        <v>0.11359751094091904</v>
      </c>
    </row>
    <row r="253" spans="1:18">
      <c r="A253" t="s">
        <v>516</v>
      </c>
      <c r="B253" t="s">
        <v>74</v>
      </c>
      <c r="C253" t="s">
        <v>104</v>
      </c>
      <c r="D253">
        <v>2</v>
      </c>
      <c r="E253" t="s">
        <v>132</v>
      </c>
      <c r="F253" t="s">
        <v>517</v>
      </c>
      <c r="G253" t="s">
        <v>206</v>
      </c>
      <c r="H253" s="16">
        <v>2884727</v>
      </c>
      <c r="I253" s="16">
        <v>941675</v>
      </c>
      <c r="J253" s="16">
        <v>58242</v>
      </c>
      <c r="K253" s="16">
        <v>2391918</v>
      </c>
      <c r="L253" s="16">
        <v>2062380</v>
      </c>
      <c r="M253" s="16">
        <v>492808</v>
      </c>
      <c r="N253" s="16">
        <v>50411</v>
      </c>
      <c r="O253">
        <v>0</v>
      </c>
      <c r="P253">
        <v>18</v>
      </c>
      <c r="Q253" s="20">
        <v>0.32643470248657847</v>
      </c>
      <c r="R253" s="21">
        <v>0.10229338809434911</v>
      </c>
    </row>
    <row r="254" spans="1:18">
      <c r="A254" t="s">
        <v>518</v>
      </c>
      <c r="B254" t="s">
        <v>68</v>
      </c>
      <c r="C254" t="s">
        <v>101</v>
      </c>
      <c r="D254">
        <v>3</v>
      </c>
      <c r="E254" t="s">
        <v>143</v>
      </c>
      <c r="F254" t="s">
        <v>133</v>
      </c>
      <c r="G254" t="s">
        <v>134</v>
      </c>
      <c r="H254" s="16">
        <v>2882367</v>
      </c>
      <c r="I254" s="16">
        <v>0</v>
      </c>
      <c r="J254" s="16">
        <v>853000</v>
      </c>
      <c r="K254" s="16">
        <v>2251420</v>
      </c>
      <c r="L254" s="16">
        <v>1286551</v>
      </c>
      <c r="M254" s="16">
        <v>630947</v>
      </c>
      <c r="N254" s="16">
        <v>22996</v>
      </c>
      <c r="O254">
        <v>4</v>
      </c>
      <c r="P254">
        <v>0</v>
      </c>
      <c r="Q254" s="20">
        <v>0</v>
      </c>
      <c r="R254" s="21">
        <v>3.6446801395362841E-2</v>
      </c>
    </row>
    <row r="255" spans="1:18">
      <c r="A255" t="s">
        <v>519</v>
      </c>
      <c r="B255" t="s">
        <v>74</v>
      </c>
      <c r="C255" t="s">
        <v>104</v>
      </c>
      <c r="D255">
        <v>2</v>
      </c>
      <c r="E255" t="s">
        <v>132</v>
      </c>
      <c r="F255" t="s">
        <v>520</v>
      </c>
      <c r="G255" t="s">
        <v>206</v>
      </c>
      <c r="H255" s="16">
        <v>2859377</v>
      </c>
      <c r="I255" s="16">
        <v>1693198</v>
      </c>
      <c r="J255" s="16">
        <v>68685</v>
      </c>
      <c r="K255" s="16">
        <v>2504354</v>
      </c>
      <c r="L255" s="16">
        <v>1873543</v>
      </c>
      <c r="M255" s="16">
        <v>355023</v>
      </c>
      <c r="N255" s="16">
        <v>-4365</v>
      </c>
      <c r="O255">
        <v>0</v>
      </c>
      <c r="P255">
        <v>25</v>
      </c>
      <c r="Q255" s="20">
        <v>0.59215626340982663</v>
      </c>
      <c r="R255" s="21">
        <v>-1.2294978071843233E-2</v>
      </c>
    </row>
    <row r="256" spans="1:18">
      <c r="A256" t="s">
        <v>521</v>
      </c>
      <c r="B256" t="s">
        <v>74</v>
      </c>
      <c r="C256" t="s">
        <v>101</v>
      </c>
      <c r="D256">
        <v>2</v>
      </c>
      <c r="E256" t="s">
        <v>132</v>
      </c>
      <c r="F256" t="s">
        <v>522</v>
      </c>
      <c r="G256" t="s">
        <v>153</v>
      </c>
      <c r="H256" s="16">
        <v>2849993</v>
      </c>
      <c r="I256" s="16">
        <v>1774617</v>
      </c>
      <c r="J256" s="16">
        <v>869357</v>
      </c>
      <c r="K256" s="16">
        <v>2461494</v>
      </c>
      <c r="L256" s="16">
        <v>1703255</v>
      </c>
      <c r="M256" s="16">
        <v>388499</v>
      </c>
      <c r="N256" s="16">
        <v>15172</v>
      </c>
      <c r="O256">
        <v>0</v>
      </c>
      <c r="P256">
        <v>32</v>
      </c>
      <c r="Q256" s="20">
        <v>0.62267416095407957</v>
      </c>
      <c r="R256" s="21">
        <v>3.9052867574948712E-2</v>
      </c>
    </row>
    <row r="257" spans="1:18">
      <c r="A257" t="s">
        <v>523</v>
      </c>
      <c r="B257" t="s">
        <v>89</v>
      </c>
      <c r="C257" t="s">
        <v>101</v>
      </c>
      <c r="D257">
        <v>3</v>
      </c>
      <c r="E257" t="s">
        <v>143</v>
      </c>
      <c r="F257" t="s">
        <v>133</v>
      </c>
      <c r="G257" t="s">
        <v>134</v>
      </c>
      <c r="H257" s="16">
        <v>2843510</v>
      </c>
      <c r="I257" s="16">
        <v>0</v>
      </c>
      <c r="J257" s="16">
        <v>103148</v>
      </c>
      <c r="K257" s="16">
        <v>2446895</v>
      </c>
      <c r="L257" s="16">
        <v>129821</v>
      </c>
      <c r="M257" s="16">
        <v>396615</v>
      </c>
      <c r="N257" s="16">
        <v>-20852</v>
      </c>
      <c r="O257">
        <v>1</v>
      </c>
      <c r="P257">
        <v>0</v>
      </c>
      <c r="Q257" s="20">
        <v>0</v>
      </c>
      <c r="R257" s="21">
        <v>-5.2574915220049673E-2</v>
      </c>
    </row>
    <row r="258" spans="1:18">
      <c r="A258" t="s">
        <v>524</v>
      </c>
      <c r="B258" t="s">
        <v>74</v>
      </c>
      <c r="C258" t="s">
        <v>104</v>
      </c>
      <c r="D258">
        <v>2</v>
      </c>
      <c r="E258" t="s">
        <v>132</v>
      </c>
      <c r="F258" t="s">
        <v>525</v>
      </c>
      <c r="G258" t="s">
        <v>206</v>
      </c>
      <c r="H258" s="16">
        <v>2842196</v>
      </c>
      <c r="I258" s="16">
        <v>1409928</v>
      </c>
      <c r="J258" s="16">
        <v>47374</v>
      </c>
      <c r="K258" s="16">
        <v>2432868</v>
      </c>
      <c r="L258" s="16">
        <v>2141787</v>
      </c>
      <c r="M258" s="16">
        <v>409328</v>
      </c>
      <c r="N258" s="16">
        <v>45634</v>
      </c>
      <c r="O258">
        <v>0</v>
      </c>
      <c r="P258">
        <v>16</v>
      </c>
      <c r="Q258" s="20">
        <v>0.49606994028561013</v>
      </c>
      <c r="R258" s="21">
        <v>0.11148516593050073</v>
      </c>
    </row>
    <row r="259" spans="1:18">
      <c r="A259" t="s">
        <v>526</v>
      </c>
      <c r="B259" t="s">
        <v>77</v>
      </c>
      <c r="C259" t="s">
        <v>101</v>
      </c>
      <c r="D259">
        <v>2</v>
      </c>
      <c r="E259" t="s">
        <v>132</v>
      </c>
      <c r="F259" t="s">
        <v>152</v>
      </c>
      <c r="G259" t="s">
        <v>153</v>
      </c>
      <c r="H259" s="16">
        <v>2830096</v>
      </c>
      <c r="I259" s="16">
        <v>0</v>
      </c>
      <c r="J259" s="16">
        <v>1231343</v>
      </c>
      <c r="K259" s="16">
        <v>194399</v>
      </c>
      <c r="L259" s="16">
        <v>8323</v>
      </c>
      <c r="M259" s="16">
        <v>2635697</v>
      </c>
      <c r="N259" s="16">
        <v>0</v>
      </c>
      <c r="O259">
        <v>0</v>
      </c>
      <c r="P259">
        <v>0</v>
      </c>
      <c r="Q259" s="20">
        <v>0</v>
      </c>
      <c r="R259" s="21">
        <v>0</v>
      </c>
    </row>
    <row r="260" spans="1:18">
      <c r="A260" t="s">
        <v>527</v>
      </c>
      <c r="B260" t="s">
        <v>74</v>
      </c>
      <c r="C260" t="s">
        <v>104</v>
      </c>
      <c r="D260">
        <v>2</v>
      </c>
      <c r="E260" t="s">
        <v>132</v>
      </c>
      <c r="F260" t="s">
        <v>210</v>
      </c>
      <c r="G260" t="s">
        <v>211</v>
      </c>
      <c r="H260" s="16">
        <v>2820180</v>
      </c>
      <c r="I260" s="16">
        <v>1978185</v>
      </c>
      <c r="J260" s="16">
        <v>39165</v>
      </c>
      <c r="K260" s="16">
        <v>2491590</v>
      </c>
      <c r="L260" s="16">
        <v>2191877</v>
      </c>
      <c r="M260" s="16">
        <v>328590</v>
      </c>
      <c r="N260" s="16">
        <v>16282</v>
      </c>
      <c r="O260">
        <v>0</v>
      </c>
      <c r="P260">
        <v>35</v>
      </c>
      <c r="Q260" s="20">
        <v>0.70143926983384042</v>
      </c>
      <c r="R260" s="21">
        <v>4.9551112328433608E-2</v>
      </c>
    </row>
    <row r="261" spans="1:18">
      <c r="A261" t="s">
        <v>528</v>
      </c>
      <c r="B261" t="s">
        <v>89</v>
      </c>
      <c r="C261" t="s">
        <v>162</v>
      </c>
      <c r="D261">
        <v>3</v>
      </c>
      <c r="E261" t="s">
        <v>143</v>
      </c>
      <c r="F261" t="s">
        <v>133</v>
      </c>
      <c r="G261" t="s">
        <v>134</v>
      </c>
      <c r="H261" s="16">
        <v>2784825</v>
      </c>
      <c r="I261" s="16">
        <v>0</v>
      </c>
      <c r="J261" s="16">
        <v>759910</v>
      </c>
      <c r="K261" s="16">
        <v>2204104</v>
      </c>
      <c r="L261" s="16">
        <v>164004</v>
      </c>
      <c r="M261" s="16">
        <v>580721</v>
      </c>
      <c r="N261" s="16">
        <v>2655</v>
      </c>
      <c r="O261">
        <v>1</v>
      </c>
      <c r="P261">
        <v>0</v>
      </c>
      <c r="Q261" s="20">
        <v>0</v>
      </c>
      <c r="R261" s="21">
        <v>4.5719028586877347E-3</v>
      </c>
    </row>
    <row r="262" spans="1:18">
      <c r="A262" t="s">
        <v>529</v>
      </c>
      <c r="B262" t="s">
        <v>68</v>
      </c>
      <c r="C262" t="s">
        <v>101</v>
      </c>
      <c r="D262">
        <v>2</v>
      </c>
      <c r="E262" t="s">
        <v>132</v>
      </c>
      <c r="F262" t="s">
        <v>530</v>
      </c>
      <c r="G262" t="s">
        <v>134</v>
      </c>
      <c r="H262" s="16">
        <v>2761341</v>
      </c>
      <c r="I262" s="16">
        <v>585802</v>
      </c>
      <c r="J262" s="16">
        <v>220620</v>
      </c>
      <c r="K262" s="16">
        <v>2660329</v>
      </c>
      <c r="L262" s="16">
        <v>2503073</v>
      </c>
      <c r="M262" s="16">
        <v>101012</v>
      </c>
      <c r="N262" s="16">
        <v>-93370</v>
      </c>
      <c r="O262">
        <v>2</v>
      </c>
      <c r="P262">
        <v>1</v>
      </c>
      <c r="Q262" s="20">
        <v>0.21214402712305361</v>
      </c>
      <c r="R262" s="21">
        <v>-0.92434562230230066</v>
      </c>
    </row>
    <row r="263" spans="1:18">
      <c r="A263" t="s">
        <v>531</v>
      </c>
      <c r="B263" t="s">
        <v>74</v>
      </c>
      <c r="C263" t="s">
        <v>101</v>
      </c>
      <c r="D263">
        <v>2</v>
      </c>
      <c r="E263" t="s">
        <v>132</v>
      </c>
      <c r="F263" t="s">
        <v>532</v>
      </c>
      <c r="G263" t="s">
        <v>153</v>
      </c>
      <c r="H263" s="16">
        <v>2712139</v>
      </c>
      <c r="I263" s="16">
        <v>1726546</v>
      </c>
      <c r="J263" s="16">
        <v>730847</v>
      </c>
      <c r="K263" s="16">
        <v>2095842</v>
      </c>
      <c r="L263" s="16">
        <v>1162949</v>
      </c>
      <c r="M263" s="16">
        <v>616297</v>
      </c>
      <c r="N263" s="16">
        <v>39535</v>
      </c>
      <c r="O263">
        <v>0</v>
      </c>
      <c r="P263">
        <v>25</v>
      </c>
      <c r="Q263" s="20">
        <v>0.63659937783424814</v>
      </c>
      <c r="R263" s="21">
        <v>6.4149265694949026E-2</v>
      </c>
    </row>
    <row r="264" spans="1:18">
      <c r="A264" t="s">
        <v>533</v>
      </c>
      <c r="B264" t="s">
        <v>74</v>
      </c>
      <c r="C264" t="s">
        <v>104</v>
      </c>
      <c r="D264">
        <v>2</v>
      </c>
      <c r="E264" t="s">
        <v>132</v>
      </c>
      <c r="F264" t="s">
        <v>205</v>
      </c>
      <c r="G264" t="s">
        <v>206</v>
      </c>
      <c r="H264" s="16">
        <v>2709123</v>
      </c>
      <c r="I264" s="16">
        <v>2112291</v>
      </c>
      <c r="J264" s="16">
        <v>58893</v>
      </c>
      <c r="K264" s="16">
        <v>2436185</v>
      </c>
      <c r="L264" s="16">
        <v>1538624</v>
      </c>
      <c r="M264" s="16">
        <v>272937</v>
      </c>
      <c r="N264" s="16">
        <v>-20418</v>
      </c>
      <c r="O264">
        <v>0</v>
      </c>
      <c r="P264">
        <v>58</v>
      </c>
      <c r="Q264" s="20">
        <v>0.77969549555335804</v>
      </c>
      <c r="R264" s="21">
        <v>-7.480847228481298E-2</v>
      </c>
    </row>
    <row r="265" spans="1:18">
      <c r="A265" t="s">
        <v>534</v>
      </c>
      <c r="B265" t="s">
        <v>74</v>
      </c>
      <c r="C265" t="s">
        <v>101</v>
      </c>
      <c r="D265">
        <v>2</v>
      </c>
      <c r="E265" t="s">
        <v>132</v>
      </c>
      <c r="F265" t="s">
        <v>535</v>
      </c>
      <c r="G265" t="s">
        <v>134</v>
      </c>
      <c r="H265" s="16">
        <v>2699917</v>
      </c>
      <c r="I265" s="16">
        <v>1228232</v>
      </c>
      <c r="J265" s="16">
        <v>567867</v>
      </c>
      <c r="K265" s="16">
        <v>2252595</v>
      </c>
      <c r="L265" s="16">
        <v>2086202</v>
      </c>
      <c r="M265" s="16">
        <v>447322</v>
      </c>
      <c r="N265" s="16">
        <v>27160</v>
      </c>
      <c r="O265">
        <v>0</v>
      </c>
      <c r="P265">
        <v>12</v>
      </c>
      <c r="Q265" s="20">
        <v>0.45491472515636594</v>
      </c>
      <c r="R265" s="21">
        <v>6.071688850537197E-2</v>
      </c>
    </row>
    <row r="266" spans="1:18">
      <c r="A266" t="s">
        <v>536</v>
      </c>
      <c r="B266" t="s">
        <v>74</v>
      </c>
      <c r="C266" t="s">
        <v>101</v>
      </c>
      <c r="D266">
        <v>2</v>
      </c>
      <c r="E266" t="s">
        <v>132</v>
      </c>
      <c r="F266" t="s">
        <v>537</v>
      </c>
      <c r="G266" t="s">
        <v>153</v>
      </c>
      <c r="H266" s="16">
        <v>2687885</v>
      </c>
      <c r="I266" s="16">
        <v>1032474</v>
      </c>
      <c r="J266" s="16">
        <v>1410801</v>
      </c>
      <c r="K266" s="16">
        <v>1953115</v>
      </c>
      <c r="L266" s="16">
        <v>1439093</v>
      </c>
      <c r="M266" s="16">
        <v>734770</v>
      </c>
      <c r="N266" s="16">
        <v>87876</v>
      </c>
      <c r="O266">
        <v>0</v>
      </c>
      <c r="P266">
        <v>16</v>
      </c>
      <c r="Q266" s="20">
        <v>0.38412134447716328</v>
      </c>
      <c r="R266" s="21">
        <v>0.11959660846251208</v>
      </c>
    </row>
    <row r="267" spans="1:18">
      <c r="A267" t="s">
        <v>538</v>
      </c>
      <c r="B267" t="s">
        <v>74</v>
      </c>
      <c r="C267" t="s">
        <v>104</v>
      </c>
      <c r="D267">
        <v>2</v>
      </c>
      <c r="E267" t="s">
        <v>132</v>
      </c>
      <c r="F267" t="s">
        <v>426</v>
      </c>
      <c r="G267" t="s">
        <v>206</v>
      </c>
      <c r="H267" s="16">
        <v>2683747</v>
      </c>
      <c r="I267" s="16">
        <v>1477434</v>
      </c>
      <c r="J267" s="16">
        <v>152665</v>
      </c>
      <c r="K267" s="16">
        <v>2229397</v>
      </c>
      <c r="L267" s="16">
        <v>2177736</v>
      </c>
      <c r="M267" s="16">
        <v>454350</v>
      </c>
      <c r="N267" s="16">
        <v>50795</v>
      </c>
      <c r="O267">
        <v>0</v>
      </c>
      <c r="P267">
        <v>5</v>
      </c>
      <c r="Q267" s="20">
        <v>0.55051165404190483</v>
      </c>
      <c r="R267" s="21">
        <v>0.11179707274127874</v>
      </c>
    </row>
    <row r="268" spans="1:18">
      <c r="A268" t="s">
        <v>539</v>
      </c>
      <c r="B268" t="s">
        <v>71</v>
      </c>
      <c r="C268" t="s">
        <v>101</v>
      </c>
      <c r="D268">
        <v>2</v>
      </c>
      <c r="E268" t="s">
        <v>132</v>
      </c>
      <c r="F268" t="s">
        <v>540</v>
      </c>
      <c r="G268" t="s">
        <v>153</v>
      </c>
      <c r="H268" s="16">
        <v>2683741</v>
      </c>
      <c r="I268" s="16">
        <v>1855948</v>
      </c>
      <c r="J268" s="16">
        <v>691465</v>
      </c>
      <c r="K268" s="16">
        <v>2313489</v>
      </c>
      <c r="L268" s="16">
        <v>2283402</v>
      </c>
      <c r="M268" s="16">
        <v>370253</v>
      </c>
      <c r="N268" s="16">
        <v>2800</v>
      </c>
      <c r="O268">
        <v>2</v>
      </c>
      <c r="P268">
        <v>0</v>
      </c>
      <c r="Q268" s="20">
        <v>0.69155257530439784</v>
      </c>
      <c r="R268" s="21">
        <v>7.5623965234582835E-3</v>
      </c>
    </row>
    <row r="269" spans="1:18">
      <c r="A269" t="s">
        <v>541</v>
      </c>
      <c r="B269" t="s">
        <v>74</v>
      </c>
      <c r="C269" t="s">
        <v>104</v>
      </c>
      <c r="D269">
        <v>2</v>
      </c>
      <c r="E269" t="s">
        <v>132</v>
      </c>
      <c r="F269" t="s">
        <v>542</v>
      </c>
      <c r="G269" t="s">
        <v>206</v>
      </c>
      <c r="H269" s="16">
        <v>2644860</v>
      </c>
      <c r="I269" s="16">
        <v>1667503</v>
      </c>
      <c r="J269" s="16">
        <v>24872</v>
      </c>
      <c r="K269" s="16">
        <v>2229886</v>
      </c>
      <c r="L269" s="16">
        <v>1565678</v>
      </c>
      <c r="M269" s="16">
        <v>414974</v>
      </c>
      <c r="N269" s="16">
        <v>43121</v>
      </c>
      <c r="O269">
        <v>0</v>
      </c>
      <c r="P269">
        <v>51</v>
      </c>
      <c r="Q269" s="20">
        <v>0.63046928759934362</v>
      </c>
      <c r="R269" s="21">
        <v>0.10391253427925605</v>
      </c>
    </row>
    <row r="270" spans="1:18">
      <c r="A270" t="s">
        <v>543</v>
      </c>
      <c r="B270" t="s">
        <v>89</v>
      </c>
      <c r="C270" t="s">
        <v>162</v>
      </c>
      <c r="D270">
        <v>2</v>
      </c>
      <c r="E270" t="s">
        <v>132</v>
      </c>
      <c r="F270" t="s">
        <v>163</v>
      </c>
      <c r="G270" t="s">
        <v>134</v>
      </c>
      <c r="H270" s="16">
        <v>2609955</v>
      </c>
      <c r="I270" s="16">
        <v>28813</v>
      </c>
      <c r="J270" s="16">
        <v>121960</v>
      </c>
      <c r="K270" s="16">
        <v>2403804</v>
      </c>
      <c r="L270" s="16">
        <v>1997771</v>
      </c>
      <c r="M270" s="16">
        <v>206151</v>
      </c>
      <c r="N270" s="16">
        <v>5611</v>
      </c>
      <c r="O270">
        <v>1</v>
      </c>
      <c r="P270">
        <v>0</v>
      </c>
      <c r="Q270" s="20">
        <v>1.1039653940393608E-2</v>
      </c>
      <c r="R270" s="21">
        <v>2.7217913083128386E-2</v>
      </c>
    </row>
    <row r="271" spans="1:18">
      <c r="A271" t="s">
        <v>544</v>
      </c>
      <c r="B271" t="s">
        <v>68</v>
      </c>
      <c r="C271" t="s">
        <v>101</v>
      </c>
      <c r="D271">
        <v>2</v>
      </c>
      <c r="E271" t="s">
        <v>132</v>
      </c>
      <c r="F271" t="s">
        <v>210</v>
      </c>
      <c r="G271" t="s">
        <v>211</v>
      </c>
      <c r="H271" s="16">
        <v>2589248</v>
      </c>
      <c r="I271" s="16">
        <v>2113637</v>
      </c>
      <c r="J271" s="16">
        <v>156700</v>
      </c>
      <c r="K271" s="16">
        <v>2368458</v>
      </c>
      <c r="L271" s="16">
        <v>2226374</v>
      </c>
      <c r="M271" s="16">
        <v>220790</v>
      </c>
      <c r="N271" s="16">
        <v>29995</v>
      </c>
      <c r="O271">
        <v>4</v>
      </c>
      <c r="P271">
        <v>0</v>
      </c>
      <c r="Q271" s="20">
        <v>0.81631307622908278</v>
      </c>
      <c r="R271" s="21">
        <v>0.13585307305584493</v>
      </c>
    </row>
    <row r="272" spans="1:18">
      <c r="A272" t="s">
        <v>545</v>
      </c>
      <c r="B272" t="s">
        <v>74</v>
      </c>
      <c r="C272" t="s">
        <v>104</v>
      </c>
      <c r="D272">
        <v>2</v>
      </c>
      <c r="E272" t="s">
        <v>132</v>
      </c>
      <c r="F272" t="s">
        <v>546</v>
      </c>
      <c r="G272" t="s">
        <v>206</v>
      </c>
      <c r="H272" s="16">
        <v>2582546</v>
      </c>
      <c r="I272" s="16">
        <v>1456062</v>
      </c>
      <c r="J272" s="16">
        <v>47444</v>
      </c>
      <c r="K272" s="16">
        <v>2276988</v>
      </c>
      <c r="L272" s="16">
        <v>1775019</v>
      </c>
      <c r="M272" s="16">
        <v>305558</v>
      </c>
      <c r="N272" s="16">
        <v>32759</v>
      </c>
      <c r="O272">
        <v>0</v>
      </c>
      <c r="P272">
        <v>17</v>
      </c>
      <c r="Q272" s="20">
        <v>0.56380873757911765</v>
      </c>
      <c r="R272" s="21">
        <v>0.10721041504395237</v>
      </c>
    </row>
    <row r="273" spans="1:18">
      <c r="A273" t="s">
        <v>547</v>
      </c>
      <c r="B273" t="s">
        <v>74</v>
      </c>
      <c r="C273" t="s">
        <v>104</v>
      </c>
      <c r="D273">
        <v>2</v>
      </c>
      <c r="E273" t="s">
        <v>132</v>
      </c>
      <c r="F273" t="s">
        <v>548</v>
      </c>
      <c r="G273" t="s">
        <v>169</v>
      </c>
      <c r="H273" s="16">
        <v>2581413</v>
      </c>
      <c r="I273" s="16">
        <v>1006062</v>
      </c>
      <c r="J273" s="16">
        <v>33971</v>
      </c>
      <c r="K273" s="16">
        <v>2275400</v>
      </c>
      <c r="L273" s="16">
        <v>2218641</v>
      </c>
      <c r="M273" s="16">
        <v>306013</v>
      </c>
      <c r="N273" s="16">
        <v>28714</v>
      </c>
      <c r="O273">
        <v>0</v>
      </c>
      <c r="P273">
        <v>30</v>
      </c>
      <c r="Q273" s="20">
        <v>0.38973306479823261</v>
      </c>
      <c r="R273" s="21">
        <v>9.3832614954266647E-2</v>
      </c>
    </row>
    <row r="274" spans="1:18">
      <c r="A274" t="s">
        <v>549</v>
      </c>
      <c r="B274" t="s">
        <v>74</v>
      </c>
      <c r="C274" t="s">
        <v>104</v>
      </c>
      <c r="D274">
        <v>2</v>
      </c>
      <c r="E274" t="s">
        <v>132</v>
      </c>
      <c r="F274" t="s">
        <v>550</v>
      </c>
      <c r="G274" t="s">
        <v>191</v>
      </c>
      <c r="H274" s="16">
        <v>2565709</v>
      </c>
      <c r="I274" s="16">
        <v>852440</v>
      </c>
      <c r="J274" s="16">
        <v>245472</v>
      </c>
      <c r="K274" s="16">
        <v>2252233</v>
      </c>
      <c r="L274" s="16">
        <v>2101242</v>
      </c>
      <c r="M274" s="16">
        <v>313476</v>
      </c>
      <c r="N274" s="16">
        <v>33701</v>
      </c>
      <c r="O274">
        <v>0</v>
      </c>
      <c r="P274">
        <v>18</v>
      </c>
      <c r="Q274" s="20">
        <v>0.33224344615854723</v>
      </c>
      <c r="R274" s="21">
        <v>0.10750743278592301</v>
      </c>
    </row>
    <row r="275" spans="1:18">
      <c r="A275" t="s">
        <v>551</v>
      </c>
      <c r="B275" t="s">
        <v>86</v>
      </c>
      <c r="C275" t="s">
        <v>101</v>
      </c>
      <c r="D275">
        <v>3</v>
      </c>
      <c r="E275" t="s">
        <v>143</v>
      </c>
      <c r="F275" t="s">
        <v>133</v>
      </c>
      <c r="G275" t="s">
        <v>134</v>
      </c>
      <c r="H275" s="16">
        <v>2556127</v>
      </c>
      <c r="I275" s="16">
        <v>0</v>
      </c>
      <c r="J275" s="16">
        <v>0</v>
      </c>
      <c r="K275" s="16">
        <v>1523948</v>
      </c>
      <c r="L275" s="16">
        <v>844082</v>
      </c>
      <c r="M275" s="16">
        <v>1032179</v>
      </c>
      <c r="N275" s="16">
        <v>110535</v>
      </c>
      <c r="O275">
        <v>2</v>
      </c>
      <c r="P275">
        <v>0</v>
      </c>
      <c r="Q275" s="20">
        <v>0</v>
      </c>
      <c r="R275" s="21">
        <v>0.10708898359683737</v>
      </c>
    </row>
    <row r="276" spans="1:18">
      <c r="A276" t="s">
        <v>552</v>
      </c>
      <c r="B276" t="s">
        <v>89</v>
      </c>
      <c r="C276" t="s">
        <v>101</v>
      </c>
      <c r="D276">
        <v>2</v>
      </c>
      <c r="E276" t="s">
        <v>132</v>
      </c>
      <c r="F276" t="s">
        <v>553</v>
      </c>
      <c r="G276" t="s">
        <v>169</v>
      </c>
      <c r="H276" s="16">
        <v>2550498</v>
      </c>
      <c r="I276" s="16">
        <v>1820620</v>
      </c>
      <c r="J276" s="16">
        <v>163929</v>
      </c>
      <c r="K276" s="16">
        <v>2536690</v>
      </c>
      <c r="L276" s="16">
        <v>11306</v>
      </c>
      <c r="M276" s="16">
        <v>13808</v>
      </c>
      <c r="N276" s="16">
        <v>2751</v>
      </c>
      <c r="O276">
        <v>1</v>
      </c>
      <c r="P276">
        <v>0</v>
      </c>
      <c r="Q276" s="20">
        <v>0.71382922080315292</v>
      </c>
      <c r="R276" s="21">
        <v>0.19923232908458866</v>
      </c>
    </row>
    <row r="277" spans="1:18">
      <c r="A277" t="s">
        <v>554</v>
      </c>
      <c r="B277" t="s">
        <v>77</v>
      </c>
      <c r="C277" t="s">
        <v>101</v>
      </c>
      <c r="D277">
        <v>2</v>
      </c>
      <c r="E277" t="s">
        <v>132</v>
      </c>
      <c r="F277" t="s">
        <v>555</v>
      </c>
      <c r="G277" t="s">
        <v>250</v>
      </c>
      <c r="H277" s="16">
        <v>2547146</v>
      </c>
      <c r="I277" s="16">
        <v>0</v>
      </c>
      <c r="J277" s="16">
        <v>1076493</v>
      </c>
      <c r="K277" s="16">
        <v>2392156</v>
      </c>
      <c r="L277" s="16">
        <v>114</v>
      </c>
      <c r="M277" s="16">
        <v>154990</v>
      </c>
      <c r="N277" s="16">
        <v>7</v>
      </c>
      <c r="O277">
        <v>0</v>
      </c>
      <c r="P277">
        <v>2</v>
      </c>
      <c r="Q277" s="20">
        <v>0</v>
      </c>
      <c r="R277" s="21">
        <v>4.5164204142202725E-5</v>
      </c>
    </row>
    <row r="278" spans="1:18">
      <c r="A278" t="s">
        <v>556</v>
      </c>
      <c r="B278" t="s">
        <v>74</v>
      </c>
      <c r="C278" t="s">
        <v>104</v>
      </c>
      <c r="D278">
        <v>2</v>
      </c>
      <c r="E278" t="s">
        <v>132</v>
      </c>
      <c r="F278" t="s">
        <v>557</v>
      </c>
      <c r="G278" t="s">
        <v>169</v>
      </c>
      <c r="H278" s="16">
        <v>2545639</v>
      </c>
      <c r="I278" s="16">
        <v>1156977</v>
      </c>
      <c r="J278" s="16">
        <v>140122</v>
      </c>
      <c r="K278" s="16">
        <v>2297964</v>
      </c>
      <c r="L278" s="16">
        <v>1961793</v>
      </c>
      <c r="M278" s="16">
        <v>247675</v>
      </c>
      <c r="N278" s="16">
        <v>24925</v>
      </c>
      <c r="O278">
        <v>0</v>
      </c>
      <c r="P278">
        <v>39</v>
      </c>
      <c r="Q278" s="20">
        <v>0.45449374400690751</v>
      </c>
      <c r="R278" s="21">
        <v>0.10063591400020187</v>
      </c>
    </row>
    <row r="279" spans="1:18">
      <c r="A279" t="s">
        <v>558</v>
      </c>
      <c r="B279" t="s">
        <v>74</v>
      </c>
      <c r="C279" t="s">
        <v>101</v>
      </c>
      <c r="D279">
        <v>2</v>
      </c>
      <c r="E279" t="s">
        <v>132</v>
      </c>
      <c r="F279" t="s">
        <v>559</v>
      </c>
      <c r="G279" t="s">
        <v>134</v>
      </c>
      <c r="H279" s="16">
        <v>2532712</v>
      </c>
      <c r="I279" s="16">
        <v>1240905</v>
      </c>
      <c r="J279" s="16">
        <v>1052135</v>
      </c>
      <c r="K279" s="16">
        <v>2333190</v>
      </c>
      <c r="L279" s="16">
        <v>1879980</v>
      </c>
      <c r="M279" s="16">
        <v>199521</v>
      </c>
      <c r="N279" s="16">
        <v>12411</v>
      </c>
      <c r="O279">
        <v>0</v>
      </c>
      <c r="P279">
        <v>27</v>
      </c>
      <c r="Q279" s="20">
        <v>0.48995108800368931</v>
      </c>
      <c r="R279" s="21">
        <v>6.220397852857594E-2</v>
      </c>
    </row>
    <row r="280" spans="1:18">
      <c r="A280" t="s">
        <v>560</v>
      </c>
      <c r="B280" t="s">
        <v>74</v>
      </c>
      <c r="C280" t="s">
        <v>101</v>
      </c>
      <c r="D280">
        <v>2</v>
      </c>
      <c r="E280" t="s">
        <v>132</v>
      </c>
      <c r="F280" t="s">
        <v>561</v>
      </c>
      <c r="G280" t="s">
        <v>211</v>
      </c>
      <c r="H280" s="16">
        <v>2527552</v>
      </c>
      <c r="I280" s="16">
        <v>1272254</v>
      </c>
      <c r="J280" s="16">
        <v>1018048</v>
      </c>
      <c r="K280" s="16">
        <v>2249685</v>
      </c>
      <c r="L280" s="16">
        <v>1607688</v>
      </c>
      <c r="M280" s="16">
        <v>277867</v>
      </c>
      <c r="N280" s="16">
        <v>21764</v>
      </c>
      <c r="O280">
        <v>0</v>
      </c>
      <c r="P280">
        <v>32</v>
      </c>
      <c r="Q280" s="20">
        <v>0.50335423366166154</v>
      </c>
      <c r="R280" s="21">
        <v>7.8325241932291345E-2</v>
      </c>
    </row>
    <row r="281" spans="1:18">
      <c r="A281" t="s">
        <v>562</v>
      </c>
      <c r="B281" t="s">
        <v>89</v>
      </c>
      <c r="C281" t="s">
        <v>162</v>
      </c>
      <c r="D281">
        <v>2</v>
      </c>
      <c r="E281" t="s">
        <v>132</v>
      </c>
      <c r="F281" t="s">
        <v>133</v>
      </c>
      <c r="G281" t="s">
        <v>134</v>
      </c>
      <c r="H281" s="16">
        <v>2526252</v>
      </c>
      <c r="I281" s="16">
        <v>42895</v>
      </c>
      <c r="J281" s="16">
        <v>795215</v>
      </c>
      <c r="K281" s="16">
        <v>2309334</v>
      </c>
      <c r="L281" s="16">
        <v>2057307</v>
      </c>
      <c r="M281" s="16">
        <v>216918</v>
      </c>
      <c r="N281" s="16">
        <v>-10480</v>
      </c>
      <c r="O281">
        <v>1</v>
      </c>
      <c r="P281">
        <v>0</v>
      </c>
      <c r="Q281" s="20">
        <v>1.6979699570747495E-2</v>
      </c>
      <c r="R281" s="21">
        <v>-4.8313187471763525E-2</v>
      </c>
    </row>
    <row r="282" spans="1:18">
      <c r="A282" t="s">
        <v>563</v>
      </c>
      <c r="B282" t="s">
        <v>74</v>
      </c>
      <c r="C282" t="s">
        <v>104</v>
      </c>
      <c r="D282">
        <v>2</v>
      </c>
      <c r="E282" t="s">
        <v>132</v>
      </c>
      <c r="F282" t="s">
        <v>555</v>
      </c>
      <c r="G282" t="s">
        <v>250</v>
      </c>
      <c r="H282" s="16">
        <v>2513608</v>
      </c>
      <c r="I282" s="16">
        <v>1473829</v>
      </c>
      <c r="J282" s="16">
        <v>48762</v>
      </c>
      <c r="K282" s="16">
        <v>2197581</v>
      </c>
      <c r="L282" s="16">
        <v>1956777</v>
      </c>
      <c r="M282" s="16">
        <v>316027</v>
      </c>
      <c r="N282" s="16">
        <v>49074</v>
      </c>
      <c r="O282">
        <v>0</v>
      </c>
      <c r="P282">
        <v>17</v>
      </c>
      <c r="Q282" s="20">
        <v>0.58634003392732681</v>
      </c>
      <c r="R282" s="21">
        <v>0.15528420040059868</v>
      </c>
    </row>
    <row r="283" spans="1:18">
      <c r="A283" t="s">
        <v>564</v>
      </c>
      <c r="B283" t="s">
        <v>74</v>
      </c>
      <c r="C283" t="s">
        <v>104</v>
      </c>
      <c r="D283">
        <v>2</v>
      </c>
      <c r="E283" t="s">
        <v>132</v>
      </c>
      <c r="F283" t="s">
        <v>565</v>
      </c>
      <c r="G283" t="s">
        <v>169</v>
      </c>
      <c r="H283" s="16">
        <v>2504298</v>
      </c>
      <c r="I283" s="16">
        <v>1240718</v>
      </c>
      <c r="J283" s="16">
        <v>70894</v>
      </c>
      <c r="K283" s="16">
        <v>2048043</v>
      </c>
      <c r="L283" s="16">
        <v>1671013</v>
      </c>
      <c r="M283" s="16">
        <v>456255</v>
      </c>
      <c r="N283" s="16">
        <v>62457</v>
      </c>
      <c r="O283">
        <v>0</v>
      </c>
      <c r="P283">
        <v>21</v>
      </c>
      <c r="Q283" s="20">
        <v>0.49543544737886624</v>
      </c>
      <c r="R283" s="21">
        <v>0.13689055462405891</v>
      </c>
    </row>
    <row r="284" spans="1:18">
      <c r="A284" t="s">
        <v>566</v>
      </c>
      <c r="B284" t="s">
        <v>74</v>
      </c>
      <c r="C284" t="s">
        <v>104</v>
      </c>
      <c r="D284">
        <v>2</v>
      </c>
      <c r="E284" t="s">
        <v>132</v>
      </c>
      <c r="F284" t="s">
        <v>231</v>
      </c>
      <c r="G284" t="s">
        <v>211</v>
      </c>
      <c r="H284" s="16">
        <v>2500478</v>
      </c>
      <c r="I284" s="16">
        <v>1874468</v>
      </c>
      <c r="J284" s="16">
        <v>31799</v>
      </c>
      <c r="K284" s="16">
        <v>2216045</v>
      </c>
      <c r="L284" s="16">
        <v>1465486</v>
      </c>
      <c r="M284" s="16">
        <v>284432</v>
      </c>
      <c r="N284" s="16">
        <v>17762</v>
      </c>
      <c r="O284">
        <v>0</v>
      </c>
      <c r="P284">
        <v>31</v>
      </c>
      <c r="Q284" s="20">
        <v>0.74964386809242078</v>
      </c>
      <c r="R284" s="21">
        <v>6.2447263317770153E-2</v>
      </c>
    </row>
    <row r="285" spans="1:18">
      <c r="A285" t="s">
        <v>567</v>
      </c>
      <c r="B285" t="s">
        <v>74</v>
      </c>
      <c r="C285" t="s">
        <v>101</v>
      </c>
      <c r="D285">
        <v>2</v>
      </c>
      <c r="E285" t="s">
        <v>132</v>
      </c>
      <c r="F285" t="s">
        <v>568</v>
      </c>
      <c r="G285" t="s">
        <v>569</v>
      </c>
      <c r="H285" s="16">
        <v>2470718</v>
      </c>
      <c r="I285" s="16">
        <v>1338222</v>
      </c>
      <c r="J285" s="16">
        <v>876931</v>
      </c>
      <c r="K285" s="16">
        <v>2086388</v>
      </c>
      <c r="L285" s="16">
        <v>1760768</v>
      </c>
      <c r="M285" s="16">
        <v>384330</v>
      </c>
      <c r="N285" s="16">
        <v>25852</v>
      </c>
      <c r="O285">
        <v>0</v>
      </c>
      <c r="P285">
        <v>26</v>
      </c>
      <c r="Q285" s="20">
        <v>0.54163283709431831</v>
      </c>
      <c r="R285" s="21">
        <v>6.7265110712148413E-2</v>
      </c>
    </row>
    <row r="286" spans="1:18">
      <c r="A286" t="s">
        <v>570</v>
      </c>
      <c r="B286" t="s">
        <v>74</v>
      </c>
      <c r="C286" t="s">
        <v>101</v>
      </c>
      <c r="D286">
        <v>2</v>
      </c>
      <c r="E286" t="s">
        <v>132</v>
      </c>
      <c r="F286" t="s">
        <v>571</v>
      </c>
      <c r="G286" t="s">
        <v>572</v>
      </c>
      <c r="H286" s="16">
        <v>2470180</v>
      </c>
      <c r="I286" s="16">
        <v>1244845</v>
      </c>
      <c r="J286" s="16">
        <v>978749</v>
      </c>
      <c r="K286" s="16">
        <v>2219218</v>
      </c>
      <c r="L286" s="16">
        <v>1925836</v>
      </c>
      <c r="M286" s="16">
        <v>250962</v>
      </c>
      <c r="N286" s="16">
        <v>30536</v>
      </c>
      <c r="O286">
        <v>0</v>
      </c>
      <c r="P286">
        <v>13</v>
      </c>
      <c r="Q286" s="20">
        <v>0.50394910492352785</v>
      </c>
      <c r="R286" s="21">
        <v>0.12167579155409983</v>
      </c>
    </row>
    <row r="287" spans="1:18">
      <c r="A287" t="s">
        <v>573</v>
      </c>
      <c r="B287" t="s">
        <v>74</v>
      </c>
      <c r="C287" t="s">
        <v>104</v>
      </c>
      <c r="D287">
        <v>2</v>
      </c>
      <c r="E287" t="s">
        <v>132</v>
      </c>
      <c r="F287" t="s">
        <v>274</v>
      </c>
      <c r="G287" t="s">
        <v>206</v>
      </c>
      <c r="H287" s="16">
        <v>2400761</v>
      </c>
      <c r="I287" s="16">
        <v>1472935</v>
      </c>
      <c r="J287" s="16">
        <v>41200</v>
      </c>
      <c r="K287" s="16">
        <v>2151024</v>
      </c>
      <c r="L287" s="16">
        <v>1972144</v>
      </c>
      <c r="M287" s="16">
        <v>249737</v>
      </c>
      <c r="N287" s="16">
        <v>5057</v>
      </c>
      <c r="O287">
        <v>0</v>
      </c>
      <c r="P287">
        <v>21</v>
      </c>
      <c r="Q287" s="20">
        <v>0.61352837704377905</v>
      </c>
      <c r="R287" s="21">
        <v>2.0249302265983815E-2</v>
      </c>
    </row>
    <row r="288" spans="1:18">
      <c r="A288" t="s">
        <v>574</v>
      </c>
      <c r="B288" t="s">
        <v>74</v>
      </c>
      <c r="C288" t="s">
        <v>101</v>
      </c>
      <c r="D288">
        <v>2</v>
      </c>
      <c r="E288" t="s">
        <v>132</v>
      </c>
      <c r="F288" t="s">
        <v>575</v>
      </c>
      <c r="G288" t="s">
        <v>211</v>
      </c>
      <c r="H288" s="16">
        <v>2395591</v>
      </c>
      <c r="I288" s="16">
        <v>939204</v>
      </c>
      <c r="J288" s="16">
        <v>1363712</v>
      </c>
      <c r="K288" s="16">
        <v>2108049</v>
      </c>
      <c r="L288" s="16">
        <v>1581778</v>
      </c>
      <c r="M288" s="16">
        <v>287542</v>
      </c>
      <c r="N288" s="16">
        <v>27251</v>
      </c>
      <c r="O288">
        <v>0</v>
      </c>
      <c r="P288">
        <v>29</v>
      </c>
      <c r="Q288" s="20">
        <v>0.39205523814373988</v>
      </c>
      <c r="R288" s="21">
        <v>9.4772241968129875E-2</v>
      </c>
    </row>
    <row r="289" spans="1:18">
      <c r="A289" t="s">
        <v>576</v>
      </c>
      <c r="B289" t="s">
        <v>74</v>
      </c>
      <c r="C289" t="s">
        <v>104</v>
      </c>
      <c r="D289">
        <v>2</v>
      </c>
      <c r="E289" t="s">
        <v>132</v>
      </c>
      <c r="F289" t="s">
        <v>577</v>
      </c>
      <c r="G289" t="s">
        <v>206</v>
      </c>
      <c r="H289" s="16">
        <v>2386724</v>
      </c>
      <c r="I289" s="16">
        <v>1321009</v>
      </c>
      <c r="J289" s="16">
        <v>32932</v>
      </c>
      <c r="K289" s="16">
        <v>2115838</v>
      </c>
      <c r="L289" s="16">
        <v>1538494</v>
      </c>
      <c r="M289" s="16">
        <v>270886</v>
      </c>
      <c r="N289" s="16">
        <v>18848</v>
      </c>
      <c r="O289">
        <v>0</v>
      </c>
      <c r="P289">
        <v>20</v>
      </c>
      <c r="Q289" s="20">
        <v>0.55348209512285462</v>
      </c>
      <c r="R289" s="21">
        <v>6.9579084928715396E-2</v>
      </c>
    </row>
    <row r="290" spans="1:18">
      <c r="A290" t="s">
        <v>578</v>
      </c>
      <c r="B290" t="s">
        <v>74</v>
      </c>
      <c r="C290" t="s">
        <v>104</v>
      </c>
      <c r="D290">
        <v>2</v>
      </c>
      <c r="E290" t="s">
        <v>132</v>
      </c>
      <c r="F290" t="s">
        <v>463</v>
      </c>
      <c r="G290" t="s">
        <v>211</v>
      </c>
      <c r="H290" s="16">
        <v>2351386</v>
      </c>
      <c r="I290" s="16">
        <v>1390245</v>
      </c>
      <c r="J290" s="16">
        <v>35829</v>
      </c>
      <c r="K290" s="16">
        <v>2072730</v>
      </c>
      <c r="L290" s="16">
        <v>1819690</v>
      </c>
      <c r="M290" s="16">
        <v>278656</v>
      </c>
      <c r="N290" s="16">
        <v>16574</v>
      </c>
      <c r="O290">
        <v>0</v>
      </c>
      <c r="P290">
        <v>33</v>
      </c>
      <c r="Q290" s="20">
        <v>0.59124490832215548</v>
      </c>
      <c r="R290" s="21">
        <v>5.947835323840147E-2</v>
      </c>
    </row>
    <row r="291" spans="1:18">
      <c r="A291" t="s">
        <v>579</v>
      </c>
      <c r="B291" t="s">
        <v>74</v>
      </c>
      <c r="C291" t="s">
        <v>104</v>
      </c>
      <c r="D291">
        <v>2</v>
      </c>
      <c r="E291" t="s">
        <v>132</v>
      </c>
      <c r="F291" t="s">
        <v>580</v>
      </c>
      <c r="G291" t="s">
        <v>169</v>
      </c>
      <c r="H291" s="16">
        <v>2341529</v>
      </c>
      <c r="I291" s="16">
        <v>1060266</v>
      </c>
      <c r="J291" s="16">
        <v>34400</v>
      </c>
      <c r="K291" s="16">
        <v>2027118</v>
      </c>
      <c r="L291" s="16">
        <v>1931440</v>
      </c>
      <c r="M291" s="16">
        <v>314411</v>
      </c>
      <c r="N291" s="16">
        <v>28647</v>
      </c>
      <c r="O291">
        <v>0</v>
      </c>
      <c r="P291">
        <v>22</v>
      </c>
      <c r="Q291" s="20">
        <v>0.45280925412412149</v>
      </c>
      <c r="R291" s="21">
        <v>9.1113224410087429E-2</v>
      </c>
    </row>
    <row r="292" spans="1:18">
      <c r="A292" t="s">
        <v>581</v>
      </c>
      <c r="B292" t="s">
        <v>74</v>
      </c>
      <c r="C292" t="s">
        <v>104</v>
      </c>
      <c r="D292">
        <v>2</v>
      </c>
      <c r="E292" t="s">
        <v>132</v>
      </c>
      <c r="F292" t="s">
        <v>582</v>
      </c>
      <c r="G292" t="s">
        <v>206</v>
      </c>
      <c r="H292" s="16">
        <v>2327551</v>
      </c>
      <c r="I292" s="16">
        <v>1092203</v>
      </c>
      <c r="J292" s="16">
        <v>82735</v>
      </c>
      <c r="K292" s="16">
        <v>2029272</v>
      </c>
      <c r="L292" s="16">
        <v>1641386</v>
      </c>
      <c r="M292" s="16">
        <v>298279</v>
      </c>
      <c r="N292" s="16">
        <v>39255</v>
      </c>
      <c r="O292">
        <v>0</v>
      </c>
      <c r="P292">
        <v>17</v>
      </c>
      <c r="Q292" s="20">
        <v>0.46924986820911763</v>
      </c>
      <c r="R292" s="21">
        <v>0.13160497386674891</v>
      </c>
    </row>
    <row r="293" spans="1:18">
      <c r="A293" t="s">
        <v>583</v>
      </c>
      <c r="B293" t="s">
        <v>74</v>
      </c>
      <c r="C293" t="s">
        <v>101</v>
      </c>
      <c r="D293">
        <v>2</v>
      </c>
      <c r="E293" t="s">
        <v>132</v>
      </c>
      <c r="F293" t="s">
        <v>584</v>
      </c>
      <c r="G293" t="s">
        <v>211</v>
      </c>
      <c r="H293" s="16">
        <v>2314818</v>
      </c>
      <c r="I293" s="16">
        <v>1483649</v>
      </c>
      <c r="J293" s="16">
        <v>521534</v>
      </c>
      <c r="K293" s="16">
        <v>2095905</v>
      </c>
      <c r="L293" s="16">
        <v>1174030</v>
      </c>
      <c r="M293" s="16">
        <v>218913</v>
      </c>
      <c r="N293" s="16">
        <v>-11002</v>
      </c>
      <c r="O293">
        <v>0</v>
      </c>
      <c r="P293">
        <v>23</v>
      </c>
      <c r="Q293" s="20">
        <v>0.64093548607277118</v>
      </c>
      <c r="R293" s="21">
        <v>-5.0257408194122777E-2</v>
      </c>
    </row>
    <row r="294" spans="1:18">
      <c r="A294" t="s">
        <v>585</v>
      </c>
      <c r="B294" t="s">
        <v>74</v>
      </c>
      <c r="C294" t="s">
        <v>104</v>
      </c>
      <c r="D294">
        <v>2</v>
      </c>
      <c r="E294" t="s">
        <v>132</v>
      </c>
      <c r="F294" t="s">
        <v>586</v>
      </c>
      <c r="G294" t="s">
        <v>169</v>
      </c>
      <c r="H294" s="16">
        <v>2313137</v>
      </c>
      <c r="I294" s="16">
        <v>1320071</v>
      </c>
      <c r="J294" s="16">
        <v>38127</v>
      </c>
      <c r="K294" s="16">
        <v>1984668</v>
      </c>
      <c r="L294" s="16">
        <v>1870558</v>
      </c>
      <c r="M294" s="16">
        <v>328469</v>
      </c>
      <c r="N294" s="16">
        <v>18195</v>
      </c>
      <c r="O294">
        <v>0</v>
      </c>
      <c r="P294">
        <v>32</v>
      </c>
      <c r="Q294" s="20">
        <v>0.57068431312109913</v>
      </c>
      <c r="R294" s="21">
        <v>5.5393355232913916E-2</v>
      </c>
    </row>
    <row r="295" spans="1:18">
      <c r="A295" t="s">
        <v>587</v>
      </c>
      <c r="B295" t="s">
        <v>89</v>
      </c>
      <c r="C295" t="s">
        <v>104</v>
      </c>
      <c r="D295">
        <v>2</v>
      </c>
      <c r="E295" t="s">
        <v>132</v>
      </c>
      <c r="F295" t="s">
        <v>163</v>
      </c>
      <c r="G295" t="s">
        <v>134</v>
      </c>
      <c r="H295" s="16">
        <v>2308204</v>
      </c>
      <c r="I295" s="16">
        <v>325</v>
      </c>
      <c r="J295" s="16">
        <v>339013</v>
      </c>
      <c r="K295" s="16">
        <v>1802752</v>
      </c>
      <c r="L295" s="16">
        <v>166161</v>
      </c>
      <c r="M295" s="16">
        <v>505452</v>
      </c>
      <c r="N295" s="16">
        <v>18736</v>
      </c>
      <c r="O295">
        <v>1</v>
      </c>
      <c r="P295">
        <v>0</v>
      </c>
      <c r="Q295" s="20">
        <v>1.4080211281151925E-4</v>
      </c>
      <c r="R295" s="21">
        <v>3.7067812571717984E-2</v>
      </c>
    </row>
    <row r="296" spans="1:18">
      <c r="A296" t="s">
        <v>588</v>
      </c>
      <c r="B296" t="s">
        <v>74</v>
      </c>
      <c r="C296" t="s">
        <v>104</v>
      </c>
      <c r="D296">
        <v>2</v>
      </c>
      <c r="E296" t="s">
        <v>132</v>
      </c>
      <c r="F296" t="s">
        <v>589</v>
      </c>
      <c r="G296" t="s">
        <v>206</v>
      </c>
      <c r="H296" s="16">
        <v>2289822</v>
      </c>
      <c r="I296" s="16">
        <v>1424209</v>
      </c>
      <c r="J296" s="16">
        <v>61725</v>
      </c>
      <c r="K296" s="16">
        <v>1975018</v>
      </c>
      <c r="L296" s="16">
        <v>1803113</v>
      </c>
      <c r="M296" s="16">
        <v>314804</v>
      </c>
      <c r="N296" s="16">
        <v>26702</v>
      </c>
      <c r="O296">
        <v>0</v>
      </c>
      <c r="P296">
        <v>30</v>
      </c>
      <c r="Q296" s="20">
        <v>0.62197367306279705</v>
      </c>
      <c r="R296" s="21">
        <v>8.482103149896443E-2</v>
      </c>
    </row>
    <row r="297" spans="1:18">
      <c r="A297" t="s">
        <v>590</v>
      </c>
      <c r="B297" t="s">
        <v>74</v>
      </c>
      <c r="C297" t="s">
        <v>104</v>
      </c>
      <c r="D297">
        <v>2</v>
      </c>
      <c r="E297" t="s">
        <v>132</v>
      </c>
      <c r="F297" t="s">
        <v>301</v>
      </c>
      <c r="G297" t="s">
        <v>153</v>
      </c>
      <c r="H297" s="16">
        <v>2283067</v>
      </c>
      <c r="I297" s="16">
        <v>1608355</v>
      </c>
      <c r="J297" s="16">
        <v>30799</v>
      </c>
      <c r="K297" s="16">
        <v>1979853</v>
      </c>
      <c r="L297" s="16">
        <v>1393677</v>
      </c>
      <c r="M297" s="16">
        <v>303215</v>
      </c>
      <c r="N297" s="16">
        <v>11248</v>
      </c>
      <c r="O297">
        <v>0</v>
      </c>
      <c r="P297">
        <v>33</v>
      </c>
      <c r="Q297" s="20">
        <v>0.7044712222637356</v>
      </c>
      <c r="R297" s="21">
        <v>3.7095790115924343E-2</v>
      </c>
    </row>
    <row r="298" spans="1:18">
      <c r="A298" t="s">
        <v>591</v>
      </c>
      <c r="B298" t="s">
        <v>74</v>
      </c>
      <c r="C298" t="s">
        <v>104</v>
      </c>
      <c r="D298">
        <v>2</v>
      </c>
      <c r="E298" t="s">
        <v>132</v>
      </c>
      <c r="F298" t="s">
        <v>592</v>
      </c>
      <c r="G298" t="s">
        <v>211</v>
      </c>
      <c r="H298" s="16">
        <v>2280870</v>
      </c>
      <c r="I298" s="16">
        <v>1826565</v>
      </c>
      <c r="J298" s="16">
        <v>34231</v>
      </c>
      <c r="K298" s="16">
        <v>1979290</v>
      </c>
      <c r="L298" s="16">
        <v>1221507</v>
      </c>
      <c r="M298" s="16">
        <v>301580</v>
      </c>
      <c r="N298" s="16">
        <v>37591</v>
      </c>
      <c r="O298">
        <v>0</v>
      </c>
      <c r="P298">
        <v>45</v>
      </c>
      <c r="Q298" s="20">
        <v>0.80081942416709417</v>
      </c>
      <c r="R298" s="21">
        <v>0.12464685987134426</v>
      </c>
    </row>
    <row r="299" spans="1:18">
      <c r="A299" t="s">
        <v>593</v>
      </c>
      <c r="B299" t="s">
        <v>77</v>
      </c>
      <c r="C299" t="s">
        <v>101</v>
      </c>
      <c r="D299">
        <v>2</v>
      </c>
      <c r="E299" t="s">
        <v>132</v>
      </c>
      <c r="F299" t="s">
        <v>133</v>
      </c>
      <c r="G299" t="s">
        <v>134</v>
      </c>
      <c r="H299" s="16">
        <v>2256755</v>
      </c>
      <c r="I299" s="16">
        <v>11504</v>
      </c>
      <c r="J299" s="16">
        <v>1499713</v>
      </c>
      <c r="K299" s="16">
        <v>1859368</v>
      </c>
      <c r="L299" s="16">
        <v>1685651</v>
      </c>
      <c r="M299" s="16">
        <v>397387</v>
      </c>
      <c r="N299" s="16">
        <v>28518</v>
      </c>
      <c r="O299">
        <v>0</v>
      </c>
      <c r="P299">
        <v>0</v>
      </c>
      <c r="Q299" s="20">
        <v>5.0975848065031425E-3</v>
      </c>
      <c r="R299" s="21">
        <v>7.1763797003928168E-2</v>
      </c>
    </row>
    <row r="300" spans="1:18">
      <c r="A300" t="s">
        <v>594</v>
      </c>
      <c r="B300" t="s">
        <v>74</v>
      </c>
      <c r="C300" t="s">
        <v>104</v>
      </c>
      <c r="D300">
        <v>2</v>
      </c>
      <c r="E300" t="s">
        <v>132</v>
      </c>
      <c r="F300" t="s">
        <v>595</v>
      </c>
      <c r="G300" t="s">
        <v>153</v>
      </c>
      <c r="H300" s="16">
        <v>2231709</v>
      </c>
      <c r="I300" s="16">
        <v>1632367</v>
      </c>
      <c r="J300" s="16">
        <v>88927</v>
      </c>
      <c r="K300" s="16">
        <v>1917925</v>
      </c>
      <c r="L300" s="16">
        <v>1007012</v>
      </c>
      <c r="M300" s="16">
        <v>313783</v>
      </c>
      <c r="N300" s="16">
        <v>17332</v>
      </c>
      <c r="O300">
        <v>0</v>
      </c>
      <c r="P300">
        <v>37</v>
      </c>
      <c r="Q300" s="20">
        <v>0.73144258503236759</v>
      </c>
      <c r="R300" s="21">
        <v>5.5235624619561927E-2</v>
      </c>
    </row>
    <row r="301" spans="1:18">
      <c r="A301" t="s">
        <v>596</v>
      </c>
      <c r="B301" t="s">
        <v>74</v>
      </c>
      <c r="C301" t="s">
        <v>101</v>
      </c>
      <c r="D301">
        <v>2</v>
      </c>
      <c r="E301" t="s">
        <v>132</v>
      </c>
      <c r="F301" t="s">
        <v>597</v>
      </c>
      <c r="G301" t="s">
        <v>134</v>
      </c>
      <c r="H301" s="16">
        <v>2214149</v>
      </c>
      <c r="I301" s="16">
        <v>782752</v>
      </c>
      <c r="J301" s="16">
        <v>198782</v>
      </c>
      <c r="K301" s="16">
        <v>1956886</v>
      </c>
      <c r="L301" s="16">
        <v>1776842</v>
      </c>
      <c r="M301" s="16">
        <v>257262</v>
      </c>
      <c r="N301" s="16">
        <v>19165</v>
      </c>
      <c r="O301">
        <v>0</v>
      </c>
      <c r="P301">
        <v>26</v>
      </c>
      <c r="Q301" s="20">
        <v>0.35352273040341908</v>
      </c>
      <c r="R301" s="21">
        <v>7.4496039057458927E-2</v>
      </c>
    </row>
    <row r="302" spans="1:18">
      <c r="A302" t="s">
        <v>598</v>
      </c>
      <c r="B302" t="s">
        <v>80</v>
      </c>
      <c r="C302" t="s">
        <v>101</v>
      </c>
      <c r="D302">
        <v>1</v>
      </c>
      <c r="E302" t="s">
        <v>136</v>
      </c>
      <c r="F302" t="s">
        <v>190</v>
      </c>
      <c r="G302" t="s">
        <v>191</v>
      </c>
      <c r="H302" s="16">
        <v>2204638</v>
      </c>
      <c r="I302" s="16">
        <v>651323</v>
      </c>
      <c r="J302" s="16">
        <v>825977</v>
      </c>
      <c r="K302" s="16">
        <v>1601581</v>
      </c>
      <c r="L302" s="16">
        <v>748010</v>
      </c>
      <c r="M302" s="16">
        <v>603057</v>
      </c>
      <c r="N302" s="16">
        <v>8425</v>
      </c>
      <c r="O302">
        <v>2</v>
      </c>
      <c r="P302">
        <v>0</v>
      </c>
      <c r="Q302" s="20">
        <v>0.29543308243802385</v>
      </c>
      <c r="R302" s="21">
        <v>1.3970487035222209E-2</v>
      </c>
    </row>
    <row r="303" spans="1:18">
      <c r="A303" t="s">
        <v>599</v>
      </c>
      <c r="B303" t="s">
        <v>83</v>
      </c>
      <c r="C303" t="s">
        <v>101</v>
      </c>
      <c r="D303">
        <v>1</v>
      </c>
      <c r="E303" t="s">
        <v>136</v>
      </c>
      <c r="F303" t="s">
        <v>205</v>
      </c>
      <c r="G303" t="s">
        <v>206</v>
      </c>
      <c r="H303" s="16">
        <v>2183080</v>
      </c>
      <c r="I303" s="16">
        <v>1582014</v>
      </c>
      <c r="J303" s="16">
        <v>512239</v>
      </c>
      <c r="K303" s="16">
        <v>994503</v>
      </c>
      <c r="L303" s="16">
        <v>848911</v>
      </c>
      <c r="M303" s="16">
        <v>1188577</v>
      </c>
      <c r="N303" s="16">
        <v>41517</v>
      </c>
      <c r="O303">
        <v>2</v>
      </c>
      <c r="P303">
        <v>0</v>
      </c>
      <c r="Q303" s="20">
        <v>0.72467064880810594</v>
      </c>
      <c r="R303" s="21">
        <v>3.4930004534834511E-2</v>
      </c>
    </row>
    <row r="304" spans="1:18">
      <c r="A304" t="s">
        <v>600</v>
      </c>
      <c r="B304" t="s">
        <v>74</v>
      </c>
      <c r="C304" t="s">
        <v>101</v>
      </c>
      <c r="D304">
        <v>2</v>
      </c>
      <c r="E304" t="s">
        <v>132</v>
      </c>
      <c r="F304" t="s">
        <v>601</v>
      </c>
      <c r="G304" t="s">
        <v>153</v>
      </c>
      <c r="H304" s="16">
        <v>2176444</v>
      </c>
      <c r="I304" s="16">
        <v>1313914</v>
      </c>
      <c r="J304" s="16">
        <v>787211</v>
      </c>
      <c r="K304" s="16">
        <v>1726805</v>
      </c>
      <c r="L304" s="16">
        <v>1112519</v>
      </c>
      <c r="M304" s="16">
        <v>449638</v>
      </c>
      <c r="N304" s="16">
        <v>31026</v>
      </c>
      <c r="O304">
        <v>0</v>
      </c>
      <c r="P304">
        <v>29</v>
      </c>
      <c r="Q304" s="20">
        <v>0.60369759111651855</v>
      </c>
      <c r="R304" s="21">
        <v>6.9002175083066816E-2</v>
      </c>
    </row>
    <row r="305" spans="1:18">
      <c r="A305" t="s">
        <v>602</v>
      </c>
      <c r="B305" t="s">
        <v>68</v>
      </c>
      <c r="C305" t="s">
        <v>101</v>
      </c>
      <c r="D305">
        <v>2</v>
      </c>
      <c r="E305" t="s">
        <v>132</v>
      </c>
      <c r="F305" t="s">
        <v>133</v>
      </c>
      <c r="G305" t="s">
        <v>134</v>
      </c>
      <c r="H305" s="16">
        <v>2170003</v>
      </c>
      <c r="I305" s="16">
        <v>1045362</v>
      </c>
      <c r="J305" s="16">
        <v>545564</v>
      </c>
      <c r="K305" s="16">
        <v>2052908</v>
      </c>
      <c r="L305" s="16">
        <v>1839582</v>
      </c>
      <c r="M305" s="16">
        <v>117095</v>
      </c>
      <c r="N305" s="16">
        <v>-27383</v>
      </c>
      <c r="O305">
        <v>2</v>
      </c>
      <c r="P305">
        <v>0</v>
      </c>
      <c r="Q305" s="20">
        <v>0.48173297456270797</v>
      </c>
      <c r="R305" s="21">
        <v>-0.23385285451983431</v>
      </c>
    </row>
    <row r="306" spans="1:18">
      <c r="A306" t="s">
        <v>603</v>
      </c>
      <c r="B306" t="s">
        <v>83</v>
      </c>
      <c r="C306" t="s">
        <v>104</v>
      </c>
      <c r="D306">
        <v>2</v>
      </c>
      <c r="E306" t="s">
        <v>132</v>
      </c>
      <c r="F306" t="s">
        <v>133</v>
      </c>
      <c r="G306" t="s">
        <v>134</v>
      </c>
      <c r="H306" s="16">
        <v>2167801</v>
      </c>
      <c r="I306" s="16">
        <v>147722</v>
      </c>
      <c r="J306" s="16">
        <v>0</v>
      </c>
      <c r="K306" s="16">
        <v>1914518</v>
      </c>
      <c r="L306" s="16">
        <v>1486139</v>
      </c>
      <c r="M306" s="16">
        <v>253284</v>
      </c>
      <c r="N306" s="16">
        <v>21066</v>
      </c>
      <c r="O306">
        <v>4</v>
      </c>
      <c r="P306">
        <v>0</v>
      </c>
      <c r="Q306" s="20">
        <v>6.8143708762935337E-2</v>
      </c>
      <c r="R306" s="21">
        <v>8.3171459705311035E-2</v>
      </c>
    </row>
    <row r="307" spans="1:18">
      <c r="A307" t="s">
        <v>604</v>
      </c>
      <c r="B307" t="s">
        <v>89</v>
      </c>
      <c r="C307" t="s">
        <v>162</v>
      </c>
      <c r="D307">
        <v>2</v>
      </c>
      <c r="E307" t="s">
        <v>132</v>
      </c>
      <c r="F307" t="s">
        <v>210</v>
      </c>
      <c r="G307" t="s">
        <v>211</v>
      </c>
      <c r="H307" s="16">
        <v>2157397</v>
      </c>
      <c r="I307" s="16">
        <v>0</v>
      </c>
      <c r="J307" s="16">
        <v>0</v>
      </c>
      <c r="K307" s="16">
        <v>1996003</v>
      </c>
      <c r="L307" s="16">
        <v>1964375</v>
      </c>
      <c r="M307" s="16">
        <v>161393</v>
      </c>
      <c r="N307" s="16">
        <v>59138</v>
      </c>
      <c r="O307">
        <v>1</v>
      </c>
      <c r="P307">
        <v>0</v>
      </c>
      <c r="Q307" s="20">
        <v>0</v>
      </c>
      <c r="R307" s="21">
        <v>0.36642233554119447</v>
      </c>
    </row>
    <row r="308" spans="1:18">
      <c r="A308" t="s">
        <v>605</v>
      </c>
      <c r="B308" t="s">
        <v>74</v>
      </c>
      <c r="C308" t="s">
        <v>104</v>
      </c>
      <c r="D308">
        <v>2</v>
      </c>
      <c r="E308" t="s">
        <v>132</v>
      </c>
      <c r="F308" t="s">
        <v>606</v>
      </c>
      <c r="G308" t="s">
        <v>206</v>
      </c>
      <c r="H308" s="16">
        <v>2154951</v>
      </c>
      <c r="I308" s="16">
        <v>974601</v>
      </c>
      <c r="J308" s="16">
        <v>47390</v>
      </c>
      <c r="K308" s="16">
        <v>1892976</v>
      </c>
      <c r="L308" s="16">
        <v>1562785</v>
      </c>
      <c r="M308" s="16">
        <v>261975</v>
      </c>
      <c r="N308" s="16">
        <v>28866</v>
      </c>
      <c r="O308">
        <v>0</v>
      </c>
      <c r="P308">
        <v>29</v>
      </c>
      <c r="Q308" s="20">
        <v>0.45226132751974407</v>
      </c>
      <c r="R308" s="21">
        <v>0.11018608645863155</v>
      </c>
    </row>
    <row r="309" spans="1:18">
      <c r="A309" t="s">
        <v>607</v>
      </c>
      <c r="B309" t="s">
        <v>74</v>
      </c>
      <c r="C309" t="s">
        <v>101</v>
      </c>
      <c r="D309">
        <v>2</v>
      </c>
      <c r="E309" t="s">
        <v>132</v>
      </c>
      <c r="F309" t="s">
        <v>608</v>
      </c>
      <c r="G309" t="s">
        <v>134</v>
      </c>
      <c r="H309" s="16">
        <v>2125774</v>
      </c>
      <c r="I309" s="16">
        <v>904589</v>
      </c>
      <c r="J309" s="16">
        <v>71693</v>
      </c>
      <c r="K309" s="16">
        <v>1857684</v>
      </c>
      <c r="L309" s="16">
        <v>1745211</v>
      </c>
      <c r="M309" s="16">
        <v>268090</v>
      </c>
      <c r="N309" s="16">
        <v>16434</v>
      </c>
      <c r="O309">
        <v>0</v>
      </c>
      <c r="P309">
        <v>33</v>
      </c>
      <c r="Q309" s="20">
        <v>0.42553394669423938</v>
      </c>
      <c r="R309" s="21">
        <v>6.1300309597523223E-2</v>
      </c>
    </row>
    <row r="310" spans="1:18">
      <c r="A310" t="s">
        <v>609</v>
      </c>
      <c r="B310" t="s">
        <v>74</v>
      </c>
      <c r="C310" t="s">
        <v>104</v>
      </c>
      <c r="D310">
        <v>2</v>
      </c>
      <c r="E310" t="s">
        <v>132</v>
      </c>
      <c r="F310" t="s">
        <v>374</v>
      </c>
      <c r="G310" t="s">
        <v>153</v>
      </c>
      <c r="H310" s="16">
        <v>2124274</v>
      </c>
      <c r="I310" s="16">
        <v>1147812</v>
      </c>
      <c r="J310" s="16">
        <v>43818</v>
      </c>
      <c r="K310" s="16">
        <v>1882619</v>
      </c>
      <c r="L310" s="16">
        <v>1717917</v>
      </c>
      <c r="M310" s="16">
        <v>241655</v>
      </c>
      <c r="N310" s="16">
        <v>4580</v>
      </c>
      <c r="O310">
        <v>0</v>
      </c>
      <c r="P310">
        <v>29</v>
      </c>
      <c r="Q310" s="20">
        <v>0.54033142617195329</v>
      </c>
      <c r="R310" s="21">
        <v>1.8952639092921726E-2</v>
      </c>
    </row>
    <row r="311" spans="1:18">
      <c r="A311" t="s">
        <v>610</v>
      </c>
      <c r="B311" t="s">
        <v>74</v>
      </c>
      <c r="C311" t="s">
        <v>104</v>
      </c>
      <c r="D311">
        <v>2</v>
      </c>
      <c r="E311" t="s">
        <v>132</v>
      </c>
      <c r="F311" t="s">
        <v>611</v>
      </c>
      <c r="G311" t="s">
        <v>134</v>
      </c>
      <c r="H311" s="16">
        <v>2112327</v>
      </c>
      <c r="I311" s="16">
        <v>1324407</v>
      </c>
      <c r="J311" s="16">
        <v>46547</v>
      </c>
      <c r="K311" s="16">
        <v>1877460</v>
      </c>
      <c r="L311" s="16">
        <v>1800369</v>
      </c>
      <c r="M311" s="16">
        <v>234867</v>
      </c>
      <c r="N311" s="16">
        <v>17951</v>
      </c>
      <c r="O311">
        <v>0</v>
      </c>
      <c r="P311">
        <v>34</v>
      </c>
      <c r="Q311" s="20">
        <v>0.62698957121695642</v>
      </c>
      <c r="R311" s="21">
        <v>7.643049044778534E-2</v>
      </c>
    </row>
    <row r="312" spans="1:18">
      <c r="A312" t="s">
        <v>612</v>
      </c>
      <c r="B312" t="s">
        <v>89</v>
      </c>
      <c r="C312" t="s">
        <v>162</v>
      </c>
      <c r="D312">
        <v>3</v>
      </c>
      <c r="E312" t="s">
        <v>143</v>
      </c>
      <c r="F312" t="s">
        <v>234</v>
      </c>
      <c r="G312" t="s">
        <v>206</v>
      </c>
      <c r="H312" s="16">
        <v>2109510</v>
      </c>
      <c r="I312" s="16">
        <v>0</v>
      </c>
      <c r="J312" s="16">
        <v>191164</v>
      </c>
      <c r="K312" s="16">
        <v>2045068</v>
      </c>
      <c r="L312" s="16">
        <v>124953</v>
      </c>
      <c r="M312" s="16">
        <v>64442</v>
      </c>
      <c r="N312" s="16">
        <v>-35742</v>
      </c>
      <c r="O312">
        <v>1</v>
      </c>
      <c r="P312">
        <v>0</v>
      </c>
      <c r="Q312" s="20">
        <v>0</v>
      </c>
      <c r="R312" s="21">
        <v>-0.55463827938301113</v>
      </c>
    </row>
    <row r="313" spans="1:18">
      <c r="A313" t="s">
        <v>613</v>
      </c>
      <c r="B313" t="s">
        <v>77</v>
      </c>
      <c r="C313" t="s">
        <v>101</v>
      </c>
      <c r="D313">
        <v>2</v>
      </c>
      <c r="E313" t="s">
        <v>132</v>
      </c>
      <c r="F313" t="s">
        <v>210</v>
      </c>
      <c r="G313" t="s">
        <v>211</v>
      </c>
      <c r="H313" s="16">
        <v>2094137</v>
      </c>
      <c r="I313" s="16">
        <v>0</v>
      </c>
      <c r="J313" s="16">
        <v>794279</v>
      </c>
      <c r="K313" s="16">
        <v>169540</v>
      </c>
      <c r="L313" s="16">
        <v>16615</v>
      </c>
      <c r="M313" s="16">
        <v>1924597</v>
      </c>
      <c r="N313" s="16">
        <v>0</v>
      </c>
      <c r="O313">
        <v>0</v>
      </c>
      <c r="P313">
        <v>0</v>
      </c>
      <c r="Q313" s="20">
        <v>0</v>
      </c>
      <c r="R313" s="21">
        <v>0</v>
      </c>
    </row>
    <row r="314" spans="1:18">
      <c r="A314" t="s">
        <v>614</v>
      </c>
      <c r="B314" t="s">
        <v>74</v>
      </c>
      <c r="C314" t="s">
        <v>101</v>
      </c>
      <c r="D314">
        <v>2</v>
      </c>
      <c r="E314" t="s">
        <v>132</v>
      </c>
      <c r="F314" t="s">
        <v>172</v>
      </c>
      <c r="G314" t="s">
        <v>173</v>
      </c>
      <c r="H314" s="16">
        <v>2090920</v>
      </c>
      <c r="I314" s="16">
        <v>698461</v>
      </c>
      <c r="J314" s="16">
        <v>1113732</v>
      </c>
      <c r="K314" s="16">
        <v>1815428</v>
      </c>
      <c r="L314" s="16">
        <v>1553714</v>
      </c>
      <c r="M314" s="16">
        <v>275492</v>
      </c>
      <c r="N314" s="16">
        <v>32069</v>
      </c>
      <c r="O314">
        <v>0</v>
      </c>
      <c r="P314">
        <v>26</v>
      </c>
      <c r="Q314" s="20">
        <v>0.33404482237483979</v>
      </c>
      <c r="R314" s="21">
        <v>0.11640628403002629</v>
      </c>
    </row>
    <row r="315" spans="1:18">
      <c r="A315" t="s">
        <v>615</v>
      </c>
      <c r="B315" t="s">
        <v>77</v>
      </c>
      <c r="C315" t="s">
        <v>101</v>
      </c>
      <c r="D315">
        <v>2</v>
      </c>
      <c r="E315" t="s">
        <v>132</v>
      </c>
      <c r="F315" t="s">
        <v>197</v>
      </c>
      <c r="G315" t="s">
        <v>198</v>
      </c>
      <c r="H315" s="16">
        <v>2085622</v>
      </c>
      <c r="I315" s="16">
        <v>15897</v>
      </c>
      <c r="J315" s="16">
        <v>526181</v>
      </c>
      <c r="K315" s="16">
        <v>1902551</v>
      </c>
      <c r="L315" s="16">
        <v>115098</v>
      </c>
      <c r="M315" s="16">
        <v>183070</v>
      </c>
      <c r="N315" s="16">
        <v>8344</v>
      </c>
      <c r="O315">
        <v>0</v>
      </c>
      <c r="P315">
        <v>0</v>
      </c>
      <c r="Q315" s="20">
        <v>7.6221865707208685E-3</v>
      </c>
      <c r="R315" s="21">
        <v>4.5578194133391599E-2</v>
      </c>
    </row>
    <row r="316" spans="1:18">
      <c r="A316" t="s">
        <v>616</v>
      </c>
      <c r="B316" t="s">
        <v>74</v>
      </c>
      <c r="C316" t="s">
        <v>101</v>
      </c>
      <c r="D316">
        <v>2</v>
      </c>
      <c r="E316" t="s">
        <v>132</v>
      </c>
      <c r="F316" t="s">
        <v>617</v>
      </c>
      <c r="G316" t="s">
        <v>134</v>
      </c>
      <c r="H316" s="16">
        <v>2084882</v>
      </c>
      <c r="I316" s="16">
        <v>800711</v>
      </c>
      <c r="J316" s="16">
        <v>48694</v>
      </c>
      <c r="K316" s="16">
        <v>1790686</v>
      </c>
      <c r="L316" s="16">
        <v>1747783</v>
      </c>
      <c r="M316" s="16">
        <v>294196</v>
      </c>
      <c r="N316" s="16">
        <v>21287</v>
      </c>
      <c r="O316">
        <v>0</v>
      </c>
      <c r="P316">
        <v>36</v>
      </c>
      <c r="Q316" s="20">
        <v>0.38405578828921733</v>
      </c>
      <c r="R316" s="21">
        <v>7.2356524221947272E-2</v>
      </c>
    </row>
    <row r="317" spans="1:18">
      <c r="A317" t="s">
        <v>618</v>
      </c>
      <c r="B317" t="s">
        <v>68</v>
      </c>
      <c r="C317" t="s">
        <v>101</v>
      </c>
      <c r="D317">
        <v>3</v>
      </c>
      <c r="E317" t="s">
        <v>143</v>
      </c>
      <c r="F317" t="s">
        <v>152</v>
      </c>
      <c r="G317" t="s">
        <v>153</v>
      </c>
      <c r="H317" s="16">
        <v>2041569</v>
      </c>
      <c r="I317" s="16">
        <v>99971</v>
      </c>
      <c r="J317" s="16">
        <v>569662</v>
      </c>
      <c r="K317" s="16">
        <v>1761464</v>
      </c>
      <c r="L317" s="16">
        <v>1582068</v>
      </c>
      <c r="M317" s="16">
        <v>280104</v>
      </c>
      <c r="N317" s="16">
        <v>-4355</v>
      </c>
      <c r="O317">
        <v>2</v>
      </c>
      <c r="P317">
        <v>0</v>
      </c>
      <c r="Q317" s="20">
        <v>4.8967730211420729E-2</v>
      </c>
      <c r="R317" s="21">
        <v>-1.554779653271642E-2</v>
      </c>
    </row>
    <row r="318" spans="1:18">
      <c r="A318" t="s">
        <v>619</v>
      </c>
      <c r="B318" t="s">
        <v>74</v>
      </c>
      <c r="C318" t="s">
        <v>104</v>
      </c>
      <c r="D318">
        <v>2</v>
      </c>
      <c r="E318" t="s">
        <v>132</v>
      </c>
      <c r="F318" t="s">
        <v>422</v>
      </c>
      <c r="G318" t="s">
        <v>250</v>
      </c>
      <c r="H318" s="16">
        <v>2020337</v>
      </c>
      <c r="I318" s="16">
        <v>1277414</v>
      </c>
      <c r="J318" s="16">
        <v>43494</v>
      </c>
      <c r="K318" s="16">
        <v>1857732</v>
      </c>
      <c r="L318" s="16">
        <v>1687754</v>
      </c>
      <c r="M318" s="16">
        <v>162605</v>
      </c>
      <c r="N318" s="16">
        <v>-48290</v>
      </c>
      <c r="O318">
        <v>0</v>
      </c>
      <c r="P318">
        <v>9</v>
      </c>
      <c r="Q318" s="20">
        <v>0.6322776843665191</v>
      </c>
      <c r="R318" s="21">
        <v>-0.29697733772024232</v>
      </c>
    </row>
    <row r="319" spans="1:18">
      <c r="A319" t="s">
        <v>620</v>
      </c>
      <c r="B319" t="s">
        <v>83</v>
      </c>
      <c r="C319" t="s">
        <v>101</v>
      </c>
      <c r="D319">
        <v>3</v>
      </c>
      <c r="E319" t="s">
        <v>143</v>
      </c>
      <c r="F319" t="s">
        <v>163</v>
      </c>
      <c r="G319" t="s">
        <v>134</v>
      </c>
      <c r="H319" s="16">
        <v>1988447</v>
      </c>
      <c r="I319" s="16">
        <v>1820850</v>
      </c>
      <c r="J319" s="16">
        <v>0</v>
      </c>
      <c r="K319" s="16">
        <v>701935</v>
      </c>
      <c r="L319" s="16">
        <v>474956</v>
      </c>
      <c r="M319" s="16">
        <v>1286512</v>
      </c>
      <c r="N319" s="16">
        <v>54470</v>
      </c>
      <c r="O319">
        <v>4</v>
      </c>
      <c r="P319">
        <v>0</v>
      </c>
      <c r="Q319" s="20">
        <v>0.91571462553439942</v>
      </c>
      <c r="R319" s="21">
        <v>4.2339286380539007E-2</v>
      </c>
    </row>
    <row r="320" spans="1:18">
      <c r="A320" t="s">
        <v>621</v>
      </c>
      <c r="B320" t="s">
        <v>74</v>
      </c>
      <c r="C320" t="s">
        <v>104</v>
      </c>
      <c r="D320">
        <v>2</v>
      </c>
      <c r="E320" t="s">
        <v>132</v>
      </c>
      <c r="F320" t="s">
        <v>285</v>
      </c>
      <c r="G320" t="s">
        <v>286</v>
      </c>
      <c r="H320" s="16">
        <v>1987950</v>
      </c>
      <c r="I320" s="16">
        <v>1051520</v>
      </c>
      <c r="J320" s="16">
        <v>129461</v>
      </c>
      <c r="K320" s="16">
        <v>1513968</v>
      </c>
      <c r="L320" s="16">
        <v>1324346</v>
      </c>
      <c r="M320" s="16">
        <v>473983</v>
      </c>
      <c r="N320" s="16">
        <v>-4291</v>
      </c>
      <c r="O320">
        <v>0</v>
      </c>
      <c r="P320">
        <v>12</v>
      </c>
      <c r="Q320" s="20">
        <v>0.52894690510324704</v>
      </c>
      <c r="R320" s="21">
        <v>-9.0530673041016238E-3</v>
      </c>
    </row>
    <row r="321" spans="1:18">
      <c r="A321" t="s">
        <v>622</v>
      </c>
      <c r="B321" t="s">
        <v>74</v>
      </c>
      <c r="C321" t="s">
        <v>104</v>
      </c>
      <c r="D321">
        <v>2</v>
      </c>
      <c r="E321" t="s">
        <v>132</v>
      </c>
      <c r="F321" t="s">
        <v>623</v>
      </c>
      <c r="G321" t="s">
        <v>206</v>
      </c>
      <c r="H321" s="16">
        <v>1983926</v>
      </c>
      <c r="I321" s="16">
        <v>1276631</v>
      </c>
      <c r="J321" s="16">
        <v>24275</v>
      </c>
      <c r="K321" s="16">
        <v>1748496</v>
      </c>
      <c r="L321" s="16">
        <v>1562308</v>
      </c>
      <c r="M321" s="16">
        <v>235430</v>
      </c>
      <c r="N321" s="16">
        <v>16104</v>
      </c>
      <c r="O321">
        <v>0</v>
      </c>
      <c r="P321">
        <v>20</v>
      </c>
      <c r="Q321" s="20">
        <v>0.64348720668008785</v>
      </c>
      <c r="R321" s="21">
        <v>6.8402497557660452E-2</v>
      </c>
    </row>
    <row r="322" spans="1:18">
      <c r="A322" t="s">
        <v>624</v>
      </c>
      <c r="B322" t="s">
        <v>74</v>
      </c>
      <c r="C322" t="s">
        <v>104</v>
      </c>
      <c r="D322">
        <v>2</v>
      </c>
      <c r="E322" t="s">
        <v>132</v>
      </c>
      <c r="F322" t="s">
        <v>433</v>
      </c>
      <c r="G322" t="s">
        <v>169</v>
      </c>
      <c r="H322" s="16">
        <v>1950115</v>
      </c>
      <c r="I322" s="16">
        <v>1050789</v>
      </c>
      <c r="J322" s="16">
        <v>27203</v>
      </c>
      <c r="K322" s="16">
        <v>1781924</v>
      </c>
      <c r="L322" s="16">
        <v>1582661</v>
      </c>
      <c r="M322" s="16">
        <v>168191</v>
      </c>
      <c r="N322" s="16">
        <v>10364</v>
      </c>
      <c r="O322">
        <v>0</v>
      </c>
      <c r="P322">
        <v>32</v>
      </c>
      <c r="Q322" s="20">
        <v>0.53883437643421028</v>
      </c>
      <c r="R322" s="21">
        <v>6.162041964195468E-2</v>
      </c>
    </row>
    <row r="323" spans="1:18">
      <c r="A323" t="s">
        <v>625</v>
      </c>
      <c r="B323" t="s">
        <v>74</v>
      </c>
      <c r="C323" t="s">
        <v>104</v>
      </c>
      <c r="D323">
        <v>2</v>
      </c>
      <c r="E323" t="s">
        <v>132</v>
      </c>
      <c r="F323" t="s">
        <v>626</v>
      </c>
      <c r="G323" t="s">
        <v>211</v>
      </c>
      <c r="H323" s="16">
        <v>1931470</v>
      </c>
      <c r="I323" s="16">
        <v>976152</v>
      </c>
      <c r="J323" s="16">
        <v>22857</v>
      </c>
      <c r="K323" s="16">
        <v>1755857</v>
      </c>
      <c r="L323" s="16">
        <v>1438595</v>
      </c>
      <c r="M323" s="16">
        <v>175613</v>
      </c>
      <c r="N323" s="16">
        <v>17017</v>
      </c>
      <c r="O323">
        <v>0</v>
      </c>
      <c r="P323">
        <v>38</v>
      </c>
      <c r="Q323" s="20">
        <v>0.50539330147504236</v>
      </c>
      <c r="R323" s="21">
        <v>9.6900571142227512E-2</v>
      </c>
    </row>
    <row r="324" spans="1:18">
      <c r="A324" t="s">
        <v>627</v>
      </c>
      <c r="B324" t="s">
        <v>74</v>
      </c>
      <c r="C324" t="s">
        <v>101</v>
      </c>
      <c r="D324">
        <v>2</v>
      </c>
      <c r="E324" t="s">
        <v>132</v>
      </c>
      <c r="F324" t="s">
        <v>628</v>
      </c>
      <c r="G324" t="s">
        <v>153</v>
      </c>
      <c r="H324" s="16">
        <v>1920158</v>
      </c>
      <c r="I324" s="16">
        <v>1032279</v>
      </c>
      <c r="J324" s="16">
        <v>761400</v>
      </c>
      <c r="K324" s="16">
        <v>1567765</v>
      </c>
      <c r="L324" s="16">
        <v>1023463</v>
      </c>
      <c r="M324" s="16">
        <v>352393</v>
      </c>
      <c r="N324" s="16">
        <v>27996</v>
      </c>
      <c r="O324">
        <v>0</v>
      </c>
      <c r="P324">
        <v>22</v>
      </c>
      <c r="Q324" s="20">
        <v>0.53760107241174948</v>
      </c>
      <c r="R324" s="21">
        <v>7.9445391934573048E-2</v>
      </c>
    </row>
    <row r="325" spans="1:18">
      <c r="A325" t="s">
        <v>629</v>
      </c>
      <c r="B325" t="s">
        <v>74</v>
      </c>
      <c r="C325" t="s">
        <v>104</v>
      </c>
      <c r="D325">
        <v>2</v>
      </c>
      <c r="E325" t="s">
        <v>132</v>
      </c>
      <c r="F325" t="s">
        <v>630</v>
      </c>
      <c r="G325" t="s">
        <v>405</v>
      </c>
      <c r="H325" s="16">
        <v>1919248</v>
      </c>
      <c r="I325" s="16">
        <v>1101589</v>
      </c>
      <c r="J325" s="16">
        <v>65476</v>
      </c>
      <c r="K325" s="16">
        <v>1576509</v>
      </c>
      <c r="L325" s="16">
        <v>1507797</v>
      </c>
      <c r="M325" s="16">
        <v>342739</v>
      </c>
      <c r="N325" s="16">
        <v>47236</v>
      </c>
      <c r="O325">
        <v>0</v>
      </c>
      <c r="P325">
        <v>12</v>
      </c>
      <c r="Q325" s="20">
        <v>0.57396907538786024</v>
      </c>
      <c r="R325" s="21">
        <v>0.13781915685113161</v>
      </c>
    </row>
    <row r="326" spans="1:18">
      <c r="A326" t="s">
        <v>631</v>
      </c>
      <c r="B326" t="s">
        <v>74</v>
      </c>
      <c r="C326" t="s">
        <v>104</v>
      </c>
      <c r="D326">
        <v>2</v>
      </c>
      <c r="E326" t="s">
        <v>132</v>
      </c>
      <c r="F326" t="s">
        <v>632</v>
      </c>
      <c r="G326" t="s">
        <v>311</v>
      </c>
      <c r="H326" s="16">
        <v>1909871</v>
      </c>
      <c r="I326" s="16">
        <v>1323118</v>
      </c>
      <c r="J326" s="16">
        <v>45500</v>
      </c>
      <c r="K326" s="16">
        <v>1645453</v>
      </c>
      <c r="L326" s="16">
        <v>1348266</v>
      </c>
      <c r="M326" s="16">
        <v>264418</v>
      </c>
      <c r="N326" s="16">
        <v>14542</v>
      </c>
      <c r="O326">
        <v>0</v>
      </c>
      <c r="P326">
        <v>28</v>
      </c>
      <c r="Q326" s="20">
        <v>0.69277872694019649</v>
      </c>
      <c r="R326" s="21">
        <v>5.4996255928113823E-2</v>
      </c>
    </row>
    <row r="327" spans="1:18">
      <c r="A327" t="s">
        <v>633</v>
      </c>
      <c r="B327" t="s">
        <v>83</v>
      </c>
      <c r="C327" t="s">
        <v>101</v>
      </c>
      <c r="D327">
        <v>3</v>
      </c>
      <c r="E327" t="s">
        <v>143</v>
      </c>
      <c r="F327" t="s">
        <v>133</v>
      </c>
      <c r="G327" t="s">
        <v>134</v>
      </c>
      <c r="H327" s="16">
        <v>1884262</v>
      </c>
      <c r="I327" s="16">
        <v>0</v>
      </c>
      <c r="J327" s="16">
        <v>0</v>
      </c>
      <c r="K327" s="16">
        <v>1436895</v>
      </c>
      <c r="L327" s="16">
        <v>1099664</v>
      </c>
      <c r="M327" s="16">
        <v>447366</v>
      </c>
      <c r="N327" s="16">
        <v>32457</v>
      </c>
      <c r="O327">
        <v>2</v>
      </c>
      <c r="P327">
        <v>0</v>
      </c>
      <c r="Q327" s="20">
        <v>0</v>
      </c>
      <c r="R327" s="21">
        <v>7.2551333807218246E-2</v>
      </c>
    </row>
    <row r="328" spans="1:18">
      <c r="A328" t="s">
        <v>634</v>
      </c>
      <c r="B328" t="s">
        <v>83</v>
      </c>
      <c r="C328" t="s">
        <v>101</v>
      </c>
      <c r="D328">
        <v>2</v>
      </c>
      <c r="E328" t="s">
        <v>132</v>
      </c>
      <c r="F328" t="s">
        <v>133</v>
      </c>
      <c r="G328" t="s">
        <v>134</v>
      </c>
      <c r="H328" s="16">
        <v>1880154</v>
      </c>
      <c r="I328" s="16">
        <v>939743</v>
      </c>
      <c r="J328" s="16">
        <v>0</v>
      </c>
      <c r="K328" s="16">
        <v>1716306</v>
      </c>
      <c r="L328" s="16">
        <v>1686875</v>
      </c>
      <c r="M328" s="16">
        <v>163848</v>
      </c>
      <c r="N328" s="16">
        <v>72848</v>
      </c>
      <c r="O328">
        <v>1</v>
      </c>
      <c r="P328">
        <v>0</v>
      </c>
      <c r="Q328" s="20">
        <v>0.49982235497730504</v>
      </c>
      <c r="R328" s="21">
        <v>0.44460719691421319</v>
      </c>
    </row>
    <row r="329" spans="1:18">
      <c r="A329" t="s">
        <v>635</v>
      </c>
      <c r="B329" t="s">
        <v>89</v>
      </c>
      <c r="C329" t="s">
        <v>101</v>
      </c>
      <c r="D329">
        <v>2</v>
      </c>
      <c r="E329" t="s">
        <v>132</v>
      </c>
      <c r="F329" t="s">
        <v>530</v>
      </c>
      <c r="G329" t="s">
        <v>134</v>
      </c>
      <c r="H329" s="16">
        <v>1876614</v>
      </c>
      <c r="I329" s="16">
        <v>797733</v>
      </c>
      <c r="J329" s="16">
        <v>165008</v>
      </c>
      <c r="K329" s="16">
        <v>1738664</v>
      </c>
      <c r="L329" s="16">
        <v>19550</v>
      </c>
      <c r="M329" s="16">
        <v>137950</v>
      </c>
      <c r="N329" s="16">
        <v>-5519</v>
      </c>
      <c r="O329">
        <v>1</v>
      </c>
      <c r="P329">
        <v>0</v>
      </c>
      <c r="Q329" s="20">
        <v>0.42509168108092554</v>
      </c>
      <c r="R329" s="21">
        <v>-4.0007249003262052E-2</v>
      </c>
    </row>
    <row r="330" spans="1:18">
      <c r="A330" t="s">
        <v>636</v>
      </c>
      <c r="B330" t="s">
        <v>74</v>
      </c>
      <c r="C330" t="s">
        <v>104</v>
      </c>
      <c r="D330">
        <v>2</v>
      </c>
      <c r="E330" t="s">
        <v>132</v>
      </c>
      <c r="F330" t="s">
        <v>637</v>
      </c>
      <c r="G330" t="s">
        <v>211</v>
      </c>
      <c r="H330" s="16">
        <v>1858371</v>
      </c>
      <c r="I330" s="16">
        <v>1474932</v>
      </c>
      <c r="J330" s="16">
        <v>29646</v>
      </c>
      <c r="K330" s="16">
        <v>1632797</v>
      </c>
      <c r="L330" s="16">
        <v>959657</v>
      </c>
      <c r="M330" s="16">
        <v>225575</v>
      </c>
      <c r="N330" s="16">
        <v>4150</v>
      </c>
      <c r="O330">
        <v>0</v>
      </c>
      <c r="P330">
        <v>21</v>
      </c>
      <c r="Q330" s="20">
        <v>0.79366929423672672</v>
      </c>
      <c r="R330" s="21">
        <v>1.8397428793084342E-2</v>
      </c>
    </row>
    <row r="331" spans="1:18">
      <c r="A331" t="s">
        <v>638</v>
      </c>
      <c r="B331" t="s">
        <v>68</v>
      </c>
      <c r="C331" t="s">
        <v>101</v>
      </c>
      <c r="D331">
        <v>3</v>
      </c>
      <c r="E331" t="s">
        <v>143</v>
      </c>
      <c r="F331" t="s">
        <v>133</v>
      </c>
      <c r="G331" t="s">
        <v>134</v>
      </c>
      <c r="H331" s="16">
        <v>1856689</v>
      </c>
      <c r="I331" s="16">
        <v>0</v>
      </c>
      <c r="J331" s="16">
        <v>784562</v>
      </c>
      <c r="K331" s="16">
        <v>1129581</v>
      </c>
      <c r="L331" s="16">
        <v>1107638</v>
      </c>
      <c r="M331" s="16">
        <v>727108</v>
      </c>
      <c r="N331" s="16">
        <v>6628</v>
      </c>
      <c r="O331">
        <v>2</v>
      </c>
      <c r="P331">
        <v>0</v>
      </c>
      <c r="Q331" s="20">
        <v>0</v>
      </c>
      <c r="R331" s="21">
        <v>9.1155646753989777E-3</v>
      </c>
    </row>
    <row r="332" spans="1:18">
      <c r="A332" t="s">
        <v>639</v>
      </c>
      <c r="B332" t="s">
        <v>74</v>
      </c>
      <c r="C332" t="s">
        <v>104</v>
      </c>
      <c r="D332">
        <v>2</v>
      </c>
      <c r="E332" t="s">
        <v>132</v>
      </c>
      <c r="F332" t="s">
        <v>185</v>
      </c>
      <c r="G332" t="s">
        <v>134</v>
      </c>
      <c r="H332" s="16">
        <v>1856652</v>
      </c>
      <c r="I332" s="16">
        <v>970657</v>
      </c>
      <c r="J332" s="16">
        <v>40498</v>
      </c>
      <c r="K332" s="16">
        <v>1599120</v>
      </c>
      <c r="L332" s="16">
        <v>1488444</v>
      </c>
      <c r="M332" s="16">
        <v>257532</v>
      </c>
      <c r="N332" s="16">
        <v>14546</v>
      </c>
      <c r="O332">
        <v>0</v>
      </c>
      <c r="P332">
        <v>33</v>
      </c>
      <c r="Q332" s="20">
        <v>0.52279964150524705</v>
      </c>
      <c r="R332" s="21">
        <v>5.6482301228585184E-2</v>
      </c>
    </row>
    <row r="333" spans="1:18">
      <c r="A333" t="s">
        <v>640</v>
      </c>
      <c r="B333" t="s">
        <v>74</v>
      </c>
      <c r="C333" t="s">
        <v>104</v>
      </c>
      <c r="D333">
        <v>2</v>
      </c>
      <c r="E333" t="s">
        <v>132</v>
      </c>
      <c r="F333" t="s">
        <v>540</v>
      </c>
      <c r="G333" t="s">
        <v>153</v>
      </c>
      <c r="H333" s="16">
        <v>1849777</v>
      </c>
      <c r="I333" s="16">
        <v>904650</v>
      </c>
      <c r="J333" s="16">
        <v>36306</v>
      </c>
      <c r="K333" s="16">
        <v>1697403</v>
      </c>
      <c r="L333" s="16">
        <v>1571797</v>
      </c>
      <c r="M333" s="16">
        <v>152374</v>
      </c>
      <c r="N333" s="16">
        <v>-5225</v>
      </c>
      <c r="O333">
        <v>0</v>
      </c>
      <c r="P333">
        <v>21</v>
      </c>
      <c r="Q333" s="20">
        <v>0.4890589514303616</v>
      </c>
      <c r="R333" s="21">
        <v>-3.4290627009857327E-2</v>
      </c>
    </row>
    <row r="334" spans="1:18">
      <c r="A334" t="s">
        <v>641</v>
      </c>
      <c r="B334" t="s">
        <v>68</v>
      </c>
      <c r="C334" t="s">
        <v>101</v>
      </c>
      <c r="D334">
        <v>3</v>
      </c>
      <c r="E334" t="s">
        <v>143</v>
      </c>
      <c r="F334" t="s">
        <v>133</v>
      </c>
      <c r="G334" t="s">
        <v>134</v>
      </c>
      <c r="H334" s="16">
        <v>1848462</v>
      </c>
      <c r="I334" s="16">
        <v>754120</v>
      </c>
      <c r="J334" s="16">
        <v>632120</v>
      </c>
      <c r="K334" s="16">
        <v>1557306</v>
      </c>
      <c r="L334" s="16">
        <v>1531880</v>
      </c>
      <c r="M334" s="16">
        <v>291156</v>
      </c>
      <c r="N334" s="16">
        <v>-10819</v>
      </c>
      <c r="O334">
        <v>4</v>
      </c>
      <c r="P334">
        <v>0</v>
      </c>
      <c r="Q334" s="20">
        <v>0.40797160017354966</v>
      </c>
      <c r="R334" s="21">
        <v>-3.7158773990575496E-2</v>
      </c>
    </row>
    <row r="335" spans="1:18">
      <c r="A335" t="s">
        <v>642</v>
      </c>
      <c r="B335" t="s">
        <v>89</v>
      </c>
      <c r="C335" t="s">
        <v>101</v>
      </c>
      <c r="D335">
        <v>3</v>
      </c>
      <c r="E335" t="s">
        <v>143</v>
      </c>
      <c r="F335" t="s">
        <v>133</v>
      </c>
      <c r="G335" t="s">
        <v>134</v>
      </c>
      <c r="H335" s="16">
        <v>1835153</v>
      </c>
      <c r="I335" s="16">
        <v>134848</v>
      </c>
      <c r="J335" s="16">
        <v>858240</v>
      </c>
      <c r="K335" s="16">
        <v>1648017</v>
      </c>
      <c r="L335" s="16">
        <v>308638</v>
      </c>
      <c r="M335" s="16">
        <v>187135</v>
      </c>
      <c r="N335" s="16">
        <v>12331</v>
      </c>
      <c r="O335">
        <v>1</v>
      </c>
      <c r="P335">
        <v>0</v>
      </c>
      <c r="Q335" s="20">
        <v>7.348052178755668E-2</v>
      </c>
      <c r="R335" s="21">
        <v>6.589360622010848E-2</v>
      </c>
    </row>
    <row r="336" spans="1:18">
      <c r="A336" t="s">
        <v>643</v>
      </c>
      <c r="B336" t="s">
        <v>74</v>
      </c>
      <c r="C336" t="s">
        <v>104</v>
      </c>
      <c r="D336">
        <v>2</v>
      </c>
      <c r="E336" t="s">
        <v>132</v>
      </c>
      <c r="F336" t="s">
        <v>644</v>
      </c>
      <c r="G336" t="s">
        <v>169</v>
      </c>
      <c r="H336" s="16">
        <v>1829415</v>
      </c>
      <c r="I336" s="16">
        <v>815624</v>
      </c>
      <c r="J336" s="16">
        <v>22089</v>
      </c>
      <c r="K336" s="16">
        <v>1631385</v>
      </c>
      <c r="L336" s="16">
        <v>1343043</v>
      </c>
      <c r="M336" s="16">
        <v>198030</v>
      </c>
      <c r="N336" s="16">
        <v>6548</v>
      </c>
      <c r="O336">
        <v>0</v>
      </c>
      <c r="P336">
        <v>30</v>
      </c>
      <c r="Q336" s="20">
        <v>0.44583869706982832</v>
      </c>
      <c r="R336" s="21">
        <v>3.3065697116598493E-2</v>
      </c>
    </row>
    <row r="337" spans="1:18">
      <c r="A337" t="s">
        <v>645</v>
      </c>
      <c r="B337" t="s">
        <v>74</v>
      </c>
      <c r="C337" t="s">
        <v>101</v>
      </c>
      <c r="D337">
        <v>2</v>
      </c>
      <c r="E337" t="s">
        <v>132</v>
      </c>
      <c r="F337" t="s">
        <v>646</v>
      </c>
      <c r="G337" t="s">
        <v>134</v>
      </c>
      <c r="H337" s="16">
        <v>1817948</v>
      </c>
      <c r="I337" s="16">
        <v>1006356</v>
      </c>
      <c r="J337" s="16">
        <v>62014</v>
      </c>
      <c r="K337" s="16">
        <v>1487168</v>
      </c>
      <c r="L337" s="16">
        <v>1222806</v>
      </c>
      <c r="M337" s="16">
        <v>330780</v>
      </c>
      <c r="N337" s="16">
        <v>24708</v>
      </c>
      <c r="O337">
        <v>0</v>
      </c>
      <c r="P337">
        <v>10</v>
      </c>
      <c r="Q337" s="20">
        <v>0.55356698871474874</v>
      </c>
      <c r="R337" s="21">
        <v>7.4696172682749862E-2</v>
      </c>
    </row>
    <row r="338" spans="1:18">
      <c r="A338" t="s">
        <v>647</v>
      </c>
      <c r="B338" t="s">
        <v>68</v>
      </c>
      <c r="C338" t="s">
        <v>101</v>
      </c>
      <c r="D338">
        <v>3</v>
      </c>
      <c r="E338" t="s">
        <v>143</v>
      </c>
      <c r="F338" t="s">
        <v>223</v>
      </c>
      <c r="G338" t="s">
        <v>134</v>
      </c>
      <c r="H338" s="16">
        <v>1816104</v>
      </c>
      <c r="I338" s="16">
        <v>988469</v>
      </c>
      <c r="J338" s="16">
        <v>661894</v>
      </c>
      <c r="K338" s="16">
        <v>1581844</v>
      </c>
      <c r="L338" s="16">
        <v>1546101</v>
      </c>
      <c r="M338" s="16">
        <v>234260</v>
      </c>
      <c r="N338" s="16">
        <v>17941</v>
      </c>
      <c r="O338">
        <v>2</v>
      </c>
      <c r="P338">
        <v>0</v>
      </c>
      <c r="Q338" s="20">
        <v>0.54427995313043742</v>
      </c>
      <c r="R338" s="21">
        <v>7.6585844787842569E-2</v>
      </c>
    </row>
    <row r="339" spans="1:18">
      <c r="A339" t="s">
        <v>648</v>
      </c>
      <c r="B339" t="s">
        <v>74</v>
      </c>
      <c r="C339" t="s">
        <v>104</v>
      </c>
      <c r="D339">
        <v>2</v>
      </c>
      <c r="E339" t="s">
        <v>132</v>
      </c>
      <c r="F339" t="s">
        <v>481</v>
      </c>
      <c r="G339" t="s">
        <v>311</v>
      </c>
      <c r="H339" s="16">
        <v>1802269</v>
      </c>
      <c r="I339" s="16">
        <v>911911</v>
      </c>
      <c r="J339" s="16">
        <v>46008</v>
      </c>
      <c r="K339" s="16">
        <v>1534288</v>
      </c>
      <c r="L339" s="16">
        <v>1178232</v>
      </c>
      <c r="M339" s="16">
        <v>267980</v>
      </c>
      <c r="N339" s="16">
        <v>22687</v>
      </c>
      <c r="O339">
        <v>0</v>
      </c>
      <c r="P339">
        <v>21</v>
      </c>
      <c r="Q339" s="20">
        <v>0.50597940706964384</v>
      </c>
      <c r="R339" s="21">
        <v>8.4659302933054709E-2</v>
      </c>
    </row>
    <row r="340" spans="1:18">
      <c r="A340" t="s">
        <v>649</v>
      </c>
      <c r="B340" t="s">
        <v>74</v>
      </c>
      <c r="C340" t="s">
        <v>104</v>
      </c>
      <c r="D340">
        <v>2</v>
      </c>
      <c r="E340" t="s">
        <v>132</v>
      </c>
      <c r="F340" t="s">
        <v>234</v>
      </c>
      <c r="G340" t="s">
        <v>206</v>
      </c>
      <c r="H340" s="16">
        <v>1800537</v>
      </c>
      <c r="I340" s="16">
        <v>980067</v>
      </c>
      <c r="J340" s="16">
        <v>33604</v>
      </c>
      <c r="K340" s="16">
        <v>1658265</v>
      </c>
      <c r="L340" s="16">
        <v>1534833</v>
      </c>
      <c r="M340" s="16">
        <v>142271</v>
      </c>
      <c r="N340" s="16">
        <v>-29252</v>
      </c>
      <c r="O340">
        <v>0</v>
      </c>
      <c r="P340">
        <v>18</v>
      </c>
      <c r="Q340" s="20">
        <v>0.54431927808203884</v>
      </c>
      <c r="R340" s="21">
        <v>-0.20560760801568836</v>
      </c>
    </row>
    <row r="341" spans="1:18">
      <c r="A341" t="s">
        <v>650</v>
      </c>
      <c r="B341" t="s">
        <v>74</v>
      </c>
      <c r="C341" t="s">
        <v>104</v>
      </c>
      <c r="D341">
        <v>2</v>
      </c>
      <c r="E341" t="s">
        <v>132</v>
      </c>
      <c r="F341" t="s">
        <v>651</v>
      </c>
      <c r="G341" t="s">
        <v>169</v>
      </c>
      <c r="H341" s="16">
        <v>1798727</v>
      </c>
      <c r="I341" s="16">
        <v>1019635</v>
      </c>
      <c r="J341" s="16">
        <v>61070</v>
      </c>
      <c r="K341" s="16">
        <v>1478698</v>
      </c>
      <c r="L341" s="16">
        <v>1136674</v>
      </c>
      <c r="M341" s="16">
        <v>320029</v>
      </c>
      <c r="N341" s="16">
        <v>22596</v>
      </c>
      <c r="O341">
        <v>0</v>
      </c>
      <c r="P341">
        <v>21</v>
      </c>
      <c r="Q341" s="20">
        <v>0.56686478826414455</v>
      </c>
      <c r="R341" s="21">
        <v>7.0606101322067683E-2</v>
      </c>
    </row>
    <row r="342" spans="1:18">
      <c r="A342" t="s">
        <v>652</v>
      </c>
      <c r="B342" t="s">
        <v>74</v>
      </c>
      <c r="C342" t="s">
        <v>104</v>
      </c>
      <c r="D342">
        <v>2</v>
      </c>
      <c r="E342" t="s">
        <v>132</v>
      </c>
      <c r="F342" t="s">
        <v>653</v>
      </c>
      <c r="G342" t="s">
        <v>211</v>
      </c>
      <c r="H342" s="16">
        <v>1791827</v>
      </c>
      <c r="I342" s="16">
        <v>1006869</v>
      </c>
      <c r="J342" s="16">
        <v>20630</v>
      </c>
      <c r="K342" s="16">
        <v>1629656</v>
      </c>
      <c r="L342" s="16">
        <v>1443643</v>
      </c>
      <c r="M342" s="16">
        <v>162171</v>
      </c>
      <c r="N342" s="16">
        <v>7176</v>
      </c>
      <c r="O342">
        <v>0</v>
      </c>
      <c r="P342">
        <v>44</v>
      </c>
      <c r="Q342" s="20">
        <v>0.56192310976450288</v>
      </c>
      <c r="R342" s="21">
        <v>4.4249588397432343E-2</v>
      </c>
    </row>
    <row r="343" spans="1:18">
      <c r="A343" t="s">
        <v>654</v>
      </c>
      <c r="B343" t="s">
        <v>83</v>
      </c>
      <c r="C343" t="s">
        <v>101</v>
      </c>
      <c r="D343">
        <v>2</v>
      </c>
      <c r="E343" t="s">
        <v>132</v>
      </c>
      <c r="F343" t="s">
        <v>133</v>
      </c>
      <c r="G343" t="s">
        <v>134</v>
      </c>
      <c r="H343" s="16">
        <v>1786244</v>
      </c>
      <c r="I343" s="16">
        <v>447567</v>
      </c>
      <c r="J343" s="16">
        <v>1137341</v>
      </c>
      <c r="K343" s="16">
        <v>1467784</v>
      </c>
      <c r="L343" s="16">
        <v>1369833</v>
      </c>
      <c r="M343" s="16">
        <v>318460</v>
      </c>
      <c r="N343" s="16">
        <v>-40407</v>
      </c>
      <c r="O343">
        <v>2</v>
      </c>
      <c r="P343">
        <v>0</v>
      </c>
      <c r="Q343" s="20">
        <v>0.2505631929344479</v>
      </c>
      <c r="R343" s="21">
        <v>-0.1268824970168938</v>
      </c>
    </row>
    <row r="344" spans="1:18">
      <c r="A344" t="s">
        <v>655</v>
      </c>
      <c r="B344" t="s">
        <v>68</v>
      </c>
      <c r="C344" t="s">
        <v>101</v>
      </c>
      <c r="D344">
        <v>3</v>
      </c>
      <c r="E344" t="s">
        <v>143</v>
      </c>
      <c r="F344" t="s">
        <v>133</v>
      </c>
      <c r="G344" t="s">
        <v>134</v>
      </c>
      <c r="H344" s="16">
        <v>1762078</v>
      </c>
      <c r="I344" s="16">
        <v>186377</v>
      </c>
      <c r="J344" s="16">
        <v>1087542</v>
      </c>
      <c r="K344" s="16">
        <v>1615926</v>
      </c>
      <c r="L344" s="16">
        <v>1335545</v>
      </c>
      <c r="M344" s="16">
        <v>146151</v>
      </c>
      <c r="N344" s="16">
        <v>-13525</v>
      </c>
      <c r="O344">
        <v>2</v>
      </c>
      <c r="P344">
        <v>0</v>
      </c>
      <c r="Q344" s="20">
        <v>0.10577114066460168</v>
      </c>
      <c r="R344" s="21">
        <v>-9.254127580379197E-2</v>
      </c>
    </row>
    <row r="345" spans="1:18">
      <c r="A345" t="s">
        <v>656</v>
      </c>
      <c r="B345" t="s">
        <v>77</v>
      </c>
      <c r="C345" t="s">
        <v>101</v>
      </c>
      <c r="D345">
        <v>2</v>
      </c>
      <c r="E345" t="s">
        <v>132</v>
      </c>
      <c r="F345" t="s">
        <v>404</v>
      </c>
      <c r="G345" t="s">
        <v>405</v>
      </c>
      <c r="H345" s="16">
        <v>1761631</v>
      </c>
      <c r="I345" s="16">
        <v>31198</v>
      </c>
      <c r="J345" s="16">
        <v>554121</v>
      </c>
      <c r="K345" s="16">
        <v>1662150</v>
      </c>
      <c r="L345" s="16">
        <v>117336</v>
      </c>
      <c r="M345" s="16">
        <v>99481</v>
      </c>
      <c r="N345" s="16">
        <v>6727</v>
      </c>
      <c r="O345">
        <v>0</v>
      </c>
      <c r="P345">
        <v>2</v>
      </c>
      <c r="Q345" s="20">
        <v>1.7709724681275477E-2</v>
      </c>
      <c r="R345" s="21">
        <v>6.7620952744745222E-2</v>
      </c>
    </row>
    <row r="346" spans="1:18">
      <c r="A346" t="s">
        <v>657</v>
      </c>
      <c r="B346" t="s">
        <v>71</v>
      </c>
      <c r="C346" t="s">
        <v>101</v>
      </c>
      <c r="D346">
        <v>2</v>
      </c>
      <c r="E346" t="s">
        <v>132</v>
      </c>
      <c r="F346" t="s">
        <v>540</v>
      </c>
      <c r="G346" t="s">
        <v>153</v>
      </c>
      <c r="H346" s="16">
        <v>1745748</v>
      </c>
      <c r="I346" s="16">
        <v>1678657</v>
      </c>
      <c r="J346" s="16">
        <v>1175</v>
      </c>
      <c r="K346" s="16">
        <v>1401751</v>
      </c>
      <c r="L346" s="16">
        <v>1369838</v>
      </c>
      <c r="M346" s="16">
        <v>343997</v>
      </c>
      <c r="N346" s="16">
        <v>23573</v>
      </c>
      <c r="O346">
        <v>2</v>
      </c>
      <c r="P346">
        <v>0</v>
      </c>
      <c r="Q346" s="20">
        <v>0.96156890914381687</v>
      </c>
      <c r="R346" s="21">
        <v>6.8526760407794249E-2</v>
      </c>
    </row>
    <row r="347" spans="1:18">
      <c r="A347" t="s">
        <v>658</v>
      </c>
      <c r="B347" t="s">
        <v>74</v>
      </c>
      <c r="C347" t="s">
        <v>101</v>
      </c>
      <c r="D347">
        <v>2</v>
      </c>
      <c r="E347" t="s">
        <v>132</v>
      </c>
      <c r="F347" t="s">
        <v>659</v>
      </c>
      <c r="G347" t="s">
        <v>153</v>
      </c>
      <c r="H347" s="16">
        <v>1745735</v>
      </c>
      <c r="I347" s="16">
        <v>978353</v>
      </c>
      <c r="J347" s="16">
        <v>691308</v>
      </c>
      <c r="K347" s="16">
        <v>1387668</v>
      </c>
      <c r="L347" s="16">
        <v>952643</v>
      </c>
      <c r="M347" s="16">
        <v>358067</v>
      </c>
      <c r="N347" s="16">
        <v>28130</v>
      </c>
      <c r="O347">
        <v>0</v>
      </c>
      <c r="P347">
        <v>27</v>
      </c>
      <c r="Q347" s="20">
        <v>0.5604246921783661</v>
      </c>
      <c r="R347" s="21">
        <v>7.8560716290526633E-2</v>
      </c>
    </row>
    <row r="348" spans="1:18">
      <c r="A348" t="s">
        <v>660</v>
      </c>
      <c r="B348" t="s">
        <v>74</v>
      </c>
      <c r="C348" t="s">
        <v>104</v>
      </c>
      <c r="D348">
        <v>2</v>
      </c>
      <c r="E348" t="s">
        <v>132</v>
      </c>
      <c r="F348" t="s">
        <v>661</v>
      </c>
      <c r="G348" t="s">
        <v>153</v>
      </c>
      <c r="H348" s="16">
        <v>1730664</v>
      </c>
      <c r="I348" s="16">
        <v>938416</v>
      </c>
      <c r="J348" s="16">
        <v>30624</v>
      </c>
      <c r="K348" s="16">
        <v>1578294</v>
      </c>
      <c r="L348" s="16">
        <v>1461230</v>
      </c>
      <c r="M348" s="16">
        <v>152371</v>
      </c>
      <c r="N348" s="16">
        <v>85</v>
      </c>
      <c r="O348">
        <v>0</v>
      </c>
      <c r="P348">
        <v>18</v>
      </c>
      <c r="Q348" s="20">
        <v>0.54222887862693159</v>
      </c>
      <c r="R348" s="21">
        <v>5.5784893450853512E-4</v>
      </c>
    </row>
    <row r="349" spans="1:18">
      <c r="A349" t="s">
        <v>662</v>
      </c>
      <c r="B349" t="s">
        <v>74</v>
      </c>
      <c r="C349" t="s">
        <v>104</v>
      </c>
      <c r="D349">
        <v>2</v>
      </c>
      <c r="E349" t="s">
        <v>132</v>
      </c>
      <c r="F349" t="s">
        <v>663</v>
      </c>
      <c r="G349" t="s">
        <v>169</v>
      </c>
      <c r="H349" s="16">
        <v>1721434</v>
      </c>
      <c r="I349" s="16">
        <v>757798</v>
      </c>
      <c r="J349" s="16">
        <v>53462</v>
      </c>
      <c r="K349" s="16">
        <v>1548808</v>
      </c>
      <c r="L349" s="16">
        <v>1165440</v>
      </c>
      <c r="M349" s="16">
        <v>172626</v>
      </c>
      <c r="N349" s="16">
        <v>6809</v>
      </c>
      <c r="O349">
        <v>0</v>
      </c>
      <c r="P349">
        <v>26</v>
      </c>
      <c r="Q349" s="20">
        <v>0.44021321758487403</v>
      </c>
      <c r="R349" s="21">
        <v>3.9443652752192603E-2</v>
      </c>
    </row>
    <row r="350" spans="1:18">
      <c r="A350" t="s">
        <v>664</v>
      </c>
      <c r="B350" t="s">
        <v>74</v>
      </c>
      <c r="C350" t="s">
        <v>104</v>
      </c>
      <c r="D350">
        <v>2</v>
      </c>
      <c r="E350" t="s">
        <v>132</v>
      </c>
      <c r="F350" t="s">
        <v>665</v>
      </c>
      <c r="G350" t="s">
        <v>169</v>
      </c>
      <c r="H350" s="16">
        <v>1702159</v>
      </c>
      <c r="I350" s="16">
        <v>821410</v>
      </c>
      <c r="J350" s="16">
        <v>26536</v>
      </c>
      <c r="K350" s="16">
        <v>1487011</v>
      </c>
      <c r="L350" s="16">
        <v>1450720</v>
      </c>
      <c r="M350" s="16">
        <v>215148</v>
      </c>
      <c r="N350" s="16">
        <v>19097</v>
      </c>
      <c r="O350">
        <v>0</v>
      </c>
      <c r="P350">
        <v>9</v>
      </c>
      <c r="Q350" s="20">
        <v>0.4825694896892711</v>
      </c>
      <c r="R350" s="21">
        <v>8.8762154423931428E-2</v>
      </c>
    </row>
    <row r="351" spans="1:18">
      <c r="A351" t="s">
        <v>666</v>
      </c>
      <c r="B351" t="s">
        <v>74</v>
      </c>
      <c r="C351" t="s">
        <v>104</v>
      </c>
      <c r="D351">
        <v>2</v>
      </c>
      <c r="E351" t="s">
        <v>132</v>
      </c>
      <c r="F351" t="s">
        <v>481</v>
      </c>
      <c r="G351" t="s">
        <v>311</v>
      </c>
      <c r="H351" s="16">
        <v>1693136</v>
      </c>
      <c r="I351" s="16">
        <v>1323243</v>
      </c>
      <c r="J351" s="16">
        <v>31823</v>
      </c>
      <c r="K351" s="16">
        <v>1476608</v>
      </c>
      <c r="L351" s="16">
        <v>641190</v>
      </c>
      <c r="M351" s="16">
        <v>216528</v>
      </c>
      <c r="N351" s="16">
        <v>19737</v>
      </c>
      <c r="O351">
        <v>0</v>
      </c>
      <c r="P351">
        <v>22</v>
      </c>
      <c r="Q351" s="20">
        <v>0.78153379291444991</v>
      </c>
      <c r="R351" s="21">
        <v>9.1152183551319002E-2</v>
      </c>
    </row>
    <row r="352" spans="1:18">
      <c r="A352" t="s">
        <v>667</v>
      </c>
      <c r="B352" t="s">
        <v>74</v>
      </c>
      <c r="C352" t="s">
        <v>104</v>
      </c>
      <c r="D352">
        <v>2</v>
      </c>
      <c r="E352" t="s">
        <v>132</v>
      </c>
      <c r="F352" t="s">
        <v>668</v>
      </c>
      <c r="G352" t="s">
        <v>169</v>
      </c>
      <c r="H352" s="16">
        <v>1681904</v>
      </c>
      <c r="I352" s="16">
        <v>628222</v>
      </c>
      <c r="J352" s="16">
        <v>26159</v>
      </c>
      <c r="K352" s="16">
        <v>1424090</v>
      </c>
      <c r="L352" s="16">
        <v>1368890</v>
      </c>
      <c r="M352" s="16">
        <v>257814</v>
      </c>
      <c r="N352" s="16">
        <v>20705</v>
      </c>
      <c r="O352">
        <v>0</v>
      </c>
      <c r="P352">
        <v>22</v>
      </c>
      <c r="Q352" s="20">
        <v>0.37351834587467536</v>
      </c>
      <c r="R352" s="21">
        <v>8.030983577307671E-2</v>
      </c>
    </row>
    <row r="353" spans="1:18">
      <c r="A353" t="s">
        <v>669</v>
      </c>
      <c r="B353" t="s">
        <v>74</v>
      </c>
      <c r="C353" t="s">
        <v>104</v>
      </c>
      <c r="D353">
        <v>2</v>
      </c>
      <c r="E353" t="s">
        <v>132</v>
      </c>
      <c r="F353" t="s">
        <v>463</v>
      </c>
      <c r="G353" t="s">
        <v>211</v>
      </c>
      <c r="H353" s="16">
        <v>1672088</v>
      </c>
      <c r="I353" s="16">
        <v>1216772</v>
      </c>
      <c r="J353" s="16">
        <v>23228</v>
      </c>
      <c r="K353" s="16">
        <v>1454213</v>
      </c>
      <c r="L353" s="16">
        <v>874601</v>
      </c>
      <c r="M353" s="16">
        <v>217875</v>
      </c>
      <c r="N353" s="16">
        <v>12298</v>
      </c>
      <c r="O353">
        <v>0</v>
      </c>
      <c r="P353">
        <v>31</v>
      </c>
      <c r="Q353" s="20">
        <v>0.72769614996339904</v>
      </c>
      <c r="R353" s="21">
        <v>5.6445209409064834E-2</v>
      </c>
    </row>
    <row r="354" spans="1:18">
      <c r="A354" t="s">
        <v>670</v>
      </c>
      <c r="B354" t="s">
        <v>74</v>
      </c>
      <c r="C354" t="s">
        <v>104</v>
      </c>
      <c r="D354">
        <v>2</v>
      </c>
      <c r="E354" t="s">
        <v>132</v>
      </c>
      <c r="F354" t="s">
        <v>671</v>
      </c>
      <c r="G354" t="s">
        <v>211</v>
      </c>
      <c r="H354" s="16">
        <v>1670825</v>
      </c>
      <c r="I354" s="16">
        <v>983243</v>
      </c>
      <c r="J354" s="16">
        <v>36524</v>
      </c>
      <c r="K354" s="16">
        <v>1492294</v>
      </c>
      <c r="L354" s="16">
        <v>1222162</v>
      </c>
      <c r="M354" s="16">
        <v>178532</v>
      </c>
      <c r="N354" s="16">
        <v>9144</v>
      </c>
      <c r="O354">
        <v>0</v>
      </c>
      <c r="P354">
        <v>25</v>
      </c>
      <c r="Q354" s="20">
        <v>0.5884775485164514</v>
      </c>
      <c r="R354" s="21">
        <v>5.121770887011852E-2</v>
      </c>
    </row>
    <row r="355" spans="1:18">
      <c r="A355" t="s">
        <v>672</v>
      </c>
      <c r="B355" t="s">
        <v>74</v>
      </c>
      <c r="C355" t="s">
        <v>104</v>
      </c>
      <c r="D355">
        <v>2</v>
      </c>
      <c r="E355" t="s">
        <v>132</v>
      </c>
      <c r="F355" t="s">
        <v>673</v>
      </c>
      <c r="G355" t="s">
        <v>169</v>
      </c>
      <c r="H355" s="16">
        <v>1669355</v>
      </c>
      <c r="I355" s="16">
        <v>731713</v>
      </c>
      <c r="J355" s="16">
        <v>31195</v>
      </c>
      <c r="K355" s="16">
        <v>1425370</v>
      </c>
      <c r="L355" s="16">
        <v>1289864</v>
      </c>
      <c r="M355" s="16">
        <v>243985</v>
      </c>
      <c r="N355" s="16">
        <v>27873</v>
      </c>
      <c r="O355">
        <v>0</v>
      </c>
      <c r="P355">
        <v>33</v>
      </c>
      <c r="Q355" s="20">
        <v>0.43832078856803974</v>
      </c>
      <c r="R355" s="21">
        <v>0.11424062954689837</v>
      </c>
    </row>
    <row r="356" spans="1:18">
      <c r="A356" t="s">
        <v>674</v>
      </c>
      <c r="B356" t="s">
        <v>74</v>
      </c>
      <c r="C356" t="s">
        <v>104</v>
      </c>
      <c r="D356">
        <v>2</v>
      </c>
      <c r="E356" t="s">
        <v>132</v>
      </c>
      <c r="F356" t="s">
        <v>675</v>
      </c>
      <c r="G356" t="s">
        <v>169</v>
      </c>
      <c r="H356" s="16">
        <v>1657422</v>
      </c>
      <c r="I356" s="16">
        <v>817459</v>
      </c>
      <c r="J356" s="16">
        <v>77650</v>
      </c>
      <c r="K356" s="16">
        <v>1410423</v>
      </c>
      <c r="L356" s="16">
        <v>1058012</v>
      </c>
      <c r="M356" s="16">
        <v>246999</v>
      </c>
      <c r="N356" s="16">
        <v>16881</v>
      </c>
      <c r="O356">
        <v>0</v>
      </c>
      <c r="P356">
        <v>20</v>
      </c>
      <c r="Q356" s="20">
        <v>0.49321114357116053</v>
      </c>
      <c r="R356" s="21">
        <v>6.8344406252656892E-2</v>
      </c>
    </row>
    <row r="357" spans="1:18">
      <c r="A357" t="s">
        <v>676</v>
      </c>
      <c r="B357" t="s">
        <v>74</v>
      </c>
      <c r="C357" t="s">
        <v>104</v>
      </c>
      <c r="D357">
        <v>2</v>
      </c>
      <c r="E357" t="s">
        <v>132</v>
      </c>
      <c r="F357" t="s">
        <v>677</v>
      </c>
      <c r="G357" t="s">
        <v>206</v>
      </c>
      <c r="H357" s="16">
        <v>1624558</v>
      </c>
      <c r="I357" s="16">
        <v>1023198</v>
      </c>
      <c r="J357" s="16">
        <v>30484</v>
      </c>
      <c r="K357" s="16">
        <v>1342956</v>
      </c>
      <c r="L357" s="16">
        <v>884793</v>
      </c>
      <c r="M357" s="16">
        <v>281602</v>
      </c>
      <c r="N357" s="16">
        <v>21808</v>
      </c>
      <c r="O357">
        <v>0</v>
      </c>
      <c r="P357">
        <v>16</v>
      </c>
      <c r="Q357" s="20">
        <v>0.62983162189346276</v>
      </c>
      <c r="R357" s="21">
        <v>7.7442631799490055E-2</v>
      </c>
    </row>
    <row r="358" spans="1:18">
      <c r="A358" t="s">
        <v>678</v>
      </c>
      <c r="B358" t="s">
        <v>83</v>
      </c>
      <c r="C358" t="s">
        <v>101</v>
      </c>
      <c r="D358">
        <v>3</v>
      </c>
      <c r="E358" t="s">
        <v>143</v>
      </c>
      <c r="F358" t="s">
        <v>163</v>
      </c>
      <c r="G358" t="s">
        <v>134</v>
      </c>
      <c r="H358" s="16">
        <v>1608279</v>
      </c>
      <c r="I358" s="16">
        <v>242680</v>
      </c>
      <c r="J358" s="16">
        <v>0</v>
      </c>
      <c r="K358" s="16">
        <v>1419794</v>
      </c>
      <c r="L358" s="16">
        <v>1015276</v>
      </c>
      <c r="M358" s="16">
        <v>188485</v>
      </c>
      <c r="N358" s="16">
        <v>8874</v>
      </c>
      <c r="O358">
        <v>2</v>
      </c>
      <c r="P358">
        <v>0</v>
      </c>
      <c r="Q358" s="20">
        <v>0.15089421673727008</v>
      </c>
      <c r="R358" s="21">
        <v>4.7080669549301006E-2</v>
      </c>
    </row>
    <row r="359" spans="1:18">
      <c r="A359" t="s">
        <v>679</v>
      </c>
      <c r="B359" t="s">
        <v>83</v>
      </c>
      <c r="C359" t="s">
        <v>101</v>
      </c>
      <c r="D359">
        <v>2</v>
      </c>
      <c r="E359" t="s">
        <v>132</v>
      </c>
      <c r="F359" t="s">
        <v>659</v>
      </c>
      <c r="G359" t="s">
        <v>153</v>
      </c>
      <c r="H359" s="16">
        <v>1592151</v>
      </c>
      <c r="I359" s="16">
        <v>1371961</v>
      </c>
      <c r="J359" s="16">
        <v>190571</v>
      </c>
      <c r="K359" s="16">
        <v>1326848</v>
      </c>
      <c r="L359" s="16">
        <v>1309191</v>
      </c>
      <c r="M359" s="16">
        <v>265302</v>
      </c>
      <c r="N359" s="16">
        <v>10434</v>
      </c>
      <c r="O359">
        <v>2</v>
      </c>
      <c r="P359">
        <v>0</v>
      </c>
      <c r="Q359" s="20">
        <v>0.8617028158761324</v>
      </c>
      <c r="R359" s="21">
        <v>3.9328764954655447E-2</v>
      </c>
    </row>
    <row r="360" spans="1:18">
      <c r="A360" t="s">
        <v>680</v>
      </c>
      <c r="B360" t="s">
        <v>74</v>
      </c>
      <c r="C360" t="s">
        <v>104</v>
      </c>
      <c r="D360">
        <v>2</v>
      </c>
      <c r="E360" t="s">
        <v>132</v>
      </c>
      <c r="F360" t="s">
        <v>681</v>
      </c>
      <c r="G360" t="s">
        <v>169</v>
      </c>
      <c r="H360" s="16">
        <v>1589987</v>
      </c>
      <c r="I360" s="16">
        <v>901034</v>
      </c>
      <c r="J360" s="16">
        <v>43167</v>
      </c>
      <c r="K360" s="16">
        <v>1379821</v>
      </c>
      <c r="L360" s="16">
        <v>1189256</v>
      </c>
      <c r="M360" s="16">
        <v>210166</v>
      </c>
      <c r="N360" s="16">
        <v>197</v>
      </c>
      <c r="O360">
        <v>0</v>
      </c>
      <c r="P360">
        <v>19</v>
      </c>
      <c r="Q360" s="20">
        <v>0.56669268365087266</v>
      </c>
      <c r="R360" s="21">
        <v>9.3735428185339213E-4</v>
      </c>
    </row>
    <row r="361" spans="1:18">
      <c r="A361" t="s">
        <v>682</v>
      </c>
      <c r="B361" t="s">
        <v>74</v>
      </c>
      <c r="C361" t="s">
        <v>104</v>
      </c>
      <c r="D361">
        <v>2</v>
      </c>
      <c r="E361" t="s">
        <v>132</v>
      </c>
      <c r="F361" t="s">
        <v>274</v>
      </c>
      <c r="G361" t="s">
        <v>206</v>
      </c>
      <c r="H361" s="16">
        <v>1588362</v>
      </c>
      <c r="I361" s="16">
        <v>1234363</v>
      </c>
      <c r="J361" s="16">
        <v>24953</v>
      </c>
      <c r="K361" s="16">
        <v>1438507</v>
      </c>
      <c r="L361" s="16">
        <v>870431</v>
      </c>
      <c r="M361" s="16">
        <v>149855</v>
      </c>
      <c r="N361" s="16">
        <v>4228</v>
      </c>
      <c r="O361">
        <v>0</v>
      </c>
      <c r="P361">
        <v>24</v>
      </c>
      <c r="Q361" s="20">
        <v>0.77712952085229936</v>
      </c>
      <c r="R361" s="21">
        <v>2.8213940142137399E-2</v>
      </c>
    </row>
    <row r="362" spans="1:18">
      <c r="A362" t="s">
        <v>683</v>
      </c>
      <c r="B362" t="s">
        <v>74</v>
      </c>
      <c r="C362" t="s">
        <v>104</v>
      </c>
      <c r="D362">
        <v>2</v>
      </c>
      <c r="E362" t="s">
        <v>132</v>
      </c>
      <c r="F362" t="s">
        <v>684</v>
      </c>
      <c r="G362" t="s">
        <v>250</v>
      </c>
      <c r="H362" s="16">
        <v>1575452</v>
      </c>
      <c r="I362" s="16">
        <v>972364</v>
      </c>
      <c r="J362" s="16">
        <v>38784</v>
      </c>
      <c r="K362" s="16">
        <v>1389027</v>
      </c>
      <c r="L362" s="16">
        <v>1274923</v>
      </c>
      <c r="M362" s="16">
        <v>186425</v>
      </c>
      <c r="N362" s="16">
        <v>25589</v>
      </c>
      <c r="O362">
        <v>0</v>
      </c>
      <c r="P362">
        <v>27</v>
      </c>
      <c r="Q362" s="20">
        <v>0.61719684255692975</v>
      </c>
      <c r="R362" s="21">
        <v>0.13726163336462385</v>
      </c>
    </row>
    <row r="363" spans="1:18">
      <c r="A363" t="s">
        <v>685</v>
      </c>
      <c r="B363" t="s">
        <v>74</v>
      </c>
      <c r="C363" t="s">
        <v>104</v>
      </c>
      <c r="D363">
        <v>2</v>
      </c>
      <c r="E363" t="s">
        <v>132</v>
      </c>
      <c r="F363" t="s">
        <v>686</v>
      </c>
      <c r="G363" t="s">
        <v>169</v>
      </c>
      <c r="H363" s="16">
        <v>1568007</v>
      </c>
      <c r="I363" s="16">
        <v>490907</v>
      </c>
      <c r="J363" s="16">
        <v>28509</v>
      </c>
      <c r="K363" s="16">
        <v>1377728</v>
      </c>
      <c r="L363" s="16">
        <v>1277536</v>
      </c>
      <c r="M363" s="16">
        <v>190279</v>
      </c>
      <c r="N363" s="16">
        <v>19690</v>
      </c>
      <c r="O363">
        <v>0</v>
      </c>
      <c r="P363">
        <v>28</v>
      </c>
      <c r="Q363" s="20">
        <v>0.31307704621216614</v>
      </c>
      <c r="R363" s="21">
        <v>0.10347962728414591</v>
      </c>
    </row>
    <row r="364" spans="1:18">
      <c r="A364" t="s">
        <v>687</v>
      </c>
      <c r="B364" t="s">
        <v>74</v>
      </c>
      <c r="C364" t="s">
        <v>104</v>
      </c>
      <c r="D364">
        <v>2</v>
      </c>
      <c r="E364" t="s">
        <v>132</v>
      </c>
      <c r="F364" t="s">
        <v>688</v>
      </c>
      <c r="G364" t="s">
        <v>169</v>
      </c>
      <c r="H364" s="16">
        <v>1524046</v>
      </c>
      <c r="I364" s="16">
        <v>670864</v>
      </c>
      <c r="J364" s="16">
        <v>45569</v>
      </c>
      <c r="K364" s="16">
        <v>1305880</v>
      </c>
      <c r="L364" s="16">
        <v>995237</v>
      </c>
      <c r="M364" s="16">
        <v>218166</v>
      </c>
      <c r="N364" s="16">
        <v>15942</v>
      </c>
      <c r="O364">
        <v>0</v>
      </c>
      <c r="P364">
        <v>11</v>
      </c>
      <c r="Q364" s="20">
        <v>0.44018618860585573</v>
      </c>
      <c r="R364" s="21">
        <v>7.3072797777838899E-2</v>
      </c>
    </row>
    <row r="365" spans="1:18">
      <c r="A365" t="s">
        <v>689</v>
      </c>
      <c r="B365" t="s">
        <v>89</v>
      </c>
      <c r="C365" t="s">
        <v>101</v>
      </c>
      <c r="D365">
        <v>3</v>
      </c>
      <c r="E365" t="s">
        <v>143</v>
      </c>
      <c r="F365" t="s">
        <v>133</v>
      </c>
      <c r="G365" t="s">
        <v>134</v>
      </c>
      <c r="H365" s="16">
        <v>1520686</v>
      </c>
      <c r="I365" s="16">
        <v>0</v>
      </c>
      <c r="J365" s="16">
        <v>4828</v>
      </c>
      <c r="K365" s="16">
        <v>1500625</v>
      </c>
      <c r="L365" s="16">
        <v>1048077</v>
      </c>
      <c r="M365" s="16">
        <v>20062</v>
      </c>
      <c r="N365" s="16">
        <v>4018</v>
      </c>
      <c r="O365">
        <v>1</v>
      </c>
      <c r="P365">
        <v>0</v>
      </c>
      <c r="Q365" s="20">
        <v>0</v>
      </c>
      <c r="R365" s="21">
        <v>0.20027913468248429</v>
      </c>
    </row>
    <row r="366" spans="1:18">
      <c r="A366" t="s">
        <v>690</v>
      </c>
      <c r="B366" t="s">
        <v>71</v>
      </c>
      <c r="C366" t="s">
        <v>101</v>
      </c>
      <c r="D366">
        <v>3</v>
      </c>
      <c r="E366" t="s">
        <v>143</v>
      </c>
      <c r="F366" t="s">
        <v>133</v>
      </c>
      <c r="G366" t="s">
        <v>134</v>
      </c>
      <c r="H366" s="16">
        <v>1513067</v>
      </c>
      <c r="I366" s="16">
        <v>1238079</v>
      </c>
      <c r="J366" s="16">
        <v>205966</v>
      </c>
      <c r="K366" s="16">
        <v>1050087</v>
      </c>
      <c r="L366" s="16">
        <v>882157</v>
      </c>
      <c r="M366" s="16">
        <v>462981</v>
      </c>
      <c r="N366" s="16">
        <v>19733</v>
      </c>
      <c r="O366">
        <v>2</v>
      </c>
      <c r="P366">
        <v>0</v>
      </c>
      <c r="Q366" s="20">
        <v>0.81825788283003986</v>
      </c>
      <c r="R366" s="21">
        <v>4.262161946170577E-2</v>
      </c>
    </row>
    <row r="367" spans="1:18">
      <c r="A367" t="s">
        <v>691</v>
      </c>
      <c r="B367" t="s">
        <v>74</v>
      </c>
      <c r="C367" t="s">
        <v>101</v>
      </c>
      <c r="D367">
        <v>2</v>
      </c>
      <c r="E367" t="s">
        <v>132</v>
      </c>
      <c r="F367" t="s">
        <v>692</v>
      </c>
      <c r="G367" t="s">
        <v>134</v>
      </c>
      <c r="H367" s="16">
        <v>1510770</v>
      </c>
      <c r="I367" s="16">
        <v>705477</v>
      </c>
      <c r="J367" s="16">
        <v>662007</v>
      </c>
      <c r="K367" s="16">
        <v>1362896</v>
      </c>
      <c r="L367" s="16">
        <v>1012348</v>
      </c>
      <c r="M367" s="16">
        <v>147875</v>
      </c>
      <c r="N367" s="16">
        <v>19587</v>
      </c>
      <c r="O367">
        <v>0</v>
      </c>
      <c r="P367">
        <v>20</v>
      </c>
      <c r="Q367" s="20">
        <v>0.46696518993625769</v>
      </c>
      <c r="R367" s="21">
        <v>0.13245646661031277</v>
      </c>
    </row>
    <row r="368" spans="1:18">
      <c r="A368" t="s">
        <v>693</v>
      </c>
      <c r="B368" t="s">
        <v>74</v>
      </c>
      <c r="C368" t="s">
        <v>104</v>
      </c>
      <c r="D368">
        <v>2</v>
      </c>
      <c r="E368" t="s">
        <v>132</v>
      </c>
      <c r="F368" t="s">
        <v>694</v>
      </c>
      <c r="G368" t="s">
        <v>211</v>
      </c>
      <c r="H368" s="16">
        <v>1505398</v>
      </c>
      <c r="I368" s="16">
        <v>859572</v>
      </c>
      <c r="J368" s="16">
        <v>18515</v>
      </c>
      <c r="K368" s="16">
        <v>1353143</v>
      </c>
      <c r="L368" s="16">
        <v>1135535</v>
      </c>
      <c r="M368" s="16">
        <v>152255</v>
      </c>
      <c r="N368" s="16">
        <v>12234</v>
      </c>
      <c r="O368">
        <v>0</v>
      </c>
      <c r="P368">
        <v>21</v>
      </c>
      <c r="Q368" s="20">
        <v>0.57099318585516923</v>
      </c>
      <c r="R368" s="21">
        <v>8.035204098387573E-2</v>
      </c>
    </row>
    <row r="369" spans="1:18">
      <c r="A369" t="s">
        <v>695</v>
      </c>
      <c r="B369" t="s">
        <v>68</v>
      </c>
      <c r="C369" t="s">
        <v>101</v>
      </c>
      <c r="D369">
        <v>3</v>
      </c>
      <c r="E369" t="s">
        <v>143</v>
      </c>
      <c r="F369" t="s">
        <v>133</v>
      </c>
      <c r="G369" t="s">
        <v>134</v>
      </c>
      <c r="H369" s="16">
        <v>1505221</v>
      </c>
      <c r="I369" s="16">
        <v>172690</v>
      </c>
      <c r="J369" s="16">
        <v>330361</v>
      </c>
      <c r="K369" s="16">
        <v>1295003</v>
      </c>
      <c r="L369" s="16">
        <v>1267972</v>
      </c>
      <c r="M369" s="16">
        <v>210219</v>
      </c>
      <c r="N369" s="16">
        <v>3040</v>
      </c>
      <c r="O369">
        <v>2</v>
      </c>
      <c r="P369">
        <v>0</v>
      </c>
      <c r="Q369" s="20">
        <v>0.11472733904190813</v>
      </c>
      <c r="R369" s="21">
        <v>1.4461109604745528E-2</v>
      </c>
    </row>
    <row r="370" spans="1:18">
      <c r="A370" t="s">
        <v>696</v>
      </c>
      <c r="B370" t="s">
        <v>74</v>
      </c>
      <c r="C370" t="s">
        <v>104</v>
      </c>
      <c r="D370">
        <v>2</v>
      </c>
      <c r="E370" t="s">
        <v>132</v>
      </c>
      <c r="F370" t="s">
        <v>697</v>
      </c>
      <c r="G370" t="s">
        <v>206</v>
      </c>
      <c r="H370" s="16">
        <v>1501097</v>
      </c>
      <c r="I370" s="16">
        <v>847365</v>
      </c>
      <c r="J370" s="16">
        <v>21335</v>
      </c>
      <c r="K370" s="16">
        <v>1346821</v>
      </c>
      <c r="L370" s="16">
        <v>854731</v>
      </c>
      <c r="M370" s="16">
        <v>154276</v>
      </c>
      <c r="N370" s="16">
        <v>9636</v>
      </c>
      <c r="O370">
        <v>0</v>
      </c>
      <c r="P370">
        <v>11</v>
      </c>
      <c r="Q370" s="20">
        <v>0.56449716440709696</v>
      </c>
      <c r="R370" s="21">
        <v>6.245948818999715E-2</v>
      </c>
    </row>
    <row r="371" spans="1:18">
      <c r="A371" t="s">
        <v>698</v>
      </c>
      <c r="B371" t="s">
        <v>68</v>
      </c>
      <c r="C371" t="s">
        <v>101</v>
      </c>
      <c r="D371">
        <v>2</v>
      </c>
      <c r="E371" t="s">
        <v>132</v>
      </c>
      <c r="F371" t="s">
        <v>145</v>
      </c>
      <c r="G371" t="s">
        <v>146</v>
      </c>
      <c r="H371" s="16">
        <v>1500558</v>
      </c>
      <c r="I371" s="16">
        <v>450758</v>
      </c>
      <c r="J371" s="16">
        <v>200106</v>
      </c>
      <c r="K371" s="16">
        <v>1402059</v>
      </c>
      <c r="L371" s="16">
        <v>1360818</v>
      </c>
      <c r="M371" s="16">
        <v>98499</v>
      </c>
      <c r="N371" s="16">
        <v>-6808</v>
      </c>
      <c r="O371">
        <v>5</v>
      </c>
      <c r="P371">
        <v>0</v>
      </c>
      <c r="Q371" s="20">
        <v>0.30039358691899948</v>
      </c>
      <c r="R371" s="21">
        <v>-6.9117452969065671E-2</v>
      </c>
    </row>
    <row r="372" spans="1:18">
      <c r="A372" t="s">
        <v>699</v>
      </c>
      <c r="B372" t="s">
        <v>74</v>
      </c>
      <c r="C372" t="s">
        <v>104</v>
      </c>
      <c r="D372">
        <v>2</v>
      </c>
      <c r="E372" t="s">
        <v>132</v>
      </c>
      <c r="F372" t="s">
        <v>700</v>
      </c>
      <c r="G372" t="s">
        <v>206</v>
      </c>
      <c r="H372" s="16">
        <v>1494354</v>
      </c>
      <c r="I372" s="16">
        <v>1010283</v>
      </c>
      <c r="J372" s="16">
        <v>22071</v>
      </c>
      <c r="K372" s="16">
        <v>1351516</v>
      </c>
      <c r="L372" s="16">
        <v>1098960</v>
      </c>
      <c r="M372" s="16">
        <v>142838</v>
      </c>
      <c r="N372" s="16">
        <v>7338</v>
      </c>
      <c r="O372">
        <v>0</v>
      </c>
      <c r="P372">
        <v>19</v>
      </c>
      <c r="Q372" s="20">
        <v>0.67606671511569549</v>
      </c>
      <c r="R372" s="21">
        <v>5.1372883966451503E-2</v>
      </c>
    </row>
    <row r="373" spans="1:18">
      <c r="A373" t="s">
        <v>701</v>
      </c>
      <c r="B373" t="s">
        <v>74</v>
      </c>
      <c r="C373" t="s">
        <v>104</v>
      </c>
      <c r="D373">
        <v>2</v>
      </c>
      <c r="E373" t="s">
        <v>132</v>
      </c>
      <c r="F373" t="s">
        <v>702</v>
      </c>
      <c r="G373" t="s">
        <v>169</v>
      </c>
      <c r="H373" s="16">
        <v>1478240</v>
      </c>
      <c r="I373" s="16">
        <v>755817</v>
      </c>
      <c r="J373" s="16">
        <v>27121</v>
      </c>
      <c r="K373" s="16">
        <v>1248432</v>
      </c>
      <c r="L373" s="16">
        <v>1107060</v>
      </c>
      <c r="M373" s="16">
        <v>229808</v>
      </c>
      <c r="N373" s="16">
        <v>21931</v>
      </c>
      <c r="O373">
        <v>0</v>
      </c>
      <c r="P373">
        <v>11</v>
      </c>
      <c r="Q373" s="20">
        <v>0.51129518887325465</v>
      </c>
      <c r="R373" s="21">
        <v>9.5431838752349785E-2</v>
      </c>
    </row>
    <row r="374" spans="1:18">
      <c r="A374" t="s">
        <v>703</v>
      </c>
      <c r="B374" t="s">
        <v>83</v>
      </c>
      <c r="C374" t="s">
        <v>104</v>
      </c>
      <c r="D374">
        <v>2</v>
      </c>
      <c r="E374" t="s">
        <v>132</v>
      </c>
      <c r="F374" t="s">
        <v>133</v>
      </c>
      <c r="G374" t="s">
        <v>134</v>
      </c>
      <c r="H374" s="16">
        <v>1476596</v>
      </c>
      <c r="I374" s="16">
        <v>593370</v>
      </c>
      <c r="J374" s="16">
        <v>848230</v>
      </c>
      <c r="K374" s="16">
        <v>931262</v>
      </c>
      <c r="L374" s="16">
        <v>921250</v>
      </c>
      <c r="M374" s="16">
        <v>545334</v>
      </c>
      <c r="N374" s="16">
        <v>43178</v>
      </c>
      <c r="O374">
        <v>2</v>
      </c>
      <c r="P374">
        <v>0</v>
      </c>
      <c r="Q374" s="20">
        <v>0.40184993051586215</v>
      </c>
      <c r="R374" s="21">
        <v>7.9177164820091905E-2</v>
      </c>
    </row>
    <row r="375" spans="1:18">
      <c r="A375" t="s">
        <v>704</v>
      </c>
      <c r="B375" t="s">
        <v>74</v>
      </c>
      <c r="C375" t="s">
        <v>104</v>
      </c>
      <c r="D375">
        <v>2</v>
      </c>
      <c r="E375" t="s">
        <v>132</v>
      </c>
      <c r="F375" t="s">
        <v>705</v>
      </c>
      <c r="G375" t="s">
        <v>206</v>
      </c>
      <c r="H375" s="16">
        <v>1471954</v>
      </c>
      <c r="I375" s="16">
        <v>772601</v>
      </c>
      <c r="J375" s="16">
        <v>128847</v>
      </c>
      <c r="K375" s="16">
        <v>1208709</v>
      </c>
      <c r="L375" s="16">
        <v>1181969</v>
      </c>
      <c r="M375" s="16">
        <v>263245</v>
      </c>
      <c r="N375" s="16">
        <v>31253</v>
      </c>
      <c r="O375">
        <v>0</v>
      </c>
      <c r="P375">
        <v>17</v>
      </c>
      <c r="Q375" s="20">
        <v>0.52488121232049367</v>
      </c>
      <c r="R375" s="21">
        <v>0.11872210298391232</v>
      </c>
    </row>
    <row r="376" spans="1:18">
      <c r="A376" t="s">
        <v>706</v>
      </c>
      <c r="B376" t="s">
        <v>74</v>
      </c>
      <c r="C376" t="s">
        <v>104</v>
      </c>
      <c r="D376">
        <v>2</v>
      </c>
      <c r="E376" t="s">
        <v>132</v>
      </c>
      <c r="F376" t="s">
        <v>707</v>
      </c>
      <c r="G376" t="s">
        <v>153</v>
      </c>
      <c r="H376" s="16">
        <v>1471806</v>
      </c>
      <c r="I376" s="16">
        <v>998896</v>
      </c>
      <c r="J376" s="16">
        <v>46101</v>
      </c>
      <c r="K376" s="16">
        <v>1309420</v>
      </c>
      <c r="L376" s="16">
        <v>844009</v>
      </c>
      <c r="M376" s="16">
        <v>162386</v>
      </c>
      <c r="N376" s="16">
        <v>9516</v>
      </c>
      <c r="O376">
        <v>0</v>
      </c>
      <c r="P376">
        <v>29</v>
      </c>
      <c r="Q376" s="20">
        <v>0.67868727264326956</v>
      </c>
      <c r="R376" s="21">
        <v>5.8601110933208529E-2</v>
      </c>
    </row>
    <row r="377" spans="1:18">
      <c r="A377" t="s">
        <v>708</v>
      </c>
      <c r="B377" t="s">
        <v>68</v>
      </c>
      <c r="C377" t="s">
        <v>101</v>
      </c>
      <c r="D377">
        <v>2</v>
      </c>
      <c r="E377" t="s">
        <v>132</v>
      </c>
      <c r="F377" t="s">
        <v>133</v>
      </c>
      <c r="G377" t="s">
        <v>134</v>
      </c>
      <c r="H377" s="16">
        <v>1459235</v>
      </c>
      <c r="I377" s="16">
        <v>0</v>
      </c>
      <c r="J377" s="16">
        <v>211097</v>
      </c>
      <c r="K377" s="16">
        <v>1256919</v>
      </c>
      <c r="L377" s="16">
        <v>1162782</v>
      </c>
      <c r="M377" s="16">
        <v>202316</v>
      </c>
      <c r="N377" s="16">
        <v>38823</v>
      </c>
      <c r="O377">
        <v>2</v>
      </c>
      <c r="P377">
        <v>0</v>
      </c>
      <c r="Q377" s="20">
        <v>0</v>
      </c>
      <c r="R377" s="21">
        <v>0.19189288044445324</v>
      </c>
    </row>
    <row r="378" spans="1:18">
      <c r="A378" t="s">
        <v>709</v>
      </c>
      <c r="B378" t="s">
        <v>74</v>
      </c>
      <c r="C378" t="s">
        <v>104</v>
      </c>
      <c r="D378">
        <v>2</v>
      </c>
      <c r="E378" t="s">
        <v>132</v>
      </c>
      <c r="F378" t="s">
        <v>710</v>
      </c>
      <c r="G378" t="s">
        <v>211</v>
      </c>
      <c r="H378" s="16">
        <v>1438349</v>
      </c>
      <c r="I378" s="16">
        <v>985857</v>
      </c>
      <c r="J378" s="16">
        <v>17526</v>
      </c>
      <c r="K378" s="16">
        <v>1292353</v>
      </c>
      <c r="L378" s="16">
        <v>945541</v>
      </c>
      <c r="M378" s="16">
        <v>145995</v>
      </c>
      <c r="N378" s="16">
        <v>14508</v>
      </c>
      <c r="O378">
        <v>0</v>
      </c>
      <c r="P378">
        <v>15</v>
      </c>
      <c r="Q378" s="20">
        <v>0.68540875684552216</v>
      </c>
      <c r="R378" s="21">
        <v>9.9373266207746835E-2</v>
      </c>
    </row>
    <row r="379" spans="1:18">
      <c r="A379" t="s">
        <v>711</v>
      </c>
      <c r="B379" t="s">
        <v>74</v>
      </c>
      <c r="C379" t="s">
        <v>104</v>
      </c>
      <c r="D379">
        <v>2</v>
      </c>
      <c r="E379" t="s">
        <v>132</v>
      </c>
      <c r="F379" t="s">
        <v>665</v>
      </c>
      <c r="G379" t="s">
        <v>169</v>
      </c>
      <c r="H379" s="16">
        <v>1437606</v>
      </c>
      <c r="I379" s="16">
        <v>521657</v>
      </c>
      <c r="J379" s="16">
        <v>30173</v>
      </c>
      <c r="K379" s="16">
        <v>1186812</v>
      </c>
      <c r="L379" s="16">
        <v>1080592</v>
      </c>
      <c r="M379" s="16">
        <v>250794</v>
      </c>
      <c r="N379" s="16">
        <v>33202</v>
      </c>
      <c r="O379">
        <v>0</v>
      </c>
      <c r="P379">
        <v>10</v>
      </c>
      <c r="Q379" s="20">
        <v>0.36286506873232305</v>
      </c>
      <c r="R379" s="21">
        <v>0.13238753718191026</v>
      </c>
    </row>
    <row r="380" spans="1:18">
      <c r="A380" t="s">
        <v>712</v>
      </c>
      <c r="B380" t="s">
        <v>74</v>
      </c>
      <c r="C380" t="s">
        <v>104</v>
      </c>
      <c r="D380">
        <v>2</v>
      </c>
      <c r="E380" t="s">
        <v>132</v>
      </c>
      <c r="F380" t="s">
        <v>663</v>
      </c>
      <c r="G380" t="s">
        <v>169</v>
      </c>
      <c r="H380" s="16">
        <v>1437278</v>
      </c>
      <c r="I380" s="16">
        <v>1048192</v>
      </c>
      <c r="J380" s="16">
        <v>21830</v>
      </c>
      <c r="K380" s="16">
        <v>1279130</v>
      </c>
      <c r="L380" s="16">
        <v>869470</v>
      </c>
      <c r="M380" s="16">
        <v>158148</v>
      </c>
      <c r="N380" s="16">
        <v>9894</v>
      </c>
      <c r="O380">
        <v>0</v>
      </c>
      <c r="P380">
        <v>31</v>
      </c>
      <c r="Q380" s="20">
        <v>0.72928967117008681</v>
      </c>
      <c r="R380" s="21">
        <v>6.2561651111616962E-2</v>
      </c>
    </row>
    <row r="381" spans="1:18">
      <c r="A381" t="s">
        <v>713</v>
      </c>
      <c r="B381" t="s">
        <v>89</v>
      </c>
      <c r="C381" t="s">
        <v>162</v>
      </c>
      <c r="D381">
        <v>2</v>
      </c>
      <c r="E381" t="s">
        <v>132</v>
      </c>
      <c r="F381" t="s">
        <v>133</v>
      </c>
      <c r="G381" t="s">
        <v>134</v>
      </c>
      <c r="H381" s="16">
        <v>1435335</v>
      </c>
      <c r="I381" s="16">
        <v>28962</v>
      </c>
      <c r="J381" s="16">
        <v>1317631</v>
      </c>
      <c r="K381" s="16">
        <v>1365667</v>
      </c>
      <c r="L381" s="16">
        <v>571257</v>
      </c>
      <c r="M381" s="16">
        <v>69668</v>
      </c>
      <c r="N381" s="16">
        <v>-3190</v>
      </c>
      <c r="O381">
        <v>1</v>
      </c>
      <c r="P381">
        <v>0</v>
      </c>
      <c r="Q381" s="20">
        <v>2.0177867884500832E-2</v>
      </c>
      <c r="R381" s="21">
        <v>-4.5788597347419191E-2</v>
      </c>
    </row>
    <row r="382" spans="1:18">
      <c r="A382" t="s">
        <v>714</v>
      </c>
      <c r="B382" t="s">
        <v>74</v>
      </c>
      <c r="C382" t="s">
        <v>104</v>
      </c>
      <c r="D382">
        <v>2</v>
      </c>
      <c r="E382" t="s">
        <v>132</v>
      </c>
      <c r="F382" t="s">
        <v>715</v>
      </c>
      <c r="G382" t="s">
        <v>134</v>
      </c>
      <c r="H382" s="16">
        <v>1434578</v>
      </c>
      <c r="I382" s="16">
        <v>666768</v>
      </c>
      <c r="J382" s="16">
        <v>49647</v>
      </c>
      <c r="K382" s="16">
        <v>1247973</v>
      </c>
      <c r="L382" s="16">
        <v>1128385</v>
      </c>
      <c r="M382" s="16">
        <v>186605</v>
      </c>
      <c r="N382" s="16">
        <v>12781</v>
      </c>
      <c r="O382">
        <v>0</v>
      </c>
      <c r="P382">
        <v>21</v>
      </c>
      <c r="Q382" s="20">
        <v>0.46478337183478347</v>
      </c>
      <c r="R382" s="21">
        <v>6.8492269767691114E-2</v>
      </c>
    </row>
    <row r="383" spans="1:18">
      <c r="A383" t="s">
        <v>716</v>
      </c>
      <c r="B383" t="s">
        <v>74</v>
      </c>
      <c r="C383" t="s">
        <v>104</v>
      </c>
      <c r="D383">
        <v>2</v>
      </c>
      <c r="E383" t="s">
        <v>132</v>
      </c>
      <c r="F383" t="s">
        <v>397</v>
      </c>
      <c r="G383" t="s">
        <v>169</v>
      </c>
      <c r="H383" s="16">
        <v>1406046</v>
      </c>
      <c r="I383" s="16">
        <v>813634</v>
      </c>
      <c r="J383" s="16">
        <v>24751</v>
      </c>
      <c r="K383" s="16">
        <v>1275825</v>
      </c>
      <c r="L383" s="16">
        <v>1147635</v>
      </c>
      <c r="M383" s="16">
        <v>130221</v>
      </c>
      <c r="N383" s="16">
        <v>14696</v>
      </c>
      <c r="O383">
        <v>0</v>
      </c>
      <c r="P383">
        <v>27</v>
      </c>
      <c r="Q383" s="20">
        <v>0.57866812323352157</v>
      </c>
      <c r="R383" s="21">
        <v>0.11285430153354682</v>
      </c>
    </row>
    <row r="384" spans="1:18">
      <c r="A384" t="s">
        <v>717</v>
      </c>
      <c r="B384" t="s">
        <v>77</v>
      </c>
      <c r="C384" t="s">
        <v>101</v>
      </c>
      <c r="D384">
        <v>2</v>
      </c>
      <c r="E384" t="s">
        <v>132</v>
      </c>
      <c r="F384" t="s">
        <v>555</v>
      </c>
      <c r="G384" t="s">
        <v>250</v>
      </c>
      <c r="H384" s="16">
        <v>1399122</v>
      </c>
      <c r="I384" s="16">
        <v>0</v>
      </c>
      <c r="J384" s="16">
        <v>471356</v>
      </c>
      <c r="K384" s="16">
        <v>129846</v>
      </c>
      <c r="L384" s="16">
        <v>0</v>
      </c>
      <c r="M384" s="16">
        <v>1269276</v>
      </c>
      <c r="N384" s="16">
        <v>9699</v>
      </c>
      <c r="O384">
        <v>0</v>
      </c>
      <c r="P384">
        <v>0</v>
      </c>
      <c r="Q384" s="20">
        <v>0</v>
      </c>
      <c r="R384" s="21">
        <v>7.6413640532082853E-3</v>
      </c>
    </row>
    <row r="385" spans="1:18">
      <c r="A385" t="s">
        <v>718</v>
      </c>
      <c r="B385" t="s">
        <v>74</v>
      </c>
      <c r="C385" t="s">
        <v>104</v>
      </c>
      <c r="D385">
        <v>2</v>
      </c>
      <c r="E385" t="s">
        <v>132</v>
      </c>
      <c r="F385" t="s">
        <v>719</v>
      </c>
      <c r="G385" t="s">
        <v>169</v>
      </c>
      <c r="H385" s="16">
        <v>1368933</v>
      </c>
      <c r="I385" s="16">
        <v>459019</v>
      </c>
      <c r="J385" s="16">
        <v>23283</v>
      </c>
      <c r="K385" s="16">
        <v>1213771</v>
      </c>
      <c r="L385" s="16">
        <v>1172945</v>
      </c>
      <c r="M385" s="16">
        <v>155162</v>
      </c>
      <c r="N385" s="16">
        <v>6529</v>
      </c>
      <c r="O385">
        <v>0</v>
      </c>
      <c r="P385">
        <v>15</v>
      </c>
      <c r="Q385" s="20">
        <v>0.33531151634155942</v>
      </c>
      <c r="R385" s="21">
        <v>4.2078601719493174E-2</v>
      </c>
    </row>
    <row r="386" spans="1:18">
      <c r="A386" t="s">
        <v>720</v>
      </c>
      <c r="B386" t="s">
        <v>74</v>
      </c>
      <c r="C386" t="s">
        <v>104</v>
      </c>
      <c r="D386">
        <v>2</v>
      </c>
      <c r="E386" t="s">
        <v>132</v>
      </c>
      <c r="F386" t="s">
        <v>721</v>
      </c>
      <c r="G386" t="s">
        <v>153</v>
      </c>
      <c r="H386" s="16">
        <v>1363081</v>
      </c>
      <c r="I386" s="16">
        <v>914876</v>
      </c>
      <c r="J386" s="16">
        <v>25326</v>
      </c>
      <c r="K386" s="16">
        <v>1214076</v>
      </c>
      <c r="L386" s="16">
        <v>791302</v>
      </c>
      <c r="M386" s="16">
        <v>149005</v>
      </c>
      <c r="N386" s="16">
        <v>5743</v>
      </c>
      <c r="O386">
        <v>0</v>
      </c>
      <c r="P386">
        <v>23</v>
      </c>
      <c r="Q386" s="20">
        <v>0.67118241689231972</v>
      </c>
      <c r="R386" s="21">
        <v>3.854233079426865E-2</v>
      </c>
    </row>
    <row r="387" spans="1:18">
      <c r="A387" t="s">
        <v>722</v>
      </c>
      <c r="B387" t="s">
        <v>83</v>
      </c>
      <c r="C387" t="s">
        <v>104</v>
      </c>
      <c r="D387">
        <v>3</v>
      </c>
      <c r="E387" t="s">
        <v>143</v>
      </c>
      <c r="F387" t="s">
        <v>133</v>
      </c>
      <c r="G387" t="s">
        <v>134</v>
      </c>
      <c r="H387" s="16">
        <v>1332663</v>
      </c>
      <c r="I387" s="16">
        <v>0</v>
      </c>
      <c r="J387" s="16">
        <v>27491</v>
      </c>
      <c r="K387" s="16">
        <v>1306507</v>
      </c>
      <c r="L387" s="16">
        <v>1302541</v>
      </c>
      <c r="M387" s="16">
        <v>26156</v>
      </c>
      <c r="N387" s="16">
        <v>866</v>
      </c>
      <c r="O387">
        <v>2</v>
      </c>
      <c r="P387">
        <v>0</v>
      </c>
      <c r="Q387" s="20">
        <v>0</v>
      </c>
      <c r="R387" s="21">
        <v>3.3109038079217008E-2</v>
      </c>
    </row>
    <row r="388" spans="1:18">
      <c r="A388" t="s">
        <v>723</v>
      </c>
      <c r="B388" t="s">
        <v>74</v>
      </c>
      <c r="C388" t="s">
        <v>104</v>
      </c>
      <c r="D388">
        <v>2</v>
      </c>
      <c r="E388" t="s">
        <v>132</v>
      </c>
      <c r="F388" t="s">
        <v>724</v>
      </c>
      <c r="G388" t="s">
        <v>134</v>
      </c>
      <c r="H388" s="16">
        <v>1332295</v>
      </c>
      <c r="I388" s="16">
        <v>852010</v>
      </c>
      <c r="J388" s="16">
        <v>28784</v>
      </c>
      <c r="K388" s="16">
        <v>1196336</v>
      </c>
      <c r="L388" s="16">
        <v>1106512</v>
      </c>
      <c r="M388" s="16">
        <v>135959</v>
      </c>
      <c r="N388" s="16">
        <v>15686</v>
      </c>
      <c r="O388">
        <v>0</v>
      </c>
      <c r="P388">
        <v>22</v>
      </c>
      <c r="Q388" s="20">
        <v>0.63950551491974372</v>
      </c>
      <c r="R388" s="21">
        <v>0.11537301686537853</v>
      </c>
    </row>
    <row r="389" spans="1:18">
      <c r="A389" t="s">
        <v>725</v>
      </c>
      <c r="B389" t="s">
        <v>74</v>
      </c>
      <c r="C389" t="s">
        <v>104</v>
      </c>
      <c r="D389">
        <v>2</v>
      </c>
      <c r="E389" t="s">
        <v>132</v>
      </c>
      <c r="F389" t="s">
        <v>402</v>
      </c>
      <c r="G389" t="s">
        <v>206</v>
      </c>
      <c r="H389" s="16">
        <v>1329147</v>
      </c>
      <c r="I389" s="16">
        <v>979796</v>
      </c>
      <c r="J389" s="16">
        <v>44629</v>
      </c>
      <c r="K389" s="16">
        <v>1103127</v>
      </c>
      <c r="L389" s="16">
        <v>930015</v>
      </c>
      <c r="M389" s="16">
        <v>226019</v>
      </c>
      <c r="N389" s="16">
        <v>12224</v>
      </c>
      <c r="O389">
        <v>0</v>
      </c>
      <c r="P389">
        <v>26</v>
      </c>
      <c r="Q389" s="20">
        <v>0.73716150282850579</v>
      </c>
      <c r="R389" s="21">
        <v>5.4083948694578776E-2</v>
      </c>
    </row>
    <row r="390" spans="1:18">
      <c r="A390" t="s">
        <v>726</v>
      </c>
      <c r="B390" t="s">
        <v>68</v>
      </c>
      <c r="C390" t="s">
        <v>101</v>
      </c>
      <c r="D390">
        <v>2</v>
      </c>
      <c r="E390" t="s">
        <v>132</v>
      </c>
      <c r="F390" t="s">
        <v>210</v>
      </c>
      <c r="G390" t="s">
        <v>211</v>
      </c>
      <c r="H390" s="16">
        <v>1325349</v>
      </c>
      <c r="I390" s="16">
        <v>989412</v>
      </c>
      <c r="J390" s="16">
        <v>96641</v>
      </c>
      <c r="K390" s="16">
        <v>1167776</v>
      </c>
      <c r="L390" s="16">
        <v>1135374</v>
      </c>
      <c r="M390" s="16">
        <v>157573</v>
      </c>
      <c r="N390" s="16">
        <v>12532</v>
      </c>
      <c r="O390">
        <v>2</v>
      </c>
      <c r="P390">
        <v>0</v>
      </c>
      <c r="Q390" s="20">
        <v>0.7465294047077411</v>
      </c>
      <c r="R390" s="21">
        <v>7.9531391799356491E-2</v>
      </c>
    </row>
    <row r="391" spans="1:18">
      <c r="A391" t="s">
        <v>727</v>
      </c>
      <c r="B391" t="s">
        <v>89</v>
      </c>
      <c r="C391" t="s">
        <v>162</v>
      </c>
      <c r="D391">
        <v>3</v>
      </c>
      <c r="E391" t="s">
        <v>143</v>
      </c>
      <c r="F391" t="s">
        <v>133</v>
      </c>
      <c r="G391" t="s">
        <v>134</v>
      </c>
      <c r="H391" s="16">
        <v>1320401</v>
      </c>
      <c r="I391" s="16">
        <v>60742</v>
      </c>
      <c r="J391" s="16">
        <v>186971</v>
      </c>
      <c r="K391" s="16">
        <v>1213925</v>
      </c>
      <c r="L391" s="16">
        <v>650545</v>
      </c>
      <c r="M391" s="16">
        <v>106477</v>
      </c>
      <c r="N391" s="16">
        <v>8395</v>
      </c>
      <c r="O391">
        <v>1</v>
      </c>
      <c r="P391">
        <v>0</v>
      </c>
      <c r="Q391" s="20">
        <v>4.6002691606564977E-2</v>
      </c>
      <c r="R391" s="21">
        <v>7.8843318275308286E-2</v>
      </c>
    </row>
    <row r="392" spans="1:18">
      <c r="A392" t="s">
        <v>728</v>
      </c>
      <c r="B392" t="s">
        <v>74</v>
      </c>
      <c r="C392" t="s">
        <v>101</v>
      </c>
      <c r="D392">
        <v>2</v>
      </c>
      <c r="E392" t="s">
        <v>132</v>
      </c>
      <c r="F392" t="s">
        <v>729</v>
      </c>
      <c r="G392" t="s">
        <v>134</v>
      </c>
      <c r="H392" s="16">
        <v>1315747</v>
      </c>
      <c r="I392" s="16">
        <v>713183</v>
      </c>
      <c r="J392" s="16">
        <v>525132</v>
      </c>
      <c r="K392" s="16">
        <v>1202027</v>
      </c>
      <c r="L392" s="16">
        <v>921306</v>
      </c>
      <c r="M392" s="16">
        <v>113720</v>
      </c>
      <c r="N392" s="16">
        <v>7058</v>
      </c>
      <c r="O392">
        <v>0</v>
      </c>
      <c r="P392">
        <v>11</v>
      </c>
      <c r="Q392" s="20">
        <v>0.54203657694070362</v>
      </c>
      <c r="R392" s="21">
        <v>6.206472036581076E-2</v>
      </c>
    </row>
    <row r="393" spans="1:18">
      <c r="A393" t="s">
        <v>730</v>
      </c>
      <c r="B393" t="s">
        <v>74</v>
      </c>
      <c r="C393" t="s">
        <v>104</v>
      </c>
      <c r="D393">
        <v>2</v>
      </c>
      <c r="E393" t="s">
        <v>132</v>
      </c>
      <c r="F393" t="s">
        <v>481</v>
      </c>
      <c r="G393" t="s">
        <v>311</v>
      </c>
      <c r="H393" s="16">
        <v>1311054</v>
      </c>
      <c r="I393" s="16">
        <v>706068</v>
      </c>
      <c r="J393" s="16">
        <v>42107</v>
      </c>
      <c r="K393" s="16">
        <v>1097271</v>
      </c>
      <c r="L393" s="16">
        <v>942525</v>
      </c>
      <c r="M393" s="16">
        <v>213783</v>
      </c>
      <c r="N393" s="16">
        <v>14733</v>
      </c>
      <c r="O393">
        <v>0</v>
      </c>
      <c r="P393">
        <v>26</v>
      </c>
      <c r="Q393" s="20">
        <v>0.53854989954647181</v>
      </c>
      <c r="R393" s="21">
        <v>6.8915676176309629E-2</v>
      </c>
    </row>
    <row r="394" spans="1:18">
      <c r="A394" t="s">
        <v>731</v>
      </c>
      <c r="B394" t="s">
        <v>74</v>
      </c>
      <c r="C394" t="s">
        <v>104</v>
      </c>
      <c r="D394">
        <v>2</v>
      </c>
      <c r="E394" t="s">
        <v>132</v>
      </c>
      <c r="F394" t="s">
        <v>732</v>
      </c>
      <c r="G394" t="s">
        <v>169</v>
      </c>
      <c r="H394" s="16">
        <v>1310490</v>
      </c>
      <c r="I394" s="16">
        <v>680818</v>
      </c>
      <c r="J394" s="16">
        <v>39289</v>
      </c>
      <c r="K394" s="16">
        <v>1079225</v>
      </c>
      <c r="L394" s="16">
        <v>802076</v>
      </c>
      <c r="M394" s="16">
        <v>231264</v>
      </c>
      <c r="N394" s="16">
        <v>5665</v>
      </c>
      <c r="O394">
        <v>0</v>
      </c>
      <c r="P394">
        <v>5</v>
      </c>
      <c r="Q394" s="20">
        <v>0.51951407488801904</v>
      </c>
      <c r="R394" s="21">
        <v>2.4495814307458143E-2</v>
      </c>
    </row>
    <row r="395" spans="1:18">
      <c r="A395" t="s">
        <v>733</v>
      </c>
      <c r="B395" t="s">
        <v>74</v>
      </c>
      <c r="C395" t="s">
        <v>104</v>
      </c>
      <c r="D395">
        <v>2</v>
      </c>
      <c r="E395" t="s">
        <v>132</v>
      </c>
      <c r="F395" t="s">
        <v>734</v>
      </c>
      <c r="G395" t="s">
        <v>206</v>
      </c>
      <c r="H395" s="16">
        <v>1296552</v>
      </c>
      <c r="I395" s="16">
        <v>892658</v>
      </c>
      <c r="J395" s="16">
        <v>21399</v>
      </c>
      <c r="K395" s="16">
        <v>1147954</v>
      </c>
      <c r="L395" s="16">
        <v>781016</v>
      </c>
      <c r="M395" s="16">
        <v>148599</v>
      </c>
      <c r="N395" s="16">
        <v>1631</v>
      </c>
      <c r="O395">
        <v>0</v>
      </c>
      <c r="P395">
        <v>30</v>
      </c>
      <c r="Q395" s="20">
        <v>0.68848607691785602</v>
      </c>
      <c r="R395" s="21">
        <v>1.0975847751330762E-2</v>
      </c>
    </row>
    <row r="396" spans="1:18">
      <c r="A396" t="s">
        <v>735</v>
      </c>
      <c r="B396" t="s">
        <v>74</v>
      </c>
      <c r="C396" t="s">
        <v>104</v>
      </c>
      <c r="D396">
        <v>2</v>
      </c>
      <c r="E396" t="s">
        <v>132</v>
      </c>
      <c r="F396" t="s">
        <v>736</v>
      </c>
      <c r="G396" t="s">
        <v>169</v>
      </c>
      <c r="H396" s="16">
        <v>1291374</v>
      </c>
      <c r="I396" s="16">
        <v>463429</v>
      </c>
      <c r="J396" s="16">
        <v>29633</v>
      </c>
      <c r="K396" s="16">
        <v>1102048</v>
      </c>
      <c r="L396" s="16">
        <v>1017855</v>
      </c>
      <c r="M396" s="16">
        <v>189326</v>
      </c>
      <c r="N396" s="16">
        <v>20339</v>
      </c>
      <c r="O396">
        <v>0</v>
      </c>
      <c r="P396">
        <v>7</v>
      </c>
      <c r="Q396" s="20">
        <v>0.35886505381090217</v>
      </c>
      <c r="R396" s="21">
        <v>0.10742845673600034</v>
      </c>
    </row>
    <row r="397" spans="1:18">
      <c r="A397" t="s">
        <v>737</v>
      </c>
      <c r="B397" t="s">
        <v>74</v>
      </c>
      <c r="C397" t="s">
        <v>104</v>
      </c>
      <c r="D397">
        <v>2</v>
      </c>
      <c r="E397" t="s">
        <v>132</v>
      </c>
      <c r="F397" t="s">
        <v>738</v>
      </c>
      <c r="G397" t="s">
        <v>206</v>
      </c>
      <c r="H397" s="16">
        <v>1280529</v>
      </c>
      <c r="I397" s="16">
        <v>597926</v>
      </c>
      <c r="J397" s="16">
        <v>17868</v>
      </c>
      <c r="K397" s="16">
        <v>1165763</v>
      </c>
      <c r="L397" s="16">
        <v>981581</v>
      </c>
      <c r="M397" s="16">
        <v>114766</v>
      </c>
      <c r="N397" s="16">
        <v>-1292</v>
      </c>
      <c r="O397">
        <v>0</v>
      </c>
      <c r="P397">
        <v>10</v>
      </c>
      <c r="Q397" s="20">
        <v>0.46693671131227799</v>
      </c>
      <c r="R397" s="21">
        <v>-1.1257689559625673E-2</v>
      </c>
    </row>
    <row r="398" spans="1:18">
      <c r="A398" t="s">
        <v>739</v>
      </c>
      <c r="B398" t="s">
        <v>74</v>
      </c>
      <c r="C398" t="s">
        <v>104</v>
      </c>
      <c r="D398">
        <v>2</v>
      </c>
      <c r="E398" t="s">
        <v>132</v>
      </c>
      <c r="F398" t="s">
        <v>740</v>
      </c>
      <c r="G398" t="s">
        <v>311</v>
      </c>
      <c r="H398" s="16">
        <v>1278284</v>
      </c>
      <c r="I398" s="16">
        <v>750136</v>
      </c>
      <c r="J398" s="16">
        <v>61828</v>
      </c>
      <c r="K398" s="16">
        <v>917890</v>
      </c>
      <c r="L398" s="16">
        <v>848366</v>
      </c>
      <c r="M398" s="16">
        <v>360394</v>
      </c>
      <c r="N398" s="16">
        <v>10167</v>
      </c>
      <c r="O398">
        <v>0</v>
      </c>
      <c r="P398">
        <v>18</v>
      </c>
      <c r="Q398" s="20">
        <v>0.5868304695983052</v>
      </c>
      <c r="R398" s="21">
        <v>2.8210791522611363E-2</v>
      </c>
    </row>
    <row r="399" spans="1:18">
      <c r="A399" t="s">
        <v>741</v>
      </c>
      <c r="B399" t="s">
        <v>89</v>
      </c>
      <c r="C399" t="s">
        <v>162</v>
      </c>
      <c r="D399">
        <v>2</v>
      </c>
      <c r="E399" t="s">
        <v>132</v>
      </c>
      <c r="F399" t="s">
        <v>133</v>
      </c>
      <c r="G399" t="s">
        <v>134</v>
      </c>
      <c r="H399" s="16">
        <v>1273180</v>
      </c>
      <c r="I399" s="16">
        <v>0</v>
      </c>
      <c r="J399" s="16">
        <v>57555</v>
      </c>
      <c r="K399" s="16">
        <v>1223611</v>
      </c>
      <c r="L399" s="16">
        <v>420849</v>
      </c>
      <c r="M399" s="16">
        <v>49569</v>
      </c>
      <c r="N399" s="16">
        <v>-9329</v>
      </c>
      <c r="O399">
        <v>1</v>
      </c>
      <c r="P399">
        <v>0</v>
      </c>
      <c r="Q399" s="20">
        <v>0</v>
      </c>
      <c r="R399" s="21">
        <v>-0.18820230385926687</v>
      </c>
    </row>
    <row r="400" spans="1:18">
      <c r="A400" t="s">
        <v>742</v>
      </c>
      <c r="B400" t="s">
        <v>74</v>
      </c>
      <c r="C400" t="s">
        <v>104</v>
      </c>
      <c r="D400">
        <v>2</v>
      </c>
      <c r="E400" t="s">
        <v>132</v>
      </c>
      <c r="F400" t="s">
        <v>743</v>
      </c>
      <c r="G400" t="s">
        <v>744</v>
      </c>
      <c r="H400" s="16">
        <v>1270991</v>
      </c>
      <c r="I400" s="16">
        <v>910200</v>
      </c>
      <c r="J400" s="16">
        <v>42408</v>
      </c>
      <c r="K400" s="16">
        <v>1118569</v>
      </c>
      <c r="L400" s="16">
        <v>989949</v>
      </c>
      <c r="M400" s="16">
        <v>152421</v>
      </c>
      <c r="N400" s="16">
        <v>16707</v>
      </c>
      <c r="O400">
        <v>0</v>
      </c>
      <c r="P400">
        <v>44</v>
      </c>
      <c r="Q400" s="20">
        <v>0.71613410323125815</v>
      </c>
      <c r="R400" s="21">
        <v>0.10961088039049738</v>
      </c>
    </row>
    <row r="401" spans="1:18">
      <c r="A401" t="s">
        <v>745</v>
      </c>
      <c r="B401" t="s">
        <v>74</v>
      </c>
      <c r="C401" t="s">
        <v>104</v>
      </c>
      <c r="D401">
        <v>2</v>
      </c>
      <c r="E401" t="s">
        <v>132</v>
      </c>
      <c r="F401" t="s">
        <v>746</v>
      </c>
      <c r="G401" t="s">
        <v>169</v>
      </c>
      <c r="H401" s="16">
        <v>1268291</v>
      </c>
      <c r="I401" s="16">
        <v>425273</v>
      </c>
      <c r="J401" s="16">
        <v>228234</v>
      </c>
      <c r="K401" s="16">
        <v>1155215</v>
      </c>
      <c r="L401" s="16">
        <v>1068279</v>
      </c>
      <c r="M401" s="16">
        <v>113075</v>
      </c>
      <c r="N401" s="16">
        <v>6438</v>
      </c>
      <c r="O401">
        <v>0</v>
      </c>
      <c r="P401">
        <v>8</v>
      </c>
      <c r="Q401" s="20">
        <v>0.33531184877918396</v>
      </c>
      <c r="R401" s="21">
        <v>5.6935662171125362E-2</v>
      </c>
    </row>
    <row r="402" spans="1:18">
      <c r="A402" t="s">
        <v>747</v>
      </c>
      <c r="B402" t="s">
        <v>74</v>
      </c>
      <c r="C402" t="s">
        <v>104</v>
      </c>
      <c r="D402">
        <v>2</v>
      </c>
      <c r="E402" t="s">
        <v>132</v>
      </c>
      <c r="F402" t="s">
        <v>671</v>
      </c>
      <c r="G402" t="s">
        <v>211</v>
      </c>
      <c r="H402" s="16">
        <v>1261589</v>
      </c>
      <c r="I402" s="16">
        <v>988692</v>
      </c>
      <c r="J402" s="16">
        <v>16720</v>
      </c>
      <c r="K402" s="16">
        <v>1108259</v>
      </c>
      <c r="L402" s="16">
        <v>693066</v>
      </c>
      <c r="M402" s="16">
        <v>153330</v>
      </c>
      <c r="N402" s="16">
        <v>7521</v>
      </c>
      <c r="O402">
        <v>0</v>
      </c>
      <c r="P402">
        <v>17</v>
      </c>
      <c r="Q402" s="20">
        <v>0.78368787299191733</v>
      </c>
      <c r="R402" s="21">
        <v>4.9051066327528862E-2</v>
      </c>
    </row>
    <row r="403" spans="1:18">
      <c r="A403" t="s">
        <v>748</v>
      </c>
      <c r="B403" t="s">
        <v>74</v>
      </c>
      <c r="C403" t="s">
        <v>104</v>
      </c>
      <c r="D403">
        <v>2</v>
      </c>
      <c r="E403" t="s">
        <v>132</v>
      </c>
      <c r="F403" t="s">
        <v>555</v>
      </c>
      <c r="G403" t="s">
        <v>250</v>
      </c>
      <c r="H403" s="16">
        <v>1258416</v>
      </c>
      <c r="I403" s="16">
        <v>793839</v>
      </c>
      <c r="J403" s="16">
        <v>21570</v>
      </c>
      <c r="K403" s="16">
        <v>1128225</v>
      </c>
      <c r="L403" s="16">
        <v>1027809</v>
      </c>
      <c r="M403" s="16">
        <v>130191</v>
      </c>
      <c r="N403" s="16">
        <v>1457</v>
      </c>
      <c r="O403">
        <v>0</v>
      </c>
      <c r="P403">
        <v>25</v>
      </c>
      <c r="Q403" s="20">
        <v>0.63082398825189767</v>
      </c>
      <c r="R403" s="21">
        <v>1.1191249779170603E-2</v>
      </c>
    </row>
    <row r="404" spans="1:18">
      <c r="A404" t="s">
        <v>749</v>
      </c>
      <c r="B404" t="s">
        <v>74</v>
      </c>
      <c r="C404" t="s">
        <v>104</v>
      </c>
      <c r="D404">
        <v>2</v>
      </c>
      <c r="E404" t="s">
        <v>132</v>
      </c>
      <c r="F404" t="s">
        <v>750</v>
      </c>
      <c r="G404" t="s">
        <v>169</v>
      </c>
      <c r="H404" s="16">
        <v>1239176</v>
      </c>
      <c r="I404" s="16">
        <v>695948</v>
      </c>
      <c r="J404" s="16">
        <v>44507</v>
      </c>
      <c r="K404" s="16">
        <v>1000901</v>
      </c>
      <c r="L404" s="16">
        <v>630409</v>
      </c>
      <c r="M404" s="16">
        <v>238275</v>
      </c>
      <c r="N404" s="16">
        <v>5325</v>
      </c>
      <c r="O404">
        <v>0</v>
      </c>
      <c r="P404">
        <v>2</v>
      </c>
      <c r="Q404" s="20">
        <v>0.56162159370420339</v>
      </c>
      <c r="R404" s="21">
        <v>2.2348127163991188E-2</v>
      </c>
    </row>
    <row r="405" spans="1:18">
      <c r="A405" t="s">
        <v>751</v>
      </c>
      <c r="B405" t="s">
        <v>74</v>
      </c>
      <c r="C405" t="s">
        <v>104</v>
      </c>
      <c r="D405">
        <v>2</v>
      </c>
      <c r="E405" t="s">
        <v>132</v>
      </c>
      <c r="F405" t="s">
        <v>752</v>
      </c>
      <c r="G405" t="s">
        <v>169</v>
      </c>
      <c r="H405" s="16">
        <v>1231700</v>
      </c>
      <c r="I405" s="16">
        <v>383346</v>
      </c>
      <c r="J405" s="16">
        <v>27483</v>
      </c>
      <c r="K405" s="16">
        <v>1055346</v>
      </c>
      <c r="L405" s="16">
        <v>958917</v>
      </c>
      <c r="M405" s="16">
        <v>176354</v>
      </c>
      <c r="N405" s="16">
        <v>19046</v>
      </c>
      <c r="O405">
        <v>0</v>
      </c>
      <c r="P405">
        <v>28</v>
      </c>
      <c r="Q405" s="20">
        <v>0.31123325485101894</v>
      </c>
      <c r="R405" s="21">
        <v>0.10799868446420269</v>
      </c>
    </row>
    <row r="406" spans="1:18">
      <c r="A406" t="s">
        <v>753</v>
      </c>
      <c r="B406" t="s">
        <v>83</v>
      </c>
      <c r="C406" t="s">
        <v>101</v>
      </c>
      <c r="D406">
        <v>3</v>
      </c>
      <c r="E406" t="s">
        <v>143</v>
      </c>
      <c r="F406" t="s">
        <v>163</v>
      </c>
      <c r="G406" t="s">
        <v>134</v>
      </c>
      <c r="H406" s="16">
        <v>1228780</v>
      </c>
      <c r="I406" s="16">
        <v>981109</v>
      </c>
      <c r="J406" s="16">
        <v>193485</v>
      </c>
      <c r="K406" s="16">
        <v>928467</v>
      </c>
      <c r="L406" s="16">
        <v>795774</v>
      </c>
      <c r="M406" s="16">
        <v>300314</v>
      </c>
      <c r="N406" s="16">
        <v>-1005</v>
      </c>
      <c r="O406">
        <v>2</v>
      </c>
      <c r="P406">
        <v>0</v>
      </c>
      <c r="Q406" s="20">
        <v>0.79844154364491604</v>
      </c>
      <c r="R406" s="21">
        <v>-3.3464973327916783E-3</v>
      </c>
    </row>
    <row r="407" spans="1:18">
      <c r="A407" t="s">
        <v>754</v>
      </c>
      <c r="B407" t="s">
        <v>89</v>
      </c>
      <c r="C407" t="s">
        <v>98</v>
      </c>
      <c r="D407">
        <v>2</v>
      </c>
      <c r="E407" t="s">
        <v>132</v>
      </c>
      <c r="F407" t="s">
        <v>168</v>
      </c>
      <c r="G407" t="s">
        <v>169</v>
      </c>
      <c r="H407" s="16">
        <v>1226884</v>
      </c>
      <c r="I407" s="16">
        <v>0</v>
      </c>
      <c r="J407" s="16">
        <v>88993</v>
      </c>
      <c r="K407" s="16">
        <v>833159</v>
      </c>
      <c r="L407" s="16">
        <v>59563</v>
      </c>
      <c r="M407" s="16">
        <v>393725</v>
      </c>
      <c r="N407" s="16">
        <v>-2841</v>
      </c>
      <c r="O407">
        <v>1</v>
      </c>
      <c r="P407">
        <v>0</v>
      </c>
      <c r="Q407" s="20">
        <v>0</v>
      </c>
      <c r="R407" s="21">
        <v>-7.2156962346815673E-3</v>
      </c>
    </row>
    <row r="408" spans="1:18">
      <c r="A408" t="s">
        <v>755</v>
      </c>
      <c r="B408" t="s">
        <v>71</v>
      </c>
      <c r="C408" t="s">
        <v>101</v>
      </c>
      <c r="D408">
        <v>2</v>
      </c>
      <c r="E408" t="s">
        <v>132</v>
      </c>
      <c r="F408" t="s">
        <v>145</v>
      </c>
      <c r="G408" t="s">
        <v>146</v>
      </c>
      <c r="H408" s="16">
        <v>1225612</v>
      </c>
      <c r="I408" s="16">
        <v>577335</v>
      </c>
      <c r="J408" s="16">
        <v>0</v>
      </c>
      <c r="K408" s="16">
        <v>698625</v>
      </c>
      <c r="L408" s="16">
        <v>387309</v>
      </c>
      <c r="M408" s="16">
        <v>526987</v>
      </c>
      <c r="N408" s="16">
        <v>11933</v>
      </c>
      <c r="O408">
        <v>2</v>
      </c>
      <c r="P408">
        <v>0</v>
      </c>
      <c r="Q408" s="20">
        <v>0.47105854054953772</v>
      </c>
      <c r="R408" s="21">
        <v>2.2643822333378243E-2</v>
      </c>
    </row>
    <row r="409" spans="1:18">
      <c r="A409" t="s">
        <v>756</v>
      </c>
      <c r="B409" t="s">
        <v>74</v>
      </c>
      <c r="C409" t="s">
        <v>101</v>
      </c>
      <c r="D409">
        <v>2</v>
      </c>
      <c r="E409" t="s">
        <v>132</v>
      </c>
      <c r="F409" t="s">
        <v>264</v>
      </c>
      <c r="G409" t="s">
        <v>265</v>
      </c>
      <c r="H409" s="16">
        <v>1215106</v>
      </c>
      <c r="I409" s="16">
        <v>420988</v>
      </c>
      <c r="J409" s="16">
        <v>647927</v>
      </c>
      <c r="K409" s="16">
        <v>1084696</v>
      </c>
      <c r="L409" s="16">
        <v>957034</v>
      </c>
      <c r="M409" s="16">
        <v>130411</v>
      </c>
      <c r="N409" s="16">
        <v>9850</v>
      </c>
      <c r="O409">
        <v>0</v>
      </c>
      <c r="P409">
        <v>13</v>
      </c>
      <c r="Q409" s="20">
        <v>0.34646195475950248</v>
      </c>
      <c r="R409" s="21">
        <v>7.5530438383265217E-2</v>
      </c>
    </row>
    <row r="410" spans="1:18">
      <c r="A410" t="s">
        <v>757</v>
      </c>
      <c r="B410" t="s">
        <v>83</v>
      </c>
      <c r="C410" t="s">
        <v>101</v>
      </c>
      <c r="D410">
        <v>1</v>
      </c>
      <c r="E410" t="s">
        <v>136</v>
      </c>
      <c r="F410" t="s">
        <v>197</v>
      </c>
      <c r="G410" t="s">
        <v>198</v>
      </c>
      <c r="H410" s="16">
        <v>1197219</v>
      </c>
      <c r="I410" s="16">
        <v>624999</v>
      </c>
      <c r="J410" s="16">
        <v>432741</v>
      </c>
      <c r="K410" s="16">
        <v>330226</v>
      </c>
      <c r="L410" s="16">
        <v>217963</v>
      </c>
      <c r="M410" s="16">
        <v>866993</v>
      </c>
      <c r="N410" s="16">
        <v>26004</v>
      </c>
      <c r="O410">
        <v>2</v>
      </c>
      <c r="P410">
        <v>0</v>
      </c>
      <c r="Q410" s="20">
        <v>0.52204233310697545</v>
      </c>
      <c r="R410" s="21">
        <v>2.9993321745388948E-2</v>
      </c>
    </row>
    <row r="411" spans="1:18">
      <c r="A411" t="s">
        <v>758</v>
      </c>
      <c r="B411" t="s">
        <v>74</v>
      </c>
      <c r="C411" t="s">
        <v>101</v>
      </c>
      <c r="D411">
        <v>2</v>
      </c>
      <c r="E411" t="s">
        <v>132</v>
      </c>
      <c r="F411" t="s">
        <v>759</v>
      </c>
      <c r="G411" t="s">
        <v>134</v>
      </c>
      <c r="H411" s="16">
        <v>1187220</v>
      </c>
      <c r="I411" s="16">
        <v>587888</v>
      </c>
      <c r="J411" s="16">
        <v>501541</v>
      </c>
      <c r="K411" s="16">
        <v>1093652</v>
      </c>
      <c r="L411" s="16">
        <v>909812</v>
      </c>
      <c r="M411" s="16">
        <v>93568</v>
      </c>
      <c r="N411" s="16">
        <v>-2348</v>
      </c>
      <c r="O411">
        <v>0</v>
      </c>
      <c r="P411">
        <v>13</v>
      </c>
      <c r="Q411" s="20">
        <v>0.49518033725846938</v>
      </c>
      <c r="R411" s="21">
        <v>-2.5094049247606019E-2</v>
      </c>
    </row>
    <row r="412" spans="1:18">
      <c r="A412" t="s">
        <v>760</v>
      </c>
      <c r="B412" t="s">
        <v>74</v>
      </c>
      <c r="C412" t="s">
        <v>104</v>
      </c>
      <c r="D412">
        <v>2</v>
      </c>
      <c r="E412" t="s">
        <v>132</v>
      </c>
      <c r="F412" t="s">
        <v>761</v>
      </c>
      <c r="G412" t="s">
        <v>134</v>
      </c>
      <c r="H412" s="16">
        <v>1179966</v>
      </c>
      <c r="I412" s="16">
        <v>431164</v>
      </c>
      <c r="J412" s="16">
        <v>37581</v>
      </c>
      <c r="K412" s="16">
        <v>1043208</v>
      </c>
      <c r="L412" s="16">
        <v>945011</v>
      </c>
      <c r="M412" s="16">
        <v>136759</v>
      </c>
      <c r="N412" s="16">
        <v>5561</v>
      </c>
      <c r="O412">
        <v>0</v>
      </c>
      <c r="P412">
        <v>19</v>
      </c>
      <c r="Q412" s="20">
        <v>0.36540374892157912</v>
      </c>
      <c r="R412" s="21">
        <v>4.0662771737143444E-2</v>
      </c>
    </row>
    <row r="413" spans="1:18">
      <c r="A413" t="s">
        <v>762</v>
      </c>
      <c r="B413" t="s">
        <v>89</v>
      </c>
      <c r="C413" t="s">
        <v>101</v>
      </c>
      <c r="D413">
        <v>2</v>
      </c>
      <c r="E413" t="s">
        <v>132</v>
      </c>
      <c r="F413" t="s">
        <v>133</v>
      </c>
      <c r="G413" t="s">
        <v>134</v>
      </c>
      <c r="H413" s="16">
        <v>1176868</v>
      </c>
      <c r="I413" s="16">
        <v>42392</v>
      </c>
      <c r="J413" s="16">
        <v>36589</v>
      </c>
      <c r="K413" s="16">
        <v>1044753</v>
      </c>
      <c r="L413" s="16">
        <v>931490</v>
      </c>
      <c r="M413" s="16">
        <v>132115</v>
      </c>
      <c r="N413" s="16">
        <v>-13961</v>
      </c>
      <c r="O413">
        <v>1</v>
      </c>
      <c r="P413">
        <v>0</v>
      </c>
      <c r="Q413" s="20">
        <v>3.6021032095358188E-2</v>
      </c>
      <c r="R413" s="21">
        <v>-0.10567308784013928</v>
      </c>
    </row>
    <row r="414" spans="1:18">
      <c r="A414" t="s">
        <v>763</v>
      </c>
      <c r="B414" t="s">
        <v>74</v>
      </c>
      <c r="C414" t="s">
        <v>104</v>
      </c>
      <c r="D414">
        <v>2</v>
      </c>
      <c r="E414" t="s">
        <v>132</v>
      </c>
      <c r="F414" t="s">
        <v>276</v>
      </c>
      <c r="G414" t="s">
        <v>211</v>
      </c>
      <c r="H414" s="16">
        <v>1174152</v>
      </c>
      <c r="I414" s="16">
        <v>861470</v>
      </c>
      <c r="J414" s="16">
        <v>11890</v>
      </c>
      <c r="K414" s="16">
        <v>1035222</v>
      </c>
      <c r="L414" s="16">
        <v>783904</v>
      </c>
      <c r="M414" s="16">
        <v>138930</v>
      </c>
      <c r="N414" s="16">
        <v>6145</v>
      </c>
      <c r="O414">
        <v>0</v>
      </c>
      <c r="P414">
        <v>20</v>
      </c>
      <c r="Q414" s="20">
        <v>0.73369546702641564</v>
      </c>
      <c r="R414" s="21">
        <v>4.4230907651335208E-2</v>
      </c>
    </row>
    <row r="415" spans="1:18">
      <c r="A415" t="s">
        <v>764</v>
      </c>
      <c r="B415" t="s">
        <v>74</v>
      </c>
      <c r="C415" t="s">
        <v>104</v>
      </c>
      <c r="D415">
        <v>2</v>
      </c>
      <c r="E415" t="s">
        <v>132</v>
      </c>
      <c r="F415" t="s">
        <v>724</v>
      </c>
      <c r="G415" t="s">
        <v>134</v>
      </c>
      <c r="H415" s="16">
        <v>1158420</v>
      </c>
      <c r="I415" s="16">
        <v>332423</v>
      </c>
      <c r="J415" s="16">
        <v>63990</v>
      </c>
      <c r="K415" s="16">
        <v>989483</v>
      </c>
      <c r="L415" s="16">
        <v>906480</v>
      </c>
      <c r="M415" s="16">
        <v>168937</v>
      </c>
      <c r="N415" s="16">
        <v>10043</v>
      </c>
      <c r="O415">
        <v>0</v>
      </c>
      <c r="P415">
        <v>15</v>
      </c>
      <c r="Q415" s="20">
        <v>0.2869624143229571</v>
      </c>
      <c r="R415" s="21">
        <v>5.9448196665028978E-2</v>
      </c>
    </row>
    <row r="416" spans="1:18">
      <c r="A416" t="s">
        <v>765</v>
      </c>
      <c r="B416" t="s">
        <v>74</v>
      </c>
      <c r="C416" t="s">
        <v>104</v>
      </c>
      <c r="D416">
        <v>2</v>
      </c>
      <c r="E416" t="s">
        <v>132</v>
      </c>
      <c r="F416" t="s">
        <v>231</v>
      </c>
      <c r="G416" t="s">
        <v>211</v>
      </c>
      <c r="H416" s="16">
        <v>1157884</v>
      </c>
      <c r="I416" s="16">
        <v>900280</v>
      </c>
      <c r="J416" s="16">
        <v>28837</v>
      </c>
      <c r="K416" s="16">
        <v>1015601</v>
      </c>
      <c r="L416" s="16">
        <v>673997</v>
      </c>
      <c r="M416" s="16">
        <v>142283</v>
      </c>
      <c r="N416" s="16">
        <v>-4098</v>
      </c>
      <c r="O416">
        <v>0</v>
      </c>
      <c r="P416">
        <v>20</v>
      </c>
      <c r="Q416" s="20">
        <v>0.77752175520173006</v>
      </c>
      <c r="R416" s="21">
        <v>-2.8801754250332084E-2</v>
      </c>
    </row>
    <row r="417" spans="1:18">
      <c r="A417" t="s">
        <v>766</v>
      </c>
      <c r="B417" t="s">
        <v>89</v>
      </c>
      <c r="C417" t="s">
        <v>162</v>
      </c>
      <c r="D417">
        <v>3</v>
      </c>
      <c r="E417" t="s">
        <v>143</v>
      </c>
      <c r="F417" t="s">
        <v>133</v>
      </c>
      <c r="G417" t="s">
        <v>134</v>
      </c>
      <c r="H417" s="16">
        <v>1157797</v>
      </c>
      <c r="I417" s="16">
        <v>0</v>
      </c>
      <c r="J417" s="16">
        <v>94315</v>
      </c>
      <c r="K417" s="16">
        <v>830408</v>
      </c>
      <c r="L417" s="16">
        <v>0</v>
      </c>
      <c r="M417" s="16">
        <v>327389</v>
      </c>
      <c r="N417" s="16">
        <v>27167</v>
      </c>
      <c r="O417">
        <v>1</v>
      </c>
      <c r="P417">
        <v>0</v>
      </c>
      <c r="Q417" s="20">
        <v>0</v>
      </c>
      <c r="R417" s="21">
        <v>8.2980796544783117E-2</v>
      </c>
    </row>
    <row r="418" spans="1:18">
      <c r="A418" t="s">
        <v>767</v>
      </c>
      <c r="B418" t="s">
        <v>74</v>
      </c>
      <c r="C418" t="s">
        <v>104</v>
      </c>
      <c r="D418">
        <v>2</v>
      </c>
      <c r="E418" t="s">
        <v>132</v>
      </c>
      <c r="F418" t="s">
        <v>646</v>
      </c>
      <c r="G418" t="s">
        <v>134</v>
      </c>
      <c r="H418" s="16">
        <v>1155752</v>
      </c>
      <c r="I418" s="16">
        <v>805851</v>
      </c>
      <c r="J418" s="16">
        <v>245330</v>
      </c>
      <c r="K418" s="16">
        <v>1033047</v>
      </c>
      <c r="L418" s="16">
        <v>934036</v>
      </c>
      <c r="M418" s="16">
        <v>122705</v>
      </c>
      <c r="N418" s="16">
        <v>-3005</v>
      </c>
      <c r="O418">
        <v>0</v>
      </c>
      <c r="P418">
        <v>9</v>
      </c>
      <c r="Q418" s="20">
        <v>0.69725252476309796</v>
      </c>
      <c r="R418" s="21">
        <v>-2.4489629599445825E-2</v>
      </c>
    </row>
    <row r="419" spans="1:18">
      <c r="A419" t="s">
        <v>768</v>
      </c>
      <c r="B419" t="s">
        <v>83</v>
      </c>
      <c r="C419" t="s">
        <v>101</v>
      </c>
      <c r="D419">
        <v>2</v>
      </c>
      <c r="E419" t="s">
        <v>132</v>
      </c>
      <c r="F419" t="s">
        <v>133</v>
      </c>
      <c r="G419" t="s">
        <v>134</v>
      </c>
      <c r="H419" s="16">
        <v>1152355</v>
      </c>
      <c r="I419" s="16">
        <v>848535</v>
      </c>
      <c r="J419" s="16">
        <v>19582</v>
      </c>
      <c r="K419" s="16">
        <v>1017141</v>
      </c>
      <c r="L419" s="16">
        <v>1006711</v>
      </c>
      <c r="M419" s="16">
        <v>135213</v>
      </c>
      <c r="N419" s="16">
        <v>6354</v>
      </c>
      <c r="O419">
        <v>2</v>
      </c>
      <c r="P419">
        <v>0</v>
      </c>
      <c r="Q419" s="20">
        <v>0.7363486078508793</v>
      </c>
      <c r="R419" s="21">
        <v>4.6992522908300235E-2</v>
      </c>
    </row>
    <row r="420" spans="1:18">
      <c r="A420" t="s">
        <v>769</v>
      </c>
      <c r="B420" t="s">
        <v>89</v>
      </c>
      <c r="C420" t="s">
        <v>162</v>
      </c>
      <c r="D420">
        <v>3</v>
      </c>
      <c r="E420" t="s">
        <v>143</v>
      </c>
      <c r="F420" t="s">
        <v>163</v>
      </c>
      <c r="G420" t="s">
        <v>134</v>
      </c>
      <c r="H420" s="16">
        <v>1151799</v>
      </c>
      <c r="I420" s="16">
        <v>693580</v>
      </c>
      <c r="J420" s="16">
        <v>6246</v>
      </c>
      <c r="K420" s="16">
        <v>1014838</v>
      </c>
      <c r="L420" s="16">
        <v>113836</v>
      </c>
      <c r="M420" s="16">
        <v>136961</v>
      </c>
      <c r="N420" s="16">
        <v>4062</v>
      </c>
      <c r="O420">
        <v>1</v>
      </c>
      <c r="P420">
        <v>0</v>
      </c>
      <c r="Q420" s="20">
        <v>0.60217103852321452</v>
      </c>
      <c r="R420" s="21">
        <v>2.9658077846978336E-2</v>
      </c>
    </row>
    <row r="421" spans="1:18">
      <c r="A421" t="s">
        <v>770</v>
      </c>
      <c r="B421" t="s">
        <v>74</v>
      </c>
      <c r="C421" t="s">
        <v>104</v>
      </c>
      <c r="D421">
        <v>2</v>
      </c>
      <c r="E421" t="s">
        <v>132</v>
      </c>
      <c r="F421" t="s">
        <v>771</v>
      </c>
      <c r="G421" t="s">
        <v>169</v>
      </c>
      <c r="H421" s="16">
        <v>1149220</v>
      </c>
      <c r="I421" s="16">
        <v>664273</v>
      </c>
      <c r="J421" s="16">
        <v>64458</v>
      </c>
      <c r="K421" s="16">
        <v>991732</v>
      </c>
      <c r="L421" s="16">
        <v>784342</v>
      </c>
      <c r="M421" s="16">
        <v>157488</v>
      </c>
      <c r="N421" s="16">
        <v>15869</v>
      </c>
      <c r="O421">
        <v>0</v>
      </c>
      <c r="P421">
        <v>6</v>
      </c>
      <c r="Q421" s="20">
        <v>0.57802074450496854</v>
      </c>
      <c r="R421" s="21">
        <v>0.10076323275424159</v>
      </c>
    </row>
    <row r="422" spans="1:18">
      <c r="A422" t="s">
        <v>772</v>
      </c>
      <c r="B422" t="s">
        <v>74</v>
      </c>
      <c r="C422" t="s">
        <v>104</v>
      </c>
      <c r="D422">
        <v>2</v>
      </c>
      <c r="E422" t="s">
        <v>132</v>
      </c>
      <c r="F422" t="s">
        <v>495</v>
      </c>
      <c r="G422" t="s">
        <v>211</v>
      </c>
      <c r="H422" s="16">
        <v>1145826</v>
      </c>
      <c r="I422" s="16">
        <v>853478</v>
      </c>
      <c r="J422" s="16">
        <v>15981</v>
      </c>
      <c r="K422" s="16">
        <v>1020288</v>
      </c>
      <c r="L422" s="16">
        <v>687189</v>
      </c>
      <c r="M422" s="16">
        <v>125538</v>
      </c>
      <c r="N422" s="16">
        <v>5895</v>
      </c>
      <c r="O422">
        <v>0</v>
      </c>
      <c r="P422">
        <v>18</v>
      </c>
      <c r="Q422" s="20">
        <v>0.74485829436581119</v>
      </c>
      <c r="R422" s="21">
        <v>4.6957893227548633E-2</v>
      </c>
    </row>
    <row r="423" spans="1:18">
      <c r="A423" t="s">
        <v>773</v>
      </c>
      <c r="B423" t="s">
        <v>74</v>
      </c>
      <c r="C423" t="s">
        <v>104</v>
      </c>
      <c r="D423">
        <v>2</v>
      </c>
      <c r="E423" t="s">
        <v>132</v>
      </c>
      <c r="F423" t="s">
        <v>220</v>
      </c>
      <c r="G423" t="s">
        <v>134</v>
      </c>
      <c r="H423" s="16">
        <v>1145772</v>
      </c>
      <c r="I423" s="16">
        <v>658943</v>
      </c>
      <c r="J423" s="16">
        <v>475642</v>
      </c>
      <c r="K423" s="16">
        <v>939373</v>
      </c>
      <c r="L423" s="16">
        <v>924247</v>
      </c>
      <c r="M423" s="16">
        <v>206398</v>
      </c>
      <c r="N423" s="16">
        <v>25614</v>
      </c>
      <c r="O423">
        <v>0</v>
      </c>
      <c r="P423">
        <v>2</v>
      </c>
      <c r="Q423" s="20">
        <v>0.57510831125215134</v>
      </c>
      <c r="R423" s="21">
        <v>0.12410003972906714</v>
      </c>
    </row>
    <row r="424" spans="1:18">
      <c r="A424" t="s">
        <v>774</v>
      </c>
      <c r="B424" t="s">
        <v>74</v>
      </c>
      <c r="C424" t="s">
        <v>104</v>
      </c>
      <c r="D424">
        <v>2</v>
      </c>
      <c r="E424" t="s">
        <v>132</v>
      </c>
      <c r="F424" t="s">
        <v>775</v>
      </c>
      <c r="G424" t="s">
        <v>169</v>
      </c>
      <c r="H424" s="16">
        <v>1144431</v>
      </c>
      <c r="I424" s="16">
        <v>746640</v>
      </c>
      <c r="J424" s="16">
        <v>41707</v>
      </c>
      <c r="K424" s="16">
        <v>954224</v>
      </c>
      <c r="L424" s="16">
        <v>682872</v>
      </c>
      <c r="M424" s="16">
        <v>190207</v>
      </c>
      <c r="N424" s="16">
        <v>14651</v>
      </c>
      <c r="O424">
        <v>0</v>
      </c>
      <c r="P424">
        <v>8</v>
      </c>
      <c r="Q424" s="20">
        <v>0.65241154774730847</v>
      </c>
      <c r="R424" s="21">
        <v>7.7026607853549034E-2</v>
      </c>
    </row>
    <row r="425" spans="1:18">
      <c r="A425" t="s">
        <v>776</v>
      </c>
      <c r="B425" t="s">
        <v>74</v>
      </c>
      <c r="C425" t="s">
        <v>104</v>
      </c>
      <c r="D425">
        <v>2</v>
      </c>
      <c r="E425" t="s">
        <v>132</v>
      </c>
      <c r="F425" t="s">
        <v>777</v>
      </c>
      <c r="G425" t="s">
        <v>169</v>
      </c>
      <c r="H425" s="16">
        <v>1143250</v>
      </c>
      <c r="I425" s="16">
        <v>378598</v>
      </c>
      <c r="J425" s="16">
        <v>14238</v>
      </c>
      <c r="K425" s="16">
        <v>1005020</v>
      </c>
      <c r="L425" s="16">
        <v>977179</v>
      </c>
      <c r="M425" s="16">
        <v>138230</v>
      </c>
      <c r="N425" s="16">
        <v>14844</v>
      </c>
      <c r="O425">
        <v>0</v>
      </c>
      <c r="P425">
        <v>25</v>
      </c>
      <c r="Q425" s="20">
        <v>0.33115941395145421</v>
      </c>
      <c r="R425" s="21">
        <v>0.10738624032409752</v>
      </c>
    </row>
    <row r="426" spans="1:18">
      <c r="A426" t="s">
        <v>778</v>
      </c>
      <c r="B426" t="s">
        <v>83</v>
      </c>
      <c r="C426" t="s">
        <v>104</v>
      </c>
      <c r="D426">
        <v>3</v>
      </c>
      <c r="E426" t="s">
        <v>143</v>
      </c>
      <c r="F426" t="s">
        <v>133</v>
      </c>
      <c r="G426" t="s">
        <v>134</v>
      </c>
      <c r="H426" s="16">
        <v>1120777</v>
      </c>
      <c r="I426" s="16">
        <v>156003</v>
      </c>
      <c r="J426" s="16">
        <v>824700</v>
      </c>
      <c r="K426" s="16">
        <v>26080</v>
      </c>
      <c r="L426" s="16">
        <v>0</v>
      </c>
      <c r="M426" s="16">
        <v>1094698</v>
      </c>
      <c r="N426" s="16">
        <v>4396</v>
      </c>
      <c r="O426">
        <v>2</v>
      </c>
      <c r="P426">
        <v>0</v>
      </c>
      <c r="Q426" s="20">
        <v>0.13919182852610287</v>
      </c>
      <c r="R426" s="21">
        <v>4.0157194038903882E-3</v>
      </c>
    </row>
    <row r="427" spans="1:18">
      <c r="A427" t="s">
        <v>779</v>
      </c>
      <c r="B427" t="s">
        <v>89</v>
      </c>
      <c r="C427" t="s">
        <v>101</v>
      </c>
      <c r="D427">
        <v>1</v>
      </c>
      <c r="E427" t="s">
        <v>136</v>
      </c>
      <c r="F427" t="s">
        <v>264</v>
      </c>
      <c r="G427" t="s">
        <v>265</v>
      </c>
      <c r="H427" s="16">
        <v>1115323</v>
      </c>
      <c r="I427" s="16">
        <v>590507</v>
      </c>
      <c r="J427" s="16">
        <v>52918</v>
      </c>
      <c r="K427" s="16">
        <v>1051267</v>
      </c>
      <c r="L427" s="16">
        <v>8642</v>
      </c>
      <c r="M427" s="16">
        <v>64056</v>
      </c>
      <c r="N427" s="16">
        <v>-11436</v>
      </c>
      <c r="O427">
        <v>1</v>
      </c>
      <c r="P427">
        <v>0</v>
      </c>
      <c r="Q427" s="20">
        <v>0.52944931647603433</v>
      </c>
      <c r="R427" s="21">
        <v>-0.17853128512551517</v>
      </c>
    </row>
    <row r="428" spans="1:18">
      <c r="A428" t="s">
        <v>780</v>
      </c>
      <c r="B428" t="s">
        <v>74</v>
      </c>
      <c r="C428" t="s">
        <v>104</v>
      </c>
      <c r="D428">
        <v>2</v>
      </c>
      <c r="E428" t="s">
        <v>132</v>
      </c>
      <c r="F428" t="s">
        <v>781</v>
      </c>
      <c r="G428" t="s">
        <v>211</v>
      </c>
      <c r="H428" s="16">
        <v>1111763</v>
      </c>
      <c r="I428" s="16">
        <v>801767</v>
      </c>
      <c r="J428" s="16">
        <v>12612</v>
      </c>
      <c r="K428" s="16">
        <v>969690</v>
      </c>
      <c r="L428" s="16">
        <v>688578</v>
      </c>
      <c r="M428" s="16">
        <v>142072</v>
      </c>
      <c r="N428" s="16">
        <v>3882</v>
      </c>
      <c r="O428">
        <v>0</v>
      </c>
      <c r="P428">
        <v>23</v>
      </c>
      <c r="Q428" s="20">
        <v>0.7211671912089177</v>
      </c>
      <c r="R428" s="21">
        <v>2.7324173658426713E-2</v>
      </c>
    </row>
    <row r="429" spans="1:18">
      <c r="A429" t="s">
        <v>782</v>
      </c>
      <c r="B429" t="s">
        <v>74</v>
      </c>
      <c r="C429" t="s">
        <v>101</v>
      </c>
      <c r="D429">
        <v>2</v>
      </c>
      <c r="E429" t="s">
        <v>132</v>
      </c>
      <c r="F429" t="s">
        <v>783</v>
      </c>
      <c r="G429" t="s">
        <v>744</v>
      </c>
      <c r="H429" s="16">
        <v>1109120</v>
      </c>
      <c r="I429" s="16">
        <v>472544</v>
      </c>
      <c r="J429" s="16">
        <v>510415</v>
      </c>
      <c r="K429" s="16">
        <v>1003872</v>
      </c>
      <c r="L429" s="16">
        <v>817657</v>
      </c>
      <c r="M429" s="16">
        <v>105247</v>
      </c>
      <c r="N429" s="16">
        <v>1606</v>
      </c>
      <c r="O429">
        <v>0</v>
      </c>
      <c r="P429">
        <v>6</v>
      </c>
      <c r="Q429" s="20">
        <v>0.4260530871321408</v>
      </c>
      <c r="R429" s="21">
        <v>1.5259342309044438E-2</v>
      </c>
    </row>
    <row r="430" spans="1:18">
      <c r="A430" t="s">
        <v>784</v>
      </c>
      <c r="B430" t="s">
        <v>74</v>
      </c>
      <c r="C430" t="s">
        <v>104</v>
      </c>
      <c r="D430">
        <v>2</v>
      </c>
      <c r="E430" t="s">
        <v>132</v>
      </c>
      <c r="F430" t="s">
        <v>785</v>
      </c>
      <c r="G430" t="s">
        <v>211</v>
      </c>
      <c r="H430" s="16">
        <v>1106286</v>
      </c>
      <c r="I430" s="16">
        <v>828544</v>
      </c>
      <c r="J430" s="16">
        <v>20396</v>
      </c>
      <c r="K430" s="16">
        <v>935176</v>
      </c>
      <c r="L430" s="16">
        <v>522857</v>
      </c>
      <c r="M430" s="16">
        <v>171110</v>
      </c>
      <c r="N430" s="16">
        <v>2309</v>
      </c>
      <c r="O430">
        <v>0</v>
      </c>
      <c r="P430">
        <v>19</v>
      </c>
      <c r="Q430" s="20">
        <v>0.74894195533523877</v>
      </c>
      <c r="R430" s="21">
        <v>1.3494243469113435E-2</v>
      </c>
    </row>
    <row r="431" spans="1:18">
      <c r="A431" t="s">
        <v>786</v>
      </c>
      <c r="B431" t="s">
        <v>68</v>
      </c>
      <c r="C431" t="s">
        <v>101</v>
      </c>
      <c r="D431">
        <v>2</v>
      </c>
      <c r="E431" t="s">
        <v>132</v>
      </c>
      <c r="F431" t="s">
        <v>168</v>
      </c>
      <c r="G431" t="s">
        <v>169</v>
      </c>
      <c r="H431" s="16">
        <v>1105535</v>
      </c>
      <c r="I431" s="16">
        <v>621055</v>
      </c>
      <c r="J431" s="16">
        <v>105529</v>
      </c>
      <c r="K431" s="16">
        <v>996547</v>
      </c>
      <c r="L431" s="16">
        <v>961953</v>
      </c>
      <c r="M431" s="16">
        <v>108988</v>
      </c>
      <c r="N431" s="16">
        <v>-1585</v>
      </c>
      <c r="O431">
        <v>2</v>
      </c>
      <c r="P431">
        <v>0</v>
      </c>
      <c r="Q431" s="20">
        <v>0.56176873640364167</v>
      </c>
      <c r="R431" s="21">
        <v>-1.4542885455279481E-2</v>
      </c>
    </row>
    <row r="432" spans="1:18">
      <c r="A432" t="s">
        <v>787</v>
      </c>
      <c r="B432" t="s">
        <v>74</v>
      </c>
      <c r="C432" t="s">
        <v>104</v>
      </c>
      <c r="D432">
        <v>2</v>
      </c>
      <c r="E432" t="s">
        <v>132</v>
      </c>
      <c r="F432" t="s">
        <v>295</v>
      </c>
      <c r="G432" t="s">
        <v>292</v>
      </c>
      <c r="H432" s="16">
        <v>1104137</v>
      </c>
      <c r="I432" s="16">
        <v>696570</v>
      </c>
      <c r="J432" s="16">
        <v>12464</v>
      </c>
      <c r="K432" s="16">
        <v>937111</v>
      </c>
      <c r="L432" s="16">
        <v>887169</v>
      </c>
      <c r="M432" s="16">
        <v>167026</v>
      </c>
      <c r="N432" s="16">
        <v>912</v>
      </c>
      <c r="O432">
        <v>0</v>
      </c>
      <c r="P432">
        <v>14</v>
      </c>
      <c r="Q432" s="20">
        <v>0.63087279929936235</v>
      </c>
      <c r="R432" s="21">
        <v>5.460227748973214E-3</v>
      </c>
    </row>
    <row r="433" spans="1:18">
      <c r="A433" t="s">
        <v>788</v>
      </c>
      <c r="B433" t="s">
        <v>74</v>
      </c>
      <c r="C433" t="s">
        <v>104</v>
      </c>
      <c r="D433">
        <v>2</v>
      </c>
      <c r="E433" t="s">
        <v>132</v>
      </c>
      <c r="F433" t="s">
        <v>368</v>
      </c>
      <c r="G433" t="s">
        <v>206</v>
      </c>
      <c r="H433" s="16">
        <v>1091799</v>
      </c>
      <c r="I433" s="16">
        <v>846434</v>
      </c>
      <c r="J433" s="16">
        <v>27277</v>
      </c>
      <c r="K433" s="16">
        <v>972867</v>
      </c>
      <c r="L433" s="16">
        <v>819612</v>
      </c>
      <c r="M433" s="16">
        <v>118932</v>
      </c>
      <c r="N433" s="16">
        <v>-13566</v>
      </c>
      <c r="O433">
        <v>0</v>
      </c>
      <c r="P433">
        <v>23</v>
      </c>
      <c r="Q433" s="20">
        <v>0.77526541057465703</v>
      </c>
      <c r="R433" s="21">
        <v>-0.11406518010291596</v>
      </c>
    </row>
    <row r="434" spans="1:18">
      <c r="A434" t="s">
        <v>789</v>
      </c>
      <c r="B434" t="s">
        <v>74</v>
      </c>
      <c r="C434" t="s">
        <v>104</v>
      </c>
      <c r="D434">
        <v>2</v>
      </c>
      <c r="E434" t="s">
        <v>132</v>
      </c>
      <c r="F434" t="s">
        <v>205</v>
      </c>
      <c r="G434" t="s">
        <v>206</v>
      </c>
      <c r="H434" s="16">
        <v>1086832</v>
      </c>
      <c r="I434" s="16">
        <v>580652</v>
      </c>
      <c r="J434" s="16">
        <v>30058</v>
      </c>
      <c r="K434" s="16">
        <v>936029</v>
      </c>
      <c r="L434" s="16">
        <v>877374</v>
      </c>
      <c r="M434" s="16">
        <v>150803</v>
      </c>
      <c r="N434" s="16">
        <v>866</v>
      </c>
      <c r="O434">
        <v>0</v>
      </c>
      <c r="P434">
        <v>24</v>
      </c>
      <c r="Q434" s="20">
        <v>0.5342610449453089</v>
      </c>
      <c r="R434" s="21">
        <v>5.7425913277587316E-3</v>
      </c>
    </row>
    <row r="435" spans="1:18">
      <c r="A435" t="s">
        <v>790</v>
      </c>
      <c r="B435" t="s">
        <v>74</v>
      </c>
      <c r="C435" t="s">
        <v>104</v>
      </c>
      <c r="D435">
        <v>2</v>
      </c>
      <c r="E435" t="s">
        <v>132</v>
      </c>
      <c r="F435" t="s">
        <v>791</v>
      </c>
      <c r="G435" t="s">
        <v>169</v>
      </c>
      <c r="H435" s="16">
        <v>1085260</v>
      </c>
      <c r="I435" s="16">
        <v>477658</v>
      </c>
      <c r="J435" s="16">
        <v>21038</v>
      </c>
      <c r="K435" s="16">
        <v>886306</v>
      </c>
      <c r="L435" s="16">
        <v>785713</v>
      </c>
      <c r="M435" s="16">
        <v>198954</v>
      </c>
      <c r="N435" s="16">
        <v>19758</v>
      </c>
      <c r="O435">
        <v>0</v>
      </c>
      <c r="P435">
        <v>3</v>
      </c>
      <c r="Q435" s="20">
        <v>0.44013231852275031</v>
      </c>
      <c r="R435" s="21">
        <v>9.9309388099761753E-2</v>
      </c>
    </row>
    <row r="436" spans="1:18">
      <c r="A436" t="s">
        <v>792</v>
      </c>
      <c r="B436" t="s">
        <v>68</v>
      </c>
      <c r="C436" t="s">
        <v>101</v>
      </c>
      <c r="D436">
        <v>3</v>
      </c>
      <c r="E436" t="s">
        <v>143</v>
      </c>
      <c r="F436" t="s">
        <v>145</v>
      </c>
      <c r="G436" t="s">
        <v>146</v>
      </c>
      <c r="H436" s="16">
        <v>1084654</v>
      </c>
      <c r="I436" s="16">
        <v>0</v>
      </c>
      <c r="J436" s="16">
        <v>199977</v>
      </c>
      <c r="K436" s="16">
        <v>729158</v>
      </c>
      <c r="L436" s="16">
        <v>339660</v>
      </c>
      <c r="M436" s="16">
        <v>355496</v>
      </c>
      <c r="N436" s="16">
        <v>-210572</v>
      </c>
      <c r="O436">
        <v>5</v>
      </c>
      <c r="P436">
        <v>0</v>
      </c>
      <c r="Q436" s="20">
        <v>0</v>
      </c>
      <c r="R436" s="21">
        <v>-0.59233296577176675</v>
      </c>
    </row>
    <row r="437" spans="1:18">
      <c r="A437" t="s">
        <v>793</v>
      </c>
      <c r="B437" t="s">
        <v>74</v>
      </c>
      <c r="C437" t="s">
        <v>104</v>
      </c>
      <c r="D437">
        <v>2</v>
      </c>
      <c r="E437" t="s">
        <v>132</v>
      </c>
      <c r="F437" t="s">
        <v>794</v>
      </c>
      <c r="G437" t="s">
        <v>169</v>
      </c>
      <c r="H437" s="16">
        <v>1082237</v>
      </c>
      <c r="I437" s="16">
        <v>363187</v>
      </c>
      <c r="J437" s="16">
        <v>28355</v>
      </c>
      <c r="K437" s="16">
        <v>930177</v>
      </c>
      <c r="L437" s="16">
        <v>820108</v>
      </c>
      <c r="M437" s="16">
        <v>152061</v>
      </c>
      <c r="N437" s="16">
        <v>14911</v>
      </c>
      <c r="O437">
        <v>0</v>
      </c>
      <c r="P437">
        <v>19</v>
      </c>
      <c r="Q437" s="20">
        <v>0.33558915468608075</v>
      </c>
      <c r="R437" s="21">
        <v>9.8059331452509196E-2</v>
      </c>
    </row>
    <row r="438" spans="1:18">
      <c r="A438" t="s">
        <v>795</v>
      </c>
      <c r="B438" t="s">
        <v>83</v>
      </c>
      <c r="C438" t="s">
        <v>104</v>
      </c>
      <c r="D438">
        <v>2</v>
      </c>
      <c r="E438" t="s">
        <v>132</v>
      </c>
      <c r="F438" t="s">
        <v>133</v>
      </c>
      <c r="G438" t="s">
        <v>134</v>
      </c>
      <c r="H438" s="16">
        <v>1078720</v>
      </c>
      <c r="I438" s="16">
        <v>740040</v>
      </c>
      <c r="J438" s="16">
        <v>215745</v>
      </c>
      <c r="K438" s="16">
        <v>455462</v>
      </c>
      <c r="L438" s="16">
        <v>0</v>
      </c>
      <c r="M438" s="16">
        <v>623258</v>
      </c>
      <c r="N438" s="16">
        <v>18431</v>
      </c>
      <c r="O438">
        <v>2</v>
      </c>
      <c r="P438">
        <v>0</v>
      </c>
      <c r="Q438" s="20">
        <v>0.68603530109759714</v>
      </c>
      <c r="R438" s="21">
        <v>2.9572023142903903E-2</v>
      </c>
    </row>
    <row r="439" spans="1:18">
      <c r="A439" t="s">
        <v>796</v>
      </c>
      <c r="B439" t="s">
        <v>74</v>
      </c>
      <c r="C439" t="s">
        <v>104</v>
      </c>
      <c r="D439">
        <v>2</v>
      </c>
      <c r="E439" t="s">
        <v>132</v>
      </c>
      <c r="F439" t="s">
        <v>797</v>
      </c>
      <c r="G439" t="s">
        <v>206</v>
      </c>
      <c r="H439" s="16">
        <v>1074172</v>
      </c>
      <c r="I439" s="16">
        <v>529828</v>
      </c>
      <c r="J439" s="16">
        <v>21896</v>
      </c>
      <c r="K439" s="16">
        <v>865845</v>
      </c>
      <c r="L439" s="16">
        <v>686844</v>
      </c>
      <c r="M439" s="16">
        <v>208326</v>
      </c>
      <c r="N439" s="16">
        <v>17123</v>
      </c>
      <c r="O439">
        <v>0</v>
      </c>
      <c r="P439">
        <v>13</v>
      </c>
      <c r="Q439" s="20">
        <v>0.49324316776084276</v>
      </c>
      <c r="R439" s="21">
        <v>8.2193293203920784E-2</v>
      </c>
    </row>
    <row r="440" spans="1:18">
      <c r="A440" t="s">
        <v>798</v>
      </c>
      <c r="B440" t="s">
        <v>74</v>
      </c>
      <c r="C440" t="s">
        <v>104</v>
      </c>
      <c r="D440">
        <v>2</v>
      </c>
      <c r="E440" t="s">
        <v>132</v>
      </c>
      <c r="F440" t="s">
        <v>799</v>
      </c>
      <c r="G440" t="s">
        <v>169</v>
      </c>
      <c r="H440" s="16">
        <v>1063913</v>
      </c>
      <c r="I440" s="16">
        <v>422888</v>
      </c>
      <c r="J440" s="16">
        <v>13521</v>
      </c>
      <c r="K440" s="16">
        <v>941846</v>
      </c>
      <c r="L440" s="16">
        <v>920327</v>
      </c>
      <c r="M440" s="16">
        <v>122067</v>
      </c>
      <c r="N440" s="16">
        <v>15303</v>
      </c>
      <c r="O440">
        <v>0</v>
      </c>
      <c r="P440">
        <v>7</v>
      </c>
      <c r="Q440" s="20">
        <v>0.39748362883055288</v>
      </c>
      <c r="R440" s="21">
        <v>0.12536557792032244</v>
      </c>
    </row>
    <row r="441" spans="1:18">
      <c r="A441" t="s">
        <v>800</v>
      </c>
      <c r="B441" t="s">
        <v>74</v>
      </c>
      <c r="C441" t="s">
        <v>104</v>
      </c>
      <c r="D441">
        <v>2</v>
      </c>
      <c r="E441" t="s">
        <v>132</v>
      </c>
      <c r="F441" t="s">
        <v>397</v>
      </c>
      <c r="G441" t="s">
        <v>169</v>
      </c>
      <c r="H441" s="16">
        <v>1060576</v>
      </c>
      <c r="I441" s="16">
        <v>270529</v>
      </c>
      <c r="J441" s="16">
        <v>61435</v>
      </c>
      <c r="K441" s="16">
        <v>863941</v>
      </c>
      <c r="L441" s="16">
        <v>845970</v>
      </c>
      <c r="M441" s="16">
        <v>196635</v>
      </c>
      <c r="N441" s="16">
        <v>18113</v>
      </c>
      <c r="O441">
        <v>0</v>
      </c>
      <c r="P441">
        <v>9</v>
      </c>
      <c r="Q441" s="20">
        <v>0.25507742962314817</v>
      </c>
      <c r="R441" s="21">
        <v>9.2114832049228268E-2</v>
      </c>
    </row>
    <row r="442" spans="1:18">
      <c r="A442" t="s">
        <v>801</v>
      </c>
      <c r="B442" t="s">
        <v>83</v>
      </c>
      <c r="C442" t="s">
        <v>101</v>
      </c>
      <c r="D442">
        <v>3</v>
      </c>
      <c r="E442" t="s">
        <v>143</v>
      </c>
      <c r="F442" t="s">
        <v>133</v>
      </c>
      <c r="G442" t="s">
        <v>134</v>
      </c>
      <c r="H442" s="16">
        <v>1046795</v>
      </c>
      <c r="I442" s="16">
        <v>782055</v>
      </c>
      <c r="J442" s="16">
        <v>35652</v>
      </c>
      <c r="K442" s="16">
        <v>870345</v>
      </c>
      <c r="L442" s="16">
        <v>861272</v>
      </c>
      <c r="M442" s="16">
        <v>176450</v>
      </c>
      <c r="N442" s="16">
        <v>10194</v>
      </c>
      <c r="O442">
        <v>2</v>
      </c>
      <c r="P442">
        <v>0</v>
      </c>
      <c r="Q442" s="20">
        <v>0.74709470335643557</v>
      </c>
      <c r="R442" s="21">
        <v>5.7772740153017851E-2</v>
      </c>
    </row>
    <row r="443" spans="1:18">
      <c r="A443" t="s">
        <v>802</v>
      </c>
      <c r="B443" t="s">
        <v>74</v>
      </c>
      <c r="C443" t="s">
        <v>104</v>
      </c>
      <c r="D443">
        <v>2</v>
      </c>
      <c r="E443" t="s">
        <v>132</v>
      </c>
      <c r="F443" t="s">
        <v>803</v>
      </c>
      <c r="G443" t="s">
        <v>153</v>
      </c>
      <c r="H443" s="16">
        <v>1045667</v>
      </c>
      <c r="I443" s="16">
        <v>791425</v>
      </c>
      <c r="J443" s="16">
        <v>16542</v>
      </c>
      <c r="K443" s="16">
        <v>916279</v>
      </c>
      <c r="L443" s="16">
        <v>616008</v>
      </c>
      <c r="M443" s="16">
        <v>129388</v>
      </c>
      <c r="N443" s="16">
        <v>4560</v>
      </c>
      <c r="O443">
        <v>0</v>
      </c>
      <c r="P443">
        <v>23</v>
      </c>
      <c r="Q443" s="20">
        <v>0.7568614099899873</v>
      </c>
      <c r="R443" s="21">
        <v>3.5242835502519554E-2</v>
      </c>
    </row>
    <row r="444" spans="1:18">
      <c r="A444" t="s">
        <v>804</v>
      </c>
      <c r="B444" t="s">
        <v>74</v>
      </c>
      <c r="C444" t="s">
        <v>104</v>
      </c>
      <c r="D444">
        <v>2</v>
      </c>
      <c r="E444" t="s">
        <v>132</v>
      </c>
      <c r="F444" t="s">
        <v>364</v>
      </c>
      <c r="G444" t="s">
        <v>286</v>
      </c>
      <c r="H444" s="16">
        <v>1042247</v>
      </c>
      <c r="I444" s="16">
        <v>569978</v>
      </c>
      <c r="J444" s="16">
        <v>11624</v>
      </c>
      <c r="K444" s="16">
        <v>884370</v>
      </c>
      <c r="L444" s="16">
        <v>699541</v>
      </c>
      <c r="M444" s="16">
        <v>157876</v>
      </c>
      <c r="N444" s="16">
        <v>-8044</v>
      </c>
      <c r="O444">
        <v>0</v>
      </c>
      <c r="P444">
        <v>13</v>
      </c>
      <c r="Q444" s="20">
        <v>0.54687420544266374</v>
      </c>
      <c r="R444" s="21">
        <v>-5.0951379563708224E-2</v>
      </c>
    </row>
    <row r="445" spans="1:18">
      <c r="A445" t="s">
        <v>805</v>
      </c>
      <c r="B445" t="s">
        <v>86</v>
      </c>
      <c r="C445" t="s">
        <v>101</v>
      </c>
      <c r="D445">
        <v>2</v>
      </c>
      <c r="E445" t="s">
        <v>132</v>
      </c>
      <c r="F445" t="s">
        <v>145</v>
      </c>
      <c r="G445" t="s">
        <v>146</v>
      </c>
      <c r="H445" s="16">
        <v>1026358</v>
      </c>
      <c r="I445" s="16">
        <v>0</v>
      </c>
      <c r="J445" s="16">
        <v>597689</v>
      </c>
      <c r="K445" s="16">
        <v>906929</v>
      </c>
      <c r="L445" s="16">
        <v>783607</v>
      </c>
      <c r="M445" s="16">
        <v>119429</v>
      </c>
      <c r="N445" s="16">
        <v>51312</v>
      </c>
      <c r="O445">
        <v>3</v>
      </c>
      <c r="P445">
        <v>0</v>
      </c>
      <c r="Q445" s="20">
        <v>0</v>
      </c>
      <c r="R445" s="21">
        <v>0.42964439122826115</v>
      </c>
    </row>
    <row r="446" spans="1:18">
      <c r="A446" t="s">
        <v>806</v>
      </c>
      <c r="B446" t="s">
        <v>74</v>
      </c>
      <c r="C446" t="s">
        <v>104</v>
      </c>
      <c r="D446">
        <v>2</v>
      </c>
      <c r="E446" t="s">
        <v>132</v>
      </c>
      <c r="F446" t="s">
        <v>807</v>
      </c>
      <c r="G446" t="s">
        <v>286</v>
      </c>
      <c r="H446" s="16">
        <v>1012361</v>
      </c>
      <c r="I446" s="16">
        <v>591960</v>
      </c>
      <c r="J446" s="16">
        <v>84705</v>
      </c>
      <c r="K446" s="16">
        <v>749388</v>
      </c>
      <c r="L446" s="16">
        <v>617346</v>
      </c>
      <c r="M446" s="16">
        <v>262973</v>
      </c>
      <c r="N446" s="16">
        <v>-3579</v>
      </c>
      <c r="O446">
        <v>0</v>
      </c>
      <c r="P446">
        <v>16</v>
      </c>
      <c r="Q446" s="20">
        <v>0.58473212618818782</v>
      </c>
      <c r="R446" s="21">
        <v>-1.3609762218935024E-2</v>
      </c>
    </row>
    <row r="447" spans="1:18">
      <c r="A447" t="s">
        <v>808</v>
      </c>
      <c r="B447" t="s">
        <v>74</v>
      </c>
      <c r="C447" t="s">
        <v>104</v>
      </c>
      <c r="D447">
        <v>2</v>
      </c>
      <c r="E447" t="s">
        <v>132</v>
      </c>
      <c r="F447" t="s">
        <v>391</v>
      </c>
      <c r="G447" t="s">
        <v>153</v>
      </c>
      <c r="H447" s="16">
        <v>1005454</v>
      </c>
      <c r="I447" s="16">
        <v>782087</v>
      </c>
      <c r="J447" s="16">
        <v>13004</v>
      </c>
      <c r="K447" s="16">
        <v>896509</v>
      </c>
      <c r="L447" s="16">
        <v>645396</v>
      </c>
      <c r="M447" s="16">
        <v>108945</v>
      </c>
      <c r="N447" s="16">
        <v>7340</v>
      </c>
      <c r="O447">
        <v>0</v>
      </c>
      <c r="P447">
        <v>18</v>
      </c>
      <c r="Q447" s="20">
        <v>0.77784463535875337</v>
      </c>
      <c r="R447" s="21">
        <v>6.7373445316444083E-2</v>
      </c>
    </row>
    <row r="448" spans="1:18">
      <c r="A448" t="s">
        <v>809</v>
      </c>
      <c r="B448" t="s">
        <v>74</v>
      </c>
      <c r="C448" t="s">
        <v>104</v>
      </c>
      <c r="D448">
        <v>2</v>
      </c>
      <c r="E448" t="s">
        <v>132</v>
      </c>
      <c r="F448" t="s">
        <v>810</v>
      </c>
      <c r="G448" t="s">
        <v>134</v>
      </c>
      <c r="H448" s="16">
        <v>1005391</v>
      </c>
      <c r="I448" s="16">
        <v>742911</v>
      </c>
      <c r="J448" s="16">
        <v>29853</v>
      </c>
      <c r="K448" s="16">
        <v>875300</v>
      </c>
      <c r="L448" s="16">
        <v>847127</v>
      </c>
      <c r="M448" s="16">
        <v>130091</v>
      </c>
      <c r="N448" s="16">
        <v>6264</v>
      </c>
      <c r="O448">
        <v>0</v>
      </c>
      <c r="P448">
        <v>23</v>
      </c>
      <c r="Q448" s="20">
        <v>0.73892744215931916</v>
      </c>
      <c r="R448" s="21">
        <v>4.8150909747791931E-2</v>
      </c>
    </row>
    <row r="449" spans="1:18">
      <c r="A449" t="s">
        <v>811</v>
      </c>
      <c r="B449" t="s">
        <v>74</v>
      </c>
      <c r="C449" t="s">
        <v>104</v>
      </c>
      <c r="D449">
        <v>2</v>
      </c>
      <c r="E449" t="s">
        <v>132</v>
      </c>
      <c r="F449" t="s">
        <v>285</v>
      </c>
      <c r="G449" t="s">
        <v>286</v>
      </c>
      <c r="H449" s="16">
        <v>995199</v>
      </c>
      <c r="I449" s="16">
        <v>393219</v>
      </c>
      <c r="J449" s="16">
        <v>24309</v>
      </c>
      <c r="K449" s="16">
        <v>765554</v>
      </c>
      <c r="L449" s="16">
        <v>710123</v>
      </c>
      <c r="M449" s="16">
        <v>229645</v>
      </c>
      <c r="N449" s="16">
        <v>-145</v>
      </c>
      <c r="O449">
        <v>0</v>
      </c>
      <c r="P449">
        <v>11</v>
      </c>
      <c r="Q449" s="20">
        <v>0.39511595168403507</v>
      </c>
      <c r="R449" s="21">
        <v>-6.3140934921291562E-4</v>
      </c>
    </row>
    <row r="450" spans="1:18">
      <c r="A450" t="s">
        <v>812</v>
      </c>
      <c r="B450" t="s">
        <v>74</v>
      </c>
      <c r="C450" t="s">
        <v>104</v>
      </c>
      <c r="D450">
        <v>2</v>
      </c>
      <c r="E450" t="s">
        <v>132</v>
      </c>
      <c r="F450" t="s">
        <v>813</v>
      </c>
      <c r="G450" t="s">
        <v>169</v>
      </c>
      <c r="H450" s="16">
        <v>983845</v>
      </c>
      <c r="I450" s="16">
        <v>360619</v>
      </c>
      <c r="J450" s="16">
        <v>15303</v>
      </c>
      <c r="K450" s="16">
        <v>844666</v>
      </c>
      <c r="L450" s="16">
        <v>766276</v>
      </c>
      <c r="M450" s="16">
        <v>139179</v>
      </c>
      <c r="N450" s="16">
        <v>11059</v>
      </c>
      <c r="O450">
        <v>0</v>
      </c>
      <c r="P450">
        <v>9</v>
      </c>
      <c r="Q450" s="20">
        <v>0.36654046114987626</v>
      </c>
      <c r="R450" s="21">
        <v>7.9458826403408567E-2</v>
      </c>
    </row>
    <row r="451" spans="1:18">
      <c r="A451" t="s">
        <v>814</v>
      </c>
      <c r="B451" t="s">
        <v>74</v>
      </c>
      <c r="C451" t="s">
        <v>104</v>
      </c>
      <c r="D451">
        <v>2</v>
      </c>
      <c r="E451" t="s">
        <v>132</v>
      </c>
      <c r="F451" t="s">
        <v>815</v>
      </c>
      <c r="G451" t="s">
        <v>206</v>
      </c>
      <c r="H451" s="16">
        <v>981826</v>
      </c>
      <c r="I451" s="16">
        <v>295790</v>
      </c>
      <c r="J451" s="16">
        <v>27832</v>
      </c>
      <c r="K451" s="16">
        <v>856615</v>
      </c>
      <c r="L451" s="16">
        <v>839094</v>
      </c>
      <c r="M451" s="16">
        <v>125211</v>
      </c>
      <c r="N451" s="16">
        <v>10141</v>
      </c>
      <c r="O451">
        <v>0</v>
      </c>
      <c r="P451">
        <v>15</v>
      </c>
      <c r="Q451" s="20">
        <v>0.30126519362901372</v>
      </c>
      <c r="R451" s="21">
        <v>8.0991286708036833E-2</v>
      </c>
    </row>
    <row r="452" spans="1:18">
      <c r="A452" t="s">
        <v>816</v>
      </c>
      <c r="B452" t="s">
        <v>74</v>
      </c>
      <c r="C452" t="s">
        <v>104</v>
      </c>
      <c r="D452">
        <v>2</v>
      </c>
      <c r="E452" t="s">
        <v>132</v>
      </c>
      <c r="F452" t="s">
        <v>817</v>
      </c>
      <c r="G452" t="s">
        <v>169</v>
      </c>
      <c r="H452" s="16">
        <v>981415</v>
      </c>
      <c r="I452" s="16">
        <v>326943</v>
      </c>
      <c r="J452" s="16">
        <v>29037</v>
      </c>
      <c r="K452" s="16">
        <v>841451</v>
      </c>
      <c r="L452" s="16">
        <v>809736</v>
      </c>
      <c r="M452" s="16">
        <v>139964</v>
      </c>
      <c r="N452" s="16">
        <v>7141</v>
      </c>
      <c r="O452">
        <v>0</v>
      </c>
      <c r="P452">
        <v>24</v>
      </c>
      <c r="Q452" s="20">
        <v>0.3331343009837836</v>
      </c>
      <c r="R452" s="21">
        <v>5.1020262353176533E-2</v>
      </c>
    </row>
    <row r="453" spans="1:18">
      <c r="A453" t="s">
        <v>818</v>
      </c>
      <c r="B453" t="s">
        <v>74</v>
      </c>
      <c r="C453" t="s">
        <v>104</v>
      </c>
      <c r="D453">
        <v>2</v>
      </c>
      <c r="E453" t="s">
        <v>132</v>
      </c>
      <c r="F453" t="s">
        <v>819</v>
      </c>
      <c r="G453" t="s">
        <v>169</v>
      </c>
      <c r="H453" s="16">
        <v>975165</v>
      </c>
      <c r="I453" s="16">
        <v>355070</v>
      </c>
      <c r="J453" s="16">
        <v>32206</v>
      </c>
      <c r="K453" s="16">
        <v>828440</v>
      </c>
      <c r="L453" s="16">
        <v>697658</v>
      </c>
      <c r="M453" s="16">
        <v>146725</v>
      </c>
      <c r="N453" s="16">
        <v>17963</v>
      </c>
      <c r="O453">
        <v>0</v>
      </c>
      <c r="P453">
        <v>2</v>
      </c>
      <c r="Q453" s="20">
        <v>0.3641127398952998</v>
      </c>
      <c r="R453" s="21">
        <v>0.12242630771852105</v>
      </c>
    </row>
    <row r="454" spans="1:18">
      <c r="A454" t="s">
        <v>820</v>
      </c>
      <c r="B454" t="s">
        <v>74</v>
      </c>
      <c r="C454" t="s">
        <v>104</v>
      </c>
      <c r="D454">
        <v>2</v>
      </c>
      <c r="E454" t="s">
        <v>132</v>
      </c>
      <c r="F454" t="s">
        <v>821</v>
      </c>
      <c r="G454" t="s">
        <v>198</v>
      </c>
      <c r="H454" s="16">
        <v>973474</v>
      </c>
      <c r="I454" s="16">
        <v>348738</v>
      </c>
      <c r="J454" s="16">
        <v>147716</v>
      </c>
      <c r="K454" s="16">
        <v>751358</v>
      </c>
      <c r="L454" s="16">
        <v>668221</v>
      </c>
      <c r="M454" s="16">
        <v>222116</v>
      </c>
      <c r="N454" s="16">
        <v>22671</v>
      </c>
      <c r="O454">
        <v>0</v>
      </c>
      <c r="P454">
        <v>11</v>
      </c>
      <c r="Q454" s="20">
        <v>0.35824069261223207</v>
      </c>
      <c r="R454" s="21">
        <v>0.10206828864197086</v>
      </c>
    </row>
    <row r="455" spans="1:18">
      <c r="A455" t="s">
        <v>822</v>
      </c>
      <c r="B455" t="s">
        <v>74</v>
      </c>
      <c r="C455" t="s">
        <v>104</v>
      </c>
      <c r="D455">
        <v>2</v>
      </c>
      <c r="E455" t="s">
        <v>132</v>
      </c>
      <c r="F455" t="s">
        <v>823</v>
      </c>
      <c r="G455" t="s">
        <v>134</v>
      </c>
      <c r="H455" s="16">
        <v>959998</v>
      </c>
      <c r="I455" s="16">
        <v>643694</v>
      </c>
      <c r="J455" s="16">
        <v>27761</v>
      </c>
      <c r="K455" s="16">
        <v>828369</v>
      </c>
      <c r="L455" s="16">
        <v>809469</v>
      </c>
      <c r="M455" s="16">
        <v>131629</v>
      </c>
      <c r="N455" s="16">
        <v>7336</v>
      </c>
      <c r="O455">
        <v>0</v>
      </c>
      <c r="P455">
        <v>12</v>
      </c>
      <c r="Q455" s="20">
        <v>0.67051598024162551</v>
      </c>
      <c r="R455" s="21">
        <v>5.5732399395270041E-2</v>
      </c>
    </row>
    <row r="456" spans="1:18">
      <c r="A456" t="s">
        <v>824</v>
      </c>
      <c r="B456" t="s">
        <v>74</v>
      </c>
      <c r="C456" t="s">
        <v>104</v>
      </c>
      <c r="D456">
        <v>2</v>
      </c>
      <c r="E456" t="s">
        <v>132</v>
      </c>
      <c r="F456" t="s">
        <v>688</v>
      </c>
      <c r="G456" t="s">
        <v>169</v>
      </c>
      <c r="H456" s="16">
        <v>956240</v>
      </c>
      <c r="I456" s="16">
        <v>612156</v>
      </c>
      <c r="J456" s="16">
        <v>16139</v>
      </c>
      <c r="K456" s="16">
        <v>810589</v>
      </c>
      <c r="L456" s="16">
        <v>747215</v>
      </c>
      <c r="M456" s="16">
        <v>145651</v>
      </c>
      <c r="N456" s="16">
        <v>14315</v>
      </c>
      <c r="O456">
        <v>0</v>
      </c>
      <c r="P456">
        <v>5</v>
      </c>
      <c r="Q456" s="20">
        <v>0.64016983184137877</v>
      </c>
      <c r="R456" s="21">
        <v>9.8282881682926995E-2</v>
      </c>
    </row>
    <row r="457" spans="1:18">
      <c r="A457" t="s">
        <v>825</v>
      </c>
      <c r="B457" t="s">
        <v>74</v>
      </c>
      <c r="C457" t="s">
        <v>104</v>
      </c>
      <c r="D457">
        <v>2</v>
      </c>
      <c r="E457" t="s">
        <v>132</v>
      </c>
      <c r="F457" t="s">
        <v>168</v>
      </c>
      <c r="G457" t="s">
        <v>169</v>
      </c>
      <c r="H457" s="16">
        <v>953164</v>
      </c>
      <c r="I457" s="16">
        <v>564494</v>
      </c>
      <c r="J457" s="16">
        <v>18455</v>
      </c>
      <c r="K457" s="16">
        <v>845950</v>
      </c>
      <c r="L457" s="16">
        <v>818649</v>
      </c>
      <c r="M457" s="16">
        <v>107213</v>
      </c>
      <c r="N457" s="16">
        <v>4102</v>
      </c>
      <c r="O457">
        <v>0</v>
      </c>
      <c r="P457">
        <v>32</v>
      </c>
      <c r="Q457" s="20">
        <v>0.59223176704113878</v>
      </c>
      <c r="R457" s="21">
        <v>3.826028559969407E-2</v>
      </c>
    </row>
    <row r="458" spans="1:18">
      <c r="A458" t="s">
        <v>826</v>
      </c>
      <c r="B458" t="s">
        <v>74</v>
      </c>
      <c r="C458" t="s">
        <v>104</v>
      </c>
      <c r="D458">
        <v>2</v>
      </c>
      <c r="E458" t="s">
        <v>132</v>
      </c>
      <c r="F458" t="s">
        <v>411</v>
      </c>
      <c r="G458" t="s">
        <v>134</v>
      </c>
      <c r="H458" s="16">
        <v>947329</v>
      </c>
      <c r="I458" s="16">
        <v>537941</v>
      </c>
      <c r="J458" s="16">
        <v>377480</v>
      </c>
      <c r="K458" s="16">
        <v>482719</v>
      </c>
      <c r="L458" s="16">
        <v>443595</v>
      </c>
      <c r="M458" s="16">
        <v>464609</v>
      </c>
      <c r="N458" s="16">
        <v>19955</v>
      </c>
      <c r="O458">
        <v>0</v>
      </c>
      <c r="P458">
        <v>27</v>
      </c>
      <c r="Q458" s="20">
        <v>0.56785023999054185</v>
      </c>
      <c r="R458" s="21">
        <v>4.2950093519497037E-2</v>
      </c>
    </row>
    <row r="459" spans="1:18">
      <c r="A459" t="s">
        <v>827</v>
      </c>
      <c r="B459" t="s">
        <v>74</v>
      </c>
      <c r="C459" t="s">
        <v>104</v>
      </c>
      <c r="D459">
        <v>2</v>
      </c>
      <c r="E459" t="s">
        <v>132</v>
      </c>
      <c r="F459" t="s">
        <v>828</v>
      </c>
      <c r="G459" t="s">
        <v>169</v>
      </c>
      <c r="H459" s="16">
        <v>947321</v>
      </c>
      <c r="I459" s="16">
        <v>439753</v>
      </c>
      <c r="J459" s="16">
        <v>70798</v>
      </c>
      <c r="K459" s="16">
        <v>840408</v>
      </c>
      <c r="L459" s="16">
        <v>800061</v>
      </c>
      <c r="M459" s="16">
        <v>106913</v>
      </c>
      <c r="N459" s="16">
        <v>9446</v>
      </c>
      <c r="O459">
        <v>0</v>
      </c>
      <c r="P459">
        <v>18</v>
      </c>
      <c r="Q459" s="20">
        <v>0.46420695835941567</v>
      </c>
      <c r="R459" s="21">
        <v>8.8352211611310127E-2</v>
      </c>
    </row>
    <row r="460" spans="1:18">
      <c r="A460" t="s">
        <v>829</v>
      </c>
      <c r="B460" t="s">
        <v>89</v>
      </c>
      <c r="C460" t="s">
        <v>101</v>
      </c>
      <c r="D460">
        <v>2</v>
      </c>
      <c r="E460" t="s">
        <v>132</v>
      </c>
      <c r="F460" t="s">
        <v>133</v>
      </c>
      <c r="G460" t="s">
        <v>134</v>
      </c>
      <c r="H460" s="16">
        <v>943218</v>
      </c>
      <c r="I460" s="16">
        <v>105732</v>
      </c>
      <c r="J460" s="16">
        <v>203601</v>
      </c>
      <c r="K460" s="16">
        <v>675581</v>
      </c>
      <c r="L460" s="16">
        <v>397008</v>
      </c>
      <c r="M460" s="16">
        <v>267637</v>
      </c>
      <c r="N460" s="16">
        <v>51793</v>
      </c>
      <c r="O460">
        <v>1</v>
      </c>
      <c r="P460">
        <v>0</v>
      </c>
      <c r="Q460" s="20">
        <v>0.11209709738363771</v>
      </c>
      <c r="R460" s="21">
        <v>0.19351958062599714</v>
      </c>
    </row>
    <row r="461" spans="1:18">
      <c r="A461" t="s">
        <v>830</v>
      </c>
      <c r="B461" t="s">
        <v>74</v>
      </c>
      <c r="C461" t="s">
        <v>104</v>
      </c>
      <c r="D461">
        <v>2</v>
      </c>
      <c r="E461" t="s">
        <v>132</v>
      </c>
      <c r="F461" t="s">
        <v>831</v>
      </c>
      <c r="G461" t="s">
        <v>286</v>
      </c>
      <c r="H461" s="16">
        <v>941722</v>
      </c>
      <c r="I461" s="16">
        <v>402614</v>
      </c>
      <c r="J461" s="16">
        <v>20608</v>
      </c>
      <c r="K461" s="16">
        <v>576020</v>
      </c>
      <c r="L461" s="16">
        <v>542483</v>
      </c>
      <c r="M461" s="16">
        <v>365703</v>
      </c>
      <c r="N461" s="16">
        <v>24960</v>
      </c>
      <c r="O461">
        <v>0</v>
      </c>
      <c r="P461">
        <v>4</v>
      </c>
      <c r="Q461" s="20">
        <v>0.42752956817404714</v>
      </c>
      <c r="R461" s="21">
        <v>6.8252106217340305E-2</v>
      </c>
    </row>
    <row r="462" spans="1:18">
      <c r="A462" t="s">
        <v>832</v>
      </c>
      <c r="B462" t="s">
        <v>74</v>
      </c>
      <c r="C462" t="s">
        <v>104</v>
      </c>
      <c r="D462">
        <v>2</v>
      </c>
      <c r="E462" t="s">
        <v>132</v>
      </c>
      <c r="F462" t="s">
        <v>791</v>
      </c>
      <c r="G462" t="s">
        <v>169</v>
      </c>
      <c r="H462" s="16">
        <v>939792</v>
      </c>
      <c r="I462" s="16">
        <v>343944</v>
      </c>
      <c r="J462" s="16">
        <v>21854</v>
      </c>
      <c r="K462" s="16">
        <v>778978</v>
      </c>
      <c r="L462" s="16">
        <v>688254</v>
      </c>
      <c r="M462" s="16">
        <v>160814</v>
      </c>
      <c r="N462" s="16">
        <v>8338</v>
      </c>
      <c r="O462">
        <v>0</v>
      </c>
      <c r="P462">
        <v>6</v>
      </c>
      <c r="Q462" s="20">
        <v>0.36597885489555138</v>
      </c>
      <c r="R462" s="21">
        <v>5.1848719638837415E-2</v>
      </c>
    </row>
    <row r="463" spans="1:18">
      <c r="A463" t="s">
        <v>833</v>
      </c>
      <c r="B463" t="s">
        <v>74</v>
      </c>
      <c r="C463" t="s">
        <v>104</v>
      </c>
      <c r="D463">
        <v>2</v>
      </c>
      <c r="E463" t="s">
        <v>132</v>
      </c>
      <c r="F463" t="s">
        <v>834</v>
      </c>
      <c r="G463" t="s">
        <v>169</v>
      </c>
      <c r="H463" s="16">
        <v>937029</v>
      </c>
      <c r="I463" s="16">
        <v>387340</v>
      </c>
      <c r="J463" s="16">
        <v>120213</v>
      </c>
      <c r="K463" s="16">
        <v>774654</v>
      </c>
      <c r="L463" s="16">
        <v>684123</v>
      </c>
      <c r="M463" s="16">
        <v>162375</v>
      </c>
      <c r="N463" s="16">
        <v>23053</v>
      </c>
      <c r="O463">
        <v>0</v>
      </c>
      <c r="P463">
        <v>14</v>
      </c>
      <c r="Q463" s="20">
        <v>0.41337034392745581</v>
      </c>
      <c r="R463" s="21">
        <v>0.1419738260200154</v>
      </c>
    </row>
    <row r="464" spans="1:18">
      <c r="A464" t="s">
        <v>835</v>
      </c>
      <c r="B464" t="s">
        <v>83</v>
      </c>
      <c r="C464" t="s">
        <v>101</v>
      </c>
      <c r="D464">
        <v>3</v>
      </c>
      <c r="E464" t="s">
        <v>143</v>
      </c>
      <c r="F464" t="s">
        <v>163</v>
      </c>
      <c r="G464" t="s">
        <v>134</v>
      </c>
      <c r="H464" s="16">
        <v>936459</v>
      </c>
      <c r="I464" s="16">
        <v>513699</v>
      </c>
      <c r="J464" s="16">
        <v>130</v>
      </c>
      <c r="K464" s="16">
        <v>781251</v>
      </c>
      <c r="L464" s="16">
        <v>500877</v>
      </c>
      <c r="M464" s="16">
        <v>155207</v>
      </c>
      <c r="N464" s="16">
        <v>25386</v>
      </c>
      <c r="O464">
        <v>2</v>
      </c>
      <c r="P464">
        <v>0</v>
      </c>
      <c r="Q464" s="20">
        <v>0.54855471515570886</v>
      </c>
      <c r="R464" s="21">
        <v>0.1635622104673114</v>
      </c>
    </row>
    <row r="465" spans="1:18">
      <c r="A465" t="s">
        <v>836</v>
      </c>
      <c r="B465" t="s">
        <v>89</v>
      </c>
      <c r="C465" t="s">
        <v>162</v>
      </c>
      <c r="D465">
        <v>3</v>
      </c>
      <c r="E465" t="s">
        <v>143</v>
      </c>
      <c r="F465" t="s">
        <v>133</v>
      </c>
      <c r="G465" t="s">
        <v>134</v>
      </c>
      <c r="H465" s="16">
        <v>935604</v>
      </c>
      <c r="I465" s="16">
        <v>0</v>
      </c>
      <c r="J465" s="16">
        <v>71302</v>
      </c>
      <c r="K465" s="16">
        <v>856291</v>
      </c>
      <c r="L465" s="16">
        <v>0</v>
      </c>
      <c r="M465" s="16">
        <v>79313</v>
      </c>
      <c r="N465" s="16">
        <v>4938</v>
      </c>
      <c r="O465">
        <v>1</v>
      </c>
      <c r="P465">
        <v>0</v>
      </c>
      <c r="Q465" s="20">
        <v>0</v>
      </c>
      <c r="R465" s="21">
        <v>6.2259654785470228E-2</v>
      </c>
    </row>
    <row r="466" spans="1:18">
      <c r="A466" t="s">
        <v>837</v>
      </c>
      <c r="B466" t="s">
        <v>74</v>
      </c>
      <c r="C466" t="s">
        <v>104</v>
      </c>
      <c r="D466">
        <v>2</v>
      </c>
      <c r="E466" t="s">
        <v>132</v>
      </c>
      <c r="F466" t="s">
        <v>671</v>
      </c>
      <c r="G466" t="s">
        <v>211</v>
      </c>
      <c r="H466" s="16">
        <v>919995</v>
      </c>
      <c r="I466" s="16">
        <v>449858</v>
      </c>
      <c r="J466" s="16">
        <v>420136</v>
      </c>
      <c r="K466" s="16">
        <v>625255</v>
      </c>
      <c r="L466" s="16">
        <v>601883</v>
      </c>
      <c r="M466" s="16">
        <v>294739</v>
      </c>
      <c r="N466" s="16">
        <v>21476</v>
      </c>
      <c r="O466">
        <v>0</v>
      </c>
      <c r="P466">
        <v>2</v>
      </c>
      <c r="Q466" s="20">
        <v>0.48897874444969808</v>
      </c>
      <c r="R466" s="21">
        <v>7.2864466528012914E-2</v>
      </c>
    </row>
    <row r="467" spans="1:18">
      <c r="A467" t="s">
        <v>838</v>
      </c>
      <c r="B467" t="s">
        <v>74</v>
      </c>
      <c r="C467" t="s">
        <v>104</v>
      </c>
      <c r="D467">
        <v>2</v>
      </c>
      <c r="E467" t="s">
        <v>132</v>
      </c>
      <c r="F467" t="s">
        <v>839</v>
      </c>
      <c r="G467" t="s">
        <v>206</v>
      </c>
      <c r="H467" s="16">
        <v>919638</v>
      </c>
      <c r="I467" s="16">
        <v>675720</v>
      </c>
      <c r="J467" s="16">
        <v>23417</v>
      </c>
      <c r="K467" s="16">
        <v>803468</v>
      </c>
      <c r="L467" s="16">
        <v>677792</v>
      </c>
      <c r="M467" s="16">
        <v>116170</v>
      </c>
      <c r="N467" s="16">
        <v>4470</v>
      </c>
      <c r="O467">
        <v>0</v>
      </c>
      <c r="P467">
        <v>20</v>
      </c>
      <c r="Q467" s="20">
        <v>0.73476737585876184</v>
      </c>
      <c r="R467" s="21">
        <v>3.8478092450718773E-2</v>
      </c>
    </row>
    <row r="468" spans="1:18">
      <c r="A468" t="s">
        <v>840</v>
      </c>
      <c r="B468" t="s">
        <v>74</v>
      </c>
      <c r="C468" t="s">
        <v>104</v>
      </c>
      <c r="D468">
        <v>2</v>
      </c>
      <c r="E468" t="s">
        <v>132</v>
      </c>
      <c r="F468" t="s">
        <v>260</v>
      </c>
      <c r="G468" t="s">
        <v>211</v>
      </c>
      <c r="H468" s="16">
        <v>918101</v>
      </c>
      <c r="I468" s="16">
        <v>683744</v>
      </c>
      <c r="J468" s="16">
        <v>13330</v>
      </c>
      <c r="K468" s="16">
        <v>812471</v>
      </c>
      <c r="L468" s="16">
        <v>504888</v>
      </c>
      <c r="M468" s="16">
        <v>105630</v>
      </c>
      <c r="N468" s="16">
        <v>-1196</v>
      </c>
      <c r="O468">
        <v>0</v>
      </c>
      <c r="P468">
        <v>17</v>
      </c>
      <c r="Q468" s="20">
        <v>0.74473723479225051</v>
      </c>
      <c r="R468" s="21">
        <v>-1.1322540944807346E-2</v>
      </c>
    </row>
    <row r="469" spans="1:18">
      <c r="A469" t="s">
        <v>841</v>
      </c>
      <c r="B469" t="s">
        <v>74</v>
      </c>
      <c r="C469" t="s">
        <v>104</v>
      </c>
      <c r="D469">
        <v>2</v>
      </c>
      <c r="E469" t="s">
        <v>132</v>
      </c>
      <c r="F469" t="s">
        <v>842</v>
      </c>
      <c r="G469" t="s">
        <v>843</v>
      </c>
      <c r="H469" s="16">
        <v>908447</v>
      </c>
      <c r="I469" s="16">
        <v>642823</v>
      </c>
      <c r="J469" s="16">
        <v>28657</v>
      </c>
      <c r="K469" s="16">
        <v>761271</v>
      </c>
      <c r="L469" s="16">
        <v>570821</v>
      </c>
      <c r="M469" s="16">
        <v>147175</v>
      </c>
      <c r="N469" s="16">
        <v>-2595</v>
      </c>
      <c r="O469">
        <v>0</v>
      </c>
      <c r="P469">
        <v>26</v>
      </c>
      <c r="Q469" s="20">
        <v>0.70760649768230843</v>
      </c>
      <c r="R469" s="21">
        <v>-1.7632070664175301E-2</v>
      </c>
    </row>
    <row r="470" spans="1:18">
      <c r="A470" t="s">
        <v>844</v>
      </c>
      <c r="B470" t="s">
        <v>74</v>
      </c>
      <c r="C470" t="s">
        <v>104</v>
      </c>
      <c r="D470">
        <v>2</v>
      </c>
      <c r="E470" t="s">
        <v>132</v>
      </c>
      <c r="F470" t="s">
        <v>845</v>
      </c>
      <c r="G470" t="s">
        <v>169</v>
      </c>
      <c r="H470" s="16">
        <v>904147</v>
      </c>
      <c r="I470" s="16">
        <v>395074</v>
      </c>
      <c r="J470" s="16">
        <v>24782</v>
      </c>
      <c r="K470" s="16">
        <v>819220</v>
      </c>
      <c r="L470" s="16">
        <v>771304</v>
      </c>
      <c r="M470" s="16">
        <v>84927</v>
      </c>
      <c r="N470" s="16">
        <v>-1573</v>
      </c>
      <c r="O470">
        <v>0</v>
      </c>
      <c r="P470">
        <v>31</v>
      </c>
      <c r="Q470" s="20">
        <v>0.43695770709851384</v>
      </c>
      <c r="R470" s="21">
        <v>-1.8521789301400027E-2</v>
      </c>
    </row>
    <row r="471" spans="1:18">
      <c r="A471" t="s">
        <v>846</v>
      </c>
      <c r="B471" t="s">
        <v>74</v>
      </c>
      <c r="C471" t="s">
        <v>104</v>
      </c>
      <c r="D471">
        <v>2</v>
      </c>
      <c r="E471" t="s">
        <v>132</v>
      </c>
      <c r="F471" t="s">
        <v>847</v>
      </c>
      <c r="G471" t="s">
        <v>848</v>
      </c>
      <c r="H471" s="16">
        <v>903959</v>
      </c>
      <c r="I471" s="16">
        <v>439439</v>
      </c>
      <c r="J471" s="16">
        <v>25554</v>
      </c>
      <c r="K471" s="16">
        <v>771559</v>
      </c>
      <c r="L471" s="16">
        <v>688227</v>
      </c>
      <c r="M471" s="16">
        <v>132400</v>
      </c>
      <c r="N471" s="16">
        <v>10991</v>
      </c>
      <c r="O471">
        <v>0</v>
      </c>
      <c r="P471">
        <v>17</v>
      </c>
      <c r="Q471" s="20">
        <v>0.4861271362971108</v>
      </c>
      <c r="R471" s="21">
        <v>8.3013595166163148E-2</v>
      </c>
    </row>
    <row r="472" spans="1:18">
      <c r="A472" t="s">
        <v>849</v>
      </c>
      <c r="B472" t="s">
        <v>71</v>
      </c>
      <c r="C472" t="s">
        <v>101</v>
      </c>
      <c r="D472">
        <v>3</v>
      </c>
      <c r="E472" t="s">
        <v>143</v>
      </c>
      <c r="F472" t="s">
        <v>850</v>
      </c>
      <c r="G472" t="s">
        <v>169</v>
      </c>
      <c r="H472" s="16">
        <v>900852</v>
      </c>
      <c r="I472" s="16">
        <v>828395</v>
      </c>
      <c r="J472" s="16">
        <v>31617</v>
      </c>
      <c r="K472" s="16">
        <v>628163</v>
      </c>
      <c r="L472" s="16">
        <v>569682</v>
      </c>
      <c r="M472" s="16">
        <v>272689</v>
      </c>
      <c r="N472" s="16">
        <v>8897</v>
      </c>
      <c r="O472">
        <v>2</v>
      </c>
      <c r="P472">
        <v>0</v>
      </c>
      <c r="Q472" s="20">
        <v>0.91956836417080723</v>
      </c>
      <c r="R472" s="21">
        <v>3.2626911976647389E-2</v>
      </c>
    </row>
    <row r="473" spans="1:18">
      <c r="A473" t="s">
        <v>851</v>
      </c>
      <c r="B473" t="s">
        <v>74</v>
      </c>
      <c r="C473" t="s">
        <v>104</v>
      </c>
      <c r="D473">
        <v>2</v>
      </c>
      <c r="E473" t="s">
        <v>132</v>
      </c>
      <c r="F473" t="s">
        <v>646</v>
      </c>
      <c r="G473" t="s">
        <v>134</v>
      </c>
      <c r="H473" s="16">
        <v>897475</v>
      </c>
      <c r="I473" s="16">
        <v>514939</v>
      </c>
      <c r="J473" s="16">
        <v>159765</v>
      </c>
      <c r="K473" s="16">
        <v>808472</v>
      </c>
      <c r="L473" s="16">
        <v>746847</v>
      </c>
      <c r="M473" s="16">
        <v>89003</v>
      </c>
      <c r="N473" s="16">
        <v>-174</v>
      </c>
      <c r="O473">
        <v>0</v>
      </c>
      <c r="P473">
        <v>11</v>
      </c>
      <c r="Q473" s="20">
        <v>0.57376417170394722</v>
      </c>
      <c r="R473" s="21">
        <v>-1.9549902812264755E-3</v>
      </c>
    </row>
    <row r="474" spans="1:18">
      <c r="A474" t="s">
        <v>852</v>
      </c>
      <c r="B474" t="s">
        <v>74</v>
      </c>
      <c r="C474" t="s">
        <v>104</v>
      </c>
      <c r="D474">
        <v>2</v>
      </c>
      <c r="E474" t="s">
        <v>132</v>
      </c>
      <c r="F474" t="s">
        <v>686</v>
      </c>
      <c r="G474" t="s">
        <v>169</v>
      </c>
      <c r="H474" s="16">
        <v>896171</v>
      </c>
      <c r="I474" s="16">
        <v>302241</v>
      </c>
      <c r="J474" s="16">
        <v>24535</v>
      </c>
      <c r="K474" s="16">
        <v>775065</v>
      </c>
      <c r="L474" s="16">
        <v>725714</v>
      </c>
      <c r="M474" s="16">
        <v>121105</v>
      </c>
      <c r="N474" s="16">
        <v>16184</v>
      </c>
      <c r="O474">
        <v>0</v>
      </c>
      <c r="P474">
        <v>19</v>
      </c>
      <c r="Q474" s="20">
        <v>0.33725817952154219</v>
      </c>
      <c r="R474" s="21">
        <v>0.13363610090417408</v>
      </c>
    </row>
    <row r="475" spans="1:18">
      <c r="A475" t="s">
        <v>853</v>
      </c>
      <c r="B475" t="s">
        <v>74</v>
      </c>
      <c r="C475" t="s">
        <v>104</v>
      </c>
      <c r="D475">
        <v>2</v>
      </c>
      <c r="E475" t="s">
        <v>132</v>
      </c>
      <c r="F475" t="s">
        <v>463</v>
      </c>
      <c r="G475" t="s">
        <v>211</v>
      </c>
      <c r="H475" s="16">
        <v>892378</v>
      </c>
      <c r="I475" s="16">
        <v>524002</v>
      </c>
      <c r="J475" s="16">
        <v>9398</v>
      </c>
      <c r="K475" s="16">
        <v>823567</v>
      </c>
      <c r="L475" s="16">
        <v>811224</v>
      </c>
      <c r="M475" s="16">
        <v>68811</v>
      </c>
      <c r="N475" s="16">
        <v>-18798</v>
      </c>
      <c r="O475">
        <v>0</v>
      </c>
      <c r="P475">
        <v>18</v>
      </c>
      <c r="Q475" s="20">
        <v>0.58719735358782932</v>
      </c>
      <c r="R475" s="21">
        <v>-0.27318306666085362</v>
      </c>
    </row>
    <row r="476" spans="1:18">
      <c r="A476" t="s">
        <v>854</v>
      </c>
      <c r="B476" t="s">
        <v>74</v>
      </c>
      <c r="C476" t="s">
        <v>101</v>
      </c>
      <c r="D476">
        <v>2</v>
      </c>
      <c r="E476" t="s">
        <v>132</v>
      </c>
      <c r="F476" t="s">
        <v>855</v>
      </c>
      <c r="G476" t="s">
        <v>134</v>
      </c>
      <c r="H476" s="16">
        <v>890785</v>
      </c>
      <c r="I476" s="16">
        <v>269069</v>
      </c>
      <c r="J476" s="16">
        <v>48726</v>
      </c>
      <c r="K476" s="16">
        <v>600783</v>
      </c>
      <c r="L476" s="16">
        <v>548688</v>
      </c>
      <c r="M476" s="16">
        <v>290002</v>
      </c>
      <c r="N476" s="16">
        <v>16907</v>
      </c>
      <c r="O476">
        <v>0</v>
      </c>
      <c r="P476">
        <v>13</v>
      </c>
      <c r="Q476" s="20">
        <v>0.30205829689543495</v>
      </c>
      <c r="R476" s="21">
        <v>5.8299597933807353E-2</v>
      </c>
    </row>
    <row r="477" spans="1:18">
      <c r="A477" t="s">
        <v>856</v>
      </c>
      <c r="B477" t="s">
        <v>74</v>
      </c>
      <c r="C477" t="s">
        <v>104</v>
      </c>
      <c r="D477">
        <v>2</v>
      </c>
      <c r="E477" t="s">
        <v>132</v>
      </c>
      <c r="F477" t="s">
        <v>857</v>
      </c>
      <c r="G477" t="s">
        <v>169</v>
      </c>
      <c r="H477" s="16">
        <v>890567</v>
      </c>
      <c r="I477" s="16">
        <v>354928</v>
      </c>
      <c r="J477" s="16">
        <v>20513</v>
      </c>
      <c r="K477" s="16">
        <v>768801</v>
      </c>
      <c r="L477" s="16">
        <v>677626</v>
      </c>
      <c r="M477" s="16">
        <v>121766</v>
      </c>
      <c r="N477" s="16">
        <v>5299</v>
      </c>
      <c r="O477">
        <v>0</v>
      </c>
      <c r="P477">
        <v>19</v>
      </c>
      <c r="Q477" s="20">
        <v>0.3985416032707253</v>
      </c>
      <c r="R477" s="21">
        <v>4.3517894978893946E-2</v>
      </c>
    </row>
    <row r="478" spans="1:18">
      <c r="A478" t="s">
        <v>858</v>
      </c>
      <c r="B478" t="s">
        <v>74</v>
      </c>
      <c r="C478" t="s">
        <v>104</v>
      </c>
      <c r="D478">
        <v>2</v>
      </c>
      <c r="E478" t="s">
        <v>132</v>
      </c>
      <c r="F478" t="s">
        <v>859</v>
      </c>
      <c r="G478" t="s">
        <v>169</v>
      </c>
      <c r="H478" s="16">
        <v>881780</v>
      </c>
      <c r="I478" s="16">
        <v>276402</v>
      </c>
      <c r="J478" s="16">
        <v>16382</v>
      </c>
      <c r="K478" s="16">
        <v>714246</v>
      </c>
      <c r="L478" s="16">
        <v>646955</v>
      </c>
      <c r="M478" s="16">
        <v>167534</v>
      </c>
      <c r="N478" s="16">
        <v>14266</v>
      </c>
      <c r="O478">
        <v>0</v>
      </c>
      <c r="P478">
        <v>26</v>
      </c>
      <c r="Q478" s="20">
        <v>0.3134591394678945</v>
      </c>
      <c r="R478" s="21">
        <v>8.5152864493177507E-2</v>
      </c>
    </row>
    <row r="479" spans="1:18">
      <c r="A479" t="s">
        <v>860</v>
      </c>
      <c r="B479" t="s">
        <v>86</v>
      </c>
      <c r="C479" t="s">
        <v>101</v>
      </c>
      <c r="D479">
        <v>3</v>
      </c>
      <c r="E479" t="s">
        <v>143</v>
      </c>
      <c r="F479" t="s">
        <v>133</v>
      </c>
      <c r="G479" t="s">
        <v>134</v>
      </c>
      <c r="H479" s="16">
        <v>873478</v>
      </c>
      <c r="I479" s="16">
        <v>0</v>
      </c>
      <c r="J479" s="16">
        <v>392215</v>
      </c>
      <c r="K479" s="16">
        <v>472658</v>
      </c>
      <c r="L479" s="16">
        <v>174584</v>
      </c>
      <c r="M479" s="16">
        <v>400820</v>
      </c>
      <c r="N479" s="16">
        <v>9853</v>
      </c>
      <c r="O479">
        <v>2</v>
      </c>
      <c r="P479">
        <v>0</v>
      </c>
      <c r="Q479" s="20">
        <v>0</v>
      </c>
      <c r="R479" s="21">
        <v>2.4582106681303329E-2</v>
      </c>
    </row>
    <row r="480" spans="1:18">
      <c r="A480" t="s">
        <v>861</v>
      </c>
      <c r="B480" t="s">
        <v>74</v>
      </c>
      <c r="C480" t="s">
        <v>104</v>
      </c>
      <c r="D480">
        <v>2</v>
      </c>
      <c r="E480" t="s">
        <v>132</v>
      </c>
      <c r="F480" t="s">
        <v>168</v>
      </c>
      <c r="G480" t="s">
        <v>169</v>
      </c>
      <c r="H480" s="16">
        <v>870252</v>
      </c>
      <c r="I480" s="16">
        <v>254668</v>
      </c>
      <c r="J480" s="16">
        <v>12702</v>
      </c>
      <c r="K480" s="16">
        <v>750063</v>
      </c>
      <c r="L480" s="16">
        <v>740631</v>
      </c>
      <c r="M480" s="16">
        <v>120189</v>
      </c>
      <c r="N480" s="16">
        <v>10769</v>
      </c>
      <c r="O480">
        <v>0</v>
      </c>
      <c r="P480">
        <v>0</v>
      </c>
      <c r="Q480" s="20">
        <v>0.29263707523797705</v>
      </c>
      <c r="R480" s="21">
        <v>8.9600545807020607E-2</v>
      </c>
    </row>
    <row r="481" spans="1:18">
      <c r="A481" t="s">
        <v>862</v>
      </c>
      <c r="B481" t="s">
        <v>74</v>
      </c>
      <c r="C481" t="s">
        <v>104</v>
      </c>
      <c r="D481">
        <v>2</v>
      </c>
      <c r="E481" t="s">
        <v>132</v>
      </c>
      <c r="F481" t="s">
        <v>799</v>
      </c>
      <c r="G481" t="s">
        <v>169</v>
      </c>
      <c r="H481" s="16">
        <v>864128</v>
      </c>
      <c r="I481" s="16">
        <v>254444</v>
      </c>
      <c r="J481" s="16">
        <v>11977</v>
      </c>
      <c r="K481" s="16">
        <v>772144</v>
      </c>
      <c r="L481" s="16">
        <v>750266</v>
      </c>
      <c r="M481" s="16">
        <v>91984</v>
      </c>
      <c r="N481" s="16">
        <v>12534</v>
      </c>
      <c r="O481">
        <v>0</v>
      </c>
      <c r="P481">
        <v>4</v>
      </c>
      <c r="Q481" s="20">
        <v>0.29445174788920159</v>
      </c>
      <c r="R481" s="21">
        <v>0.13626282831796835</v>
      </c>
    </row>
    <row r="482" spans="1:18">
      <c r="A482" t="s">
        <v>863</v>
      </c>
      <c r="B482" t="s">
        <v>74</v>
      </c>
      <c r="C482" t="s">
        <v>104</v>
      </c>
      <c r="D482">
        <v>2</v>
      </c>
      <c r="E482" t="s">
        <v>132</v>
      </c>
      <c r="F482" t="s">
        <v>864</v>
      </c>
      <c r="G482" t="s">
        <v>206</v>
      </c>
      <c r="H482" s="16">
        <v>860468</v>
      </c>
      <c r="I482" s="16">
        <v>617651</v>
      </c>
      <c r="J482" s="16">
        <v>35207</v>
      </c>
      <c r="K482" s="16">
        <v>726360</v>
      </c>
      <c r="L482" s="16">
        <v>474788</v>
      </c>
      <c r="M482" s="16">
        <v>134108</v>
      </c>
      <c r="N482" s="16">
        <v>8198</v>
      </c>
      <c r="O482">
        <v>0</v>
      </c>
      <c r="P482">
        <v>16</v>
      </c>
      <c r="Q482" s="20">
        <v>0.71780821599408695</v>
      </c>
      <c r="R482" s="21">
        <v>6.1129835654845352E-2</v>
      </c>
    </row>
    <row r="483" spans="1:18">
      <c r="A483" t="s">
        <v>865</v>
      </c>
      <c r="B483" t="s">
        <v>89</v>
      </c>
      <c r="C483" t="s">
        <v>101</v>
      </c>
      <c r="D483">
        <v>2</v>
      </c>
      <c r="E483" t="s">
        <v>132</v>
      </c>
      <c r="F483" t="s">
        <v>210</v>
      </c>
      <c r="G483" t="s">
        <v>211</v>
      </c>
      <c r="H483" s="16">
        <v>846527</v>
      </c>
      <c r="I483" s="16">
        <v>428653</v>
      </c>
      <c r="J483" s="16">
        <v>149714</v>
      </c>
      <c r="K483" s="16">
        <v>753892</v>
      </c>
      <c r="L483" s="16">
        <v>137651</v>
      </c>
      <c r="M483" s="16">
        <v>92635</v>
      </c>
      <c r="N483" s="16">
        <v>3411</v>
      </c>
      <c r="O483">
        <v>1</v>
      </c>
      <c r="P483">
        <v>0</v>
      </c>
      <c r="Q483" s="20">
        <v>0.50636660141968304</v>
      </c>
      <c r="R483" s="21">
        <v>3.682193555351649E-2</v>
      </c>
    </row>
    <row r="484" spans="1:18">
      <c r="A484" t="s">
        <v>866</v>
      </c>
      <c r="B484" t="s">
        <v>74</v>
      </c>
      <c r="C484" t="s">
        <v>104</v>
      </c>
      <c r="D484">
        <v>2</v>
      </c>
      <c r="E484" t="s">
        <v>132</v>
      </c>
      <c r="F484" t="s">
        <v>867</v>
      </c>
      <c r="G484" t="s">
        <v>206</v>
      </c>
      <c r="H484" s="16">
        <v>837101</v>
      </c>
      <c r="I484" s="16">
        <v>537962</v>
      </c>
      <c r="J484" s="16">
        <v>23814</v>
      </c>
      <c r="K484" s="16">
        <v>724243</v>
      </c>
      <c r="L484" s="16">
        <v>578850</v>
      </c>
      <c r="M484" s="16">
        <v>112858</v>
      </c>
      <c r="N484" s="16">
        <v>5870</v>
      </c>
      <c r="O484">
        <v>0</v>
      </c>
      <c r="P484">
        <v>13</v>
      </c>
      <c r="Q484" s="20">
        <v>0.64264885599228772</v>
      </c>
      <c r="R484" s="21">
        <v>5.2012263198001028E-2</v>
      </c>
    </row>
    <row r="485" spans="1:18">
      <c r="A485" t="s">
        <v>868</v>
      </c>
      <c r="B485" t="s">
        <v>77</v>
      </c>
      <c r="C485" t="s">
        <v>101</v>
      </c>
      <c r="D485">
        <v>2</v>
      </c>
      <c r="E485" t="s">
        <v>132</v>
      </c>
      <c r="F485" t="s">
        <v>276</v>
      </c>
      <c r="G485" t="s">
        <v>211</v>
      </c>
      <c r="H485" s="16">
        <v>829065</v>
      </c>
      <c r="I485" s="16">
        <v>0</v>
      </c>
      <c r="J485" s="16">
        <v>666217</v>
      </c>
      <c r="K485" s="16">
        <v>799689</v>
      </c>
      <c r="L485" s="16">
        <v>2068</v>
      </c>
      <c r="M485" s="16">
        <v>29376</v>
      </c>
      <c r="N485" s="16">
        <v>-737</v>
      </c>
      <c r="O485">
        <v>0</v>
      </c>
      <c r="P485">
        <v>3</v>
      </c>
      <c r="Q485" s="20">
        <v>0</v>
      </c>
      <c r="R485" s="21">
        <v>-2.508850762527233E-2</v>
      </c>
    </row>
    <row r="486" spans="1:18">
      <c r="A486" t="s">
        <v>869</v>
      </c>
      <c r="B486" t="s">
        <v>83</v>
      </c>
      <c r="C486" t="s">
        <v>101</v>
      </c>
      <c r="D486">
        <v>1</v>
      </c>
      <c r="E486" t="s">
        <v>136</v>
      </c>
      <c r="F486" t="s">
        <v>145</v>
      </c>
      <c r="G486" t="s">
        <v>146</v>
      </c>
      <c r="H486" s="16">
        <v>828891</v>
      </c>
      <c r="I486" s="16">
        <v>282939</v>
      </c>
      <c r="J486" s="16">
        <v>475746</v>
      </c>
      <c r="K486" s="16">
        <v>227641</v>
      </c>
      <c r="L486" s="16">
        <v>104153</v>
      </c>
      <c r="M486" s="16">
        <v>601250</v>
      </c>
      <c r="N486" s="16">
        <v>6693</v>
      </c>
      <c r="O486">
        <v>1</v>
      </c>
      <c r="P486">
        <v>0</v>
      </c>
      <c r="Q486" s="20">
        <v>0.34134644965381455</v>
      </c>
      <c r="R486" s="21">
        <v>1.1131808731808732E-2</v>
      </c>
    </row>
    <row r="487" spans="1:18">
      <c r="A487" t="s">
        <v>870</v>
      </c>
      <c r="B487" t="s">
        <v>77</v>
      </c>
      <c r="C487" t="s">
        <v>162</v>
      </c>
      <c r="D487">
        <v>2</v>
      </c>
      <c r="E487" t="s">
        <v>132</v>
      </c>
      <c r="F487" t="s">
        <v>137</v>
      </c>
      <c r="G487" t="s">
        <v>138</v>
      </c>
      <c r="H487" s="16">
        <v>825404</v>
      </c>
      <c r="I487" s="16">
        <v>0</v>
      </c>
      <c r="J487" s="16">
        <v>142923</v>
      </c>
      <c r="K487" s="16">
        <v>251583</v>
      </c>
      <c r="L487" s="16">
        <v>0</v>
      </c>
      <c r="M487" s="16">
        <v>573821</v>
      </c>
      <c r="N487" s="16">
        <v>106258</v>
      </c>
      <c r="O487">
        <v>0</v>
      </c>
      <c r="P487">
        <v>0</v>
      </c>
      <c r="Q487" s="20">
        <v>0</v>
      </c>
      <c r="R487" s="21">
        <v>0.18517621348817837</v>
      </c>
    </row>
    <row r="488" spans="1:18">
      <c r="A488" t="s">
        <v>871</v>
      </c>
      <c r="B488" t="s">
        <v>89</v>
      </c>
      <c r="C488" t="s">
        <v>101</v>
      </c>
      <c r="D488">
        <v>2</v>
      </c>
      <c r="E488" t="s">
        <v>132</v>
      </c>
      <c r="F488" t="s">
        <v>411</v>
      </c>
      <c r="G488" t="s">
        <v>134</v>
      </c>
      <c r="H488" s="16">
        <v>824327</v>
      </c>
      <c r="I488" s="16">
        <v>529943</v>
      </c>
      <c r="J488" s="16">
        <v>19419</v>
      </c>
      <c r="K488" s="16">
        <v>661419</v>
      </c>
      <c r="L488" s="16">
        <v>60000</v>
      </c>
      <c r="M488" s="16">
        <v>162908</v>
      </c>
      <c r="N488" s="16">
        <v>-31519</v>
      </c>
      <c r="O488">
        <v>1</v>
      </c>
      <c r="P488">
        <v>0</v>
      </c>
      <c r="Q488" s="20">
        <v>0.64287958540724732</v>
      </c>
      <c r="R488" s="21">
        <v>-0.19347730007120584</v>
      </c>
    </row>
    <row r="489" spans="1:18">
      <c r="A489" t="s">
        <v>872</v>
      </c>
      <c r="B489" t="s">
        <v>83</v>
      </c>
      <c r="C489" t="s">
        <v>101</v>
      </c>
      <c r="D489">
        <v>2</v>
      </c>
      <c r="E489" t="s">
        <v>132</v>
      </c>
      <c r="F489" t="s">
        <v>152</v>
      </c>
      <c r="G489" t="s">
        <v>153</v>
      </c>
      <c r="H489" s="16">
        <v>817931</v>
      </c>
      <c r="I489" s="16">
        <v>272774</v>
      </c>
      <c r="J489" s="16">
        <v>113193</v>
      </c>
      <c r="K489" s="16">
        <v>717467</v>
      </c>
      <c r="L489" s="16">
        <v>682359</v>
      </c>
      <c r="M489" s="16">
        <v>100463</v>
      </c>
      <c r="N489" s="16">
        <v>14318</v>
      </c>
      <c r="O489">
        <v>2</v>
      </c>
      <c r="P489">
        <v>0</v>
      </c>
      <c r="Q489" s="20">
        <v>0.33349267847776892</v>
      </c>
      <c r="R489" s="21">
        <v>0.14252013178981315</v>
      </c>
    </row>
    <row r="490" spans="1:18">
      <c r="A490" t="s">
        <v>873</v>
      </c>
      <c r="B490" t="s">
        <v>74</v>
      </c>
      <c r="C490" t="s">
        <v>104</v>
      </c>
      <c r="D490">
        <v>2</v>
      </c>
      <c r="E490" t="s">
        <v>132</v>
      </c>
      <c r="F490" t="s">
        <v>874</v>
      </c>
      <c r="G490" t="s">
        <v>169</v>
      </c>
      <c r="H490" s="16">
        <v>813718</v>
      </c>
      <c r="I490" s="16">
        <v>462050</v>
      </c>
      <c r="J490" s="16">
        <v>22332</v>
      </c>
      <c r="K490" s="16">
        <v>689228</v>
      </c>
      <c r="L490" s="16">
        <v>580009</v>
      </c>
      <c r="M490" s="16">
        <v>124489</v>
      </c>
      <c r="N490" s="16">
        <v>-2781</v>
      </c>
      <c r="O490">
        <v>0</v>
      </c>
      <c r="P490">
        <v>10</v>
      </c>
      <c r="Q490" s="20">
        <v>0.56782570866074</v>
      </c>
      <c r="R490" s="21">
        <v>-2.2339323153049668E-2</v>
      </c>
    </row>
    <row r="491" spans="1:18">
      <c r="A491" t="s">
        <v>875</v>
      </c>
      <c r="B491" t="s">
        <v>74</v>
      </c>
      <c r="C491" t="s">
        <v>104</v>
      </c>
      <c r="D491">
        <v>2</v>
      </c>
      <c r="E491" t="s">
        <v>132</v>
      </c>
      <c r="F491" t="s">
        <v>876</v>
      </c>
      <c r="G491" t="s">
        <v>211</v>
      </c>
      <c r="H491" s="16">
        <v>808400</v>
      </c>
      <c r="I491" s="16">
        <v>417611</v>
      </c>
      <c r="J491" s="16">
        <v>18765</v>
      </c>
      <c r="K491" s="16">
        <v>698532</v>
      </c>
      <c r="L491" s="16">
        <v>595398</v>
      </c>
      <c r="M491" s="16">
        <v>109868</v>
      </c>
      <c r="N491" s="16">
        <v>4506</v>
      </c>
      <c r="O491">
        <v>0</v>
      </c>
      <c r="P491">
        <v>30</v>
      </c>
      <c r="Q491" s="20">
        <v>0.51658955962394859</v>
      </c>
      <c r="R491" s="21">
        <v>4.1012851785779299E-2</v>
      </c>
    </row>
    <row r="492" spans="1:18">
      <c r="A492" t="s">
        <v>877</v>
      </c>
      <c r="B492" t="s">
        <v>68</v>
      </c>
      <c r="C492" t="s">
        <v>101</v>
      </c>
      <c r="D492">
        <v>3</v>
      </c>
      <c r="E492" t="s">
        <v>143</v>
      </c>
      <c r="F492" t="s">
        <v>133</v>
      </c>
      <c r="G492" t="s">
        <v>134</v>
      </c>
      <c r="H492" s="16">
        <v>802568</v>
      </c>
      <c r="I492" s="16">
        <v>21649</v>
      </c>
      <c r="J492" s="16">
        <v>211196</v>
      </c>
      <c r="K492" s="16">
        <v>509023</v>
      </c>
      <c r="L492" s="16">
        <v>183142</v>
      </c>
      <c r="M492" s="16">
        <v>293546</v>
      </c>
      <c r="N492" s="16">
        <v>3789</v>
      </c>
      <c r="O492">
        <v>23</v>
      </c>
      <c r="P492">
        <v>0</v>
      </c>
      <c r="Q492" s="20">
        <v>2.6974661337107884E-2</v>
      </c>
      <c r="R492" s="21">
        <v>1.2907687381194089E-2</v>
      </c>
    </row>
    <row r="493" spans="1:18">
      <c r="A493" t="s">
        <v>878</v>
      </c>
      <c r="B493" t="s">
        <v>71</v>
      </c>
      <c r="C493" t="s">
        <v>101</v>
      </c>
      <c r="D493">
        <v>2</v>
      </c>
      <c r="E493" t="s">
        <v>132</v>
      </c>
      <c r="F493" t="s">
        <v>133</v>
      </c>
      <c r="G493" t="s">
        <v>134</v>
      </c>
      <c r="H493" s="16">
        <v>799788</v>
      </c>
      <c r="I493" s="16">
        <v>317010</v>
      </c>
      <c r="J493" s="16">
        <v>2509</v>
      </c>
      <c r="K493" s="16">
        <v>568917</v>
      </c>
      <c r="L493" s="16">
        <v>545552</v>
      </c>
      <c r="M493" s="16">
        <v>230871</v>
      </c>
      <c r="N493" s="16">
        <v>18534</v>
      </c>
      <c r="O493">
        <v>2</v>
      </c>
      <c r="P493">
        <v>0</v>
      </c>
      <c r="Q493" s="20">
        <v>0.39636753739741032</v>
      </c>
      <c r="R493" s="21">
        <v>8.0278597138661853E-2</v>
      </c>
    </row>
    <row r="494" spans="1:18">
      <c r="A494" t="s">
        <v>879</v>
      </c>
      <c r="B494" t="s">
        <v>74</v>
      </c>
      <c r="C494" t="s">
        <v>104</v>
      </c>
      <c r="D494">
        <v>2</v>
      </c>
      <c r="E494" t="s">
        <v>132</v>
      </c>
      <c r="F494" t="s">
        <v>880</v>
      </c>
      <c r="G494" t="s">
        <v>153</v>
      </c>
      <c r="H494" s="16">
        <v>788799</v>
      </c>
      <c r="I494" s="16">
        <v>565415</v>
      </c>
      <c r="J494" s="16">
        <v>11589</v>
      </c>
      <c r="K494" s="16">
        <v>711368</v>
      </c>
      <c r="L494" s="16">
        <v>482131</v>
      </c>
      <c r="M494" s="16">
        <v>77430</v>
      </c>
      <c r="N494" s="16">
        <v>-343</v>
      </c>
      <c r="O494">
        <v>0</v>
      </c>
      <c r="P494">
        <v>23</v>
      </c>
      <c r="Q494" s="20">
        <v>0.71680491481353303</v>
      </c>
      <c r="R494" s="21">
        <v>-4.4298075681260497E-3</v>
      </c>
    </row>
    <row r="495" spans="1:18">
      <c r="A495" t="s">
        <v>881</v>
      </c>
      <c r="B495" t="s">
        <v>74</v>
      </c>
      <c r="C495" t="s">
        <v>104</v>
      </c>
      <c r="D495">
        <v>2</v>
      </c>
      <c r="E495" t="s">
        <v>132</v>
      </c>
      <c r="F495" t="s">
        <v>882</v>
      </c>
      <c r="G495" t="s">
        <v>206</v>
      </c>
      <c r="H495" s="16">
        <v>785443</v>
      </c>
      <c r="I495" s="16">
        <v>572789</v>
      </c>
      <c r="J495" s="16">
        <v>11654</v>
      </c>
      <c r="K495" s="16">
        <v>692982</v>
      </c>
      <c r="L495" s="16">
        <v>484937</v>
      </c>
      <c r="M495" s="16">
        <v>92461</v>
      </c>
      <c r="N495" s="16">
        <v>944</v>
      </c>
      <c r="O495">
        <v>0</v>
      </c>
      <c r="P495">
        <v>23</v>
      </c>
      <c r="Q495" s="20">
        <v>0.72925597401721065</v>
      </c>
      <c r="R495" s="21">
        <v>1.0209710039908719E-2</v>
      </c>
    </row>
    <row r="496" spans="1:18">
      <c r="A496" t="s">
        <v>883</v>
      </c>
      <c r="B496" t="s">
        <v>68</v>
      </c>
      <c r="C496" t="s">
        <v>101</v>
      </c>
      <c r="D496">
        <v>2</v>
      </c>
      <c r="E496" t="s">
        <v>132</v>
      </c>
      <c r="F496" t="s">
        <v>133</v>
      </c>
      <c r="G496" t="s">
        <v>134</v>
      </c>
      <c r="H496" s="16">
        <v>784764</v>
      </c>
      <c r="I496" s="16">
        <v>77569</v>
      </c>
      <c r="J496" s="16">
        <v>0</v>
      </c>
      <c r="K496" s="16">
        <v>733206</v>
      </c>
      <c r="L496" s="16">
        <v>663794</v>
      </c>
      <c r="M496" s="16">
        <v>51558</v>
      </c>
      <c r="N496" s="16">
        <v>4240</v>
      </c>
      <c r="O496">
        <v>4</v>
      </c>
      <c r="P496">
        <v>0</v>
      </c>
      <c r="Q496" s="20">
        <v>9.8843728815287149E-2</v>
      </c>
      <c r="R496" s="21">
        <v>8.2237480119477097E-2</v>
      </c>
    </row>
    <row r="497" spans="1:18">
      <c r="A497" t="s">
        <v>884</v>
      </c>
      <c r="B497" t="s">
        <v>74</v>
      </c>
      <c r="C497" t="s">
        <v>104</v>
      </c>
      <c r="D497">
        <v>2</v>
      </c>
      <c r="E497" t="s">
        <v>132</v>
      </c>
      <c r="F497" t="s">
        <v>885</v>
      </c>
      <c r="G497" t="s">
        <v>206</v>
      </c>
      <c r="H497" s="16">
        <v>781195</v>
      </c>
      <c r="I497" s="16">
        <v>585615</v>
      </c>
      <c r="J497" s="16">
        <v>13695</v>
      </c>
      <c r="K497" s="16">
        <v>664648</v>
      </c>
      <c r="L497" s="16">
        <v>432960</v>
      </c>
      <c r="M497" s="16">
        <v>116547</v>
      </c>
      <c r="N497" s="16">
        <v>2904</v>
      </c>
      <c r="O497">
        <v>0</v>
      </c>
      <c r="P497">
        <v>19</v>
      </c>
      <c r="Q497" s="20">
        <v>0.74963997465421561</v>
      </c>
      <c r="R497" s="21">
        <v>2.4916986280213133E-2</v>
      </c>
    </row>
    <row r="498" spans="1:18">
      <c r="A498" t="s">
        <v>886</v>
      </c>
      <c r="B498" t="s">
        <v>74</v>
      </c>
      <c r="C498" t="s">
        <v>104</v>
      </c>
      <c r="D498">
        <v>2</v>
      </c>
      <c r="E498" t="s">
        <v>132</v>
      </c>
      <c r="F498" t="s">
        <v>887</v>
      </c>
      <c r="G498" t="s">
        <v>286</v>
      </c>
      <c r="H498" s="16">
        <v>780673</v>
      </c>
      <c r="I498" s="16">
        <v>531195</v>
      </c>
      <c r="J498" s="16">
        <v>31642</v>
      </c>
      <c r="K498" s="16">
        <v>601869</v>
      </c>
      <c r="L498" s="16">
        <v>522053</v>
      </c>
      <c r="M498" s="16">
        <v>178804</v>
      </c>
      <c r="N498" s="16">
        <v>13546</v>
      </c>
      <c r="O498">
        <v>0</v>
      </c>
      <c r="P498">
        <v>11</v>
      </c>
      <c r="Q498" s="20">
        <v>0.68043213996128982</v>
      </c>
      <c r="R498" s="21">
        <v>7.5758931567526458E-2</v>
      </c>
    </row>
    <row r="499" spans="1:18">
      <c r="A499" t="s">
        <v>888</v>
      </c>
      <c r="B499" t="s">
        <v>74</v>
      </c>
      <c r="C499" t="s">
        <v>104</v>
      </c>
      <c r="D499">
        <v>2</v>
      </c>
      <c r="E499" t="s">
        <v>132</v>
      </c>
      <c r="F499" t="s">
        <v>889</v>
      </c>
      <c r="G499" t="s">
        <v>286</v>
      </c>
      <c r="H499" s="16">
        <v>777341</v>
      </c>
      <c r="I499" s="16">
        <v>246647</v>
      </c>
      <c r="J499" s="16">
        <v>35398</v>
      </c>
      <c r="K499" s="16">
        <v>629294</v>
      </c>
      <c r="L499" s="16">
        <v>545054</v>
      </c>
      <c r="M499" s="16">
        <v>148047</v>
      </c>
      <c r="N499" s="16">
        <v>10429</v>
      </c>
      <c r="O499">
        <v>0</v>
      </c>
      <c r="P499">
        <v>13</v>
      </c>
      <c r="Q499" s="20">
        <v>0.31729575565935669</v>
      </c>
      <c r="R499" s="21">
        <v>7.0443845535539396E-2</v>
      </c>
    </row>
    <row r="500" spans="1:18">
      <c r="A500" t="s">
        <v>890</v>
      </c>
      <c r="B500" t="s">
        <v>74</v>
      </c>
      <c r="C500" t="s">
        <v>104</v>
      </c>
      <c r="D500">
        <v>2</v>
      </c>
      <c r="E500" t="s">
        <v>132</v>
      </c>
      <c r="F500" t="s">
        <v>891</v>
      </c>
      <c r="G500" t="s">
        <v>169</v>
      </c>
      <c r="H500" s="16">
        <v>775297</v>
      </c>
      <c r="I500" s="16">
        <v>467461</v>
      </c>
      <c r="J500" s="16">
        <v>18317</v>
      </c>
      <c r="K500" s="16">
        <v>686206</v>
      </c>
      <c r="L500" s="16">
        <v>586988</v>
      </c>
      <c r="M500" s="16">
        <v>89091</v>
      </c>
      <c r="N500" s="16">
        <v>2798</v>
      </c>
      <c r="O500">
        <v>0</v>
      </c>
      <c r="P500">
        <v>8</v>
      </c>
      <c r="Q500" s="20">
        <v>0.6029444200093641</v>
      </c>
      <c r="R500" s="21">
        <v>3.1406090401948569E-2</v>
      </c>
    </row>
    <row r="501" spans="1:18">
      <c r="A501" t="s">
        <v>892</v>
      </c>
      <c r="B501" t="s">
        <v>89</v>
      </c>
      <c r="C501" t="s">
        <v>162</v>
      </c>
      <c r="D501">
        <v>2</v>
      </c>
      <c r="E501" t="s">
        <v>132</v>
      </c>
      <c r="F501" t="s">
        <v>163</v>
      </c>
      <c r="G501" t="s">
        <v>134</v>
      </c>
      <c r="H501" s="16">
        <v>773588</v>
      </c>
      <c r="I501" s="16">
        <v>48733</v>
      </c>
      <c r="J501" s="16">
        <v>98362</v>
      </c>
      <c r="K501" s="16">
        <v>515797</v>
      </c>
      <c r="L501" s="16">
        <v>499943</v>
      </c>
      <c r="M501" s="16">
        <v>257791</v>
      </c>
      <c r="N501" s="16">
        <v>40468</v>
      </c>
      <c r="O501">
        <v>1</v>
      </c>
      <c r="P501">
        <v>0</v>
      </c>
      <c r="Q501" s="20">
        <v>6.2996065088910383E-2</v>
      </c>
      <c r="R501" s="21">
        <v>0.15697987904930738</v>
      </c>
    </row>
    <row r="502" spans="1:18">
      <c r="A502" t="s">
        <v>893</v>
      </c>
      <c r="B502" t="s">
        <v>74</v>
      </c>
      <c r="C502" t="s">
        <v>104</v>
      </c>
      <c r="D502">
        <v>2</v>
      </c>
      <c r="E502" t="s">
        <v>132</v>
      </c>
      <c r="F502" t="s">
        <v>894</v>
      </c>
      <c r="G502" t="s">
        <v>169</v>
      </c>
      <c r="H502" s="16">
        <v>772439</v>
      </c>
      <c r="I502" s="16">
        <v>296127</v>
      </c>
      <c r="J502" s="16">
        <v>26147</v>
      </c>
      <c r="K502" s="16">
        <v>680410</v>
      </c>
      <c r="L502" s="16">
        <v>521654</v>
      </c>
      <c r="M502" s="16">
        <v>92028</v>
      </c>
      <c r="N502" s="16">
        <v>7054</v>
      </c>
      <c r="O502">
        <v>0</v>
      </c>
      <c r="P502">
        <v>4</v>
      </c>
      <c r="Q502" s="20">
        <v>0.38336619461213117</v>
      </c>
      <c r="R502" s="21">
        <v>7.6650584604685532E-2</v>
      </c>
    </row>
    <row r="503" spans="1:18">
      <c r="A503" t="s">
        <v>895</v>
      </c>
      <c r="B503" t="s">
        <v>74</v>
      </c>
      <c r="C503" t="s">
        <v>104</v>
      </c>
      <c r="D503">
        <v>2</v>
      </c>
      <c r="E503" t="s">
        <v>132</v>
      </c>
      <c r="F503" t="s">
        <v>896</v>
      </c>
      <c r="G503" t="s">
        <v>211</v>
      </c>
      <c r="H503" s="16">
        <v>768956</v>
      </c>
      <c r="I503" s="16">
        <v>454923</v>
      </c>
      <c r="J503" s="16">
        <v>13919</v>
      </c>
      <c r="K503" s="16">
        <v>662029</v>
      </c>
      <c r="L503" s="16">
        <v>553005</v>
      </c>
      <c r="M503" s="16">
        <v>106927</v>
      </c>
      <c r="N503" s="16">
        <v>5978</v>
      </c>
      <c r="O503">
        <v>0</v>
      </c>
      <c r="P503">
        <v>10</v>
      </c>
      <c r="Q503" s="20">
        <v>0.59161122352904461</v>
      </c>
      <c r="R503" s="21">
        <v>5.5907301242904037E-2</v>
      </c>
    </row>
    <row r="504" spans="1:18">
      <c r="A504" t="s">
        <v>897</v>
      </c>
      <c r="B504" t="s">
        <v>89</v>
      </c>
      <c r="C504" t="s">
        <v>104</v>
      </c>
      <c r="D504">
        <v>2</v>
      </c>
      <c r="E504" t="s">
        <v>132</v>
      </c>
      <c r="F504" t="s">
        <v>133</v>
      </c>
      <c r="G504" t="s">
        <v>134</v>
      </c>
      <c r="H504" s="16">
        <v>768269</v>
      </c>
      <c r="I504" s="16">
        <v>0</v>
      </c>
      <c r="J504" s="16">
        <v>16986</v>
      </c>
      <c r="K504" s="16">
        <v>664692</v>
      </c>
      <c r="L504" s="16">
        <v>586811</v>
      </c>
      <c r="M504" s="16">
        <v>103577</v>
      </c>
      <c r="N504" s="16">
        <v>8936</v>
      </c>
      <c r="O504">
        <v>1</v>
      </c>
      <c r="P504">
        <v>0</v>
      </c>
      <c r="Q504" s="20">
        <v>0</v>
      </c>
      <c r="R504" s="21">
        <v>8.6273979744537876E-2</v>
      </c>
    </row>
    <row r="505" spans="1:18">
      <c r="A505" t="s">
        <v>898</v>
      </c>
      <c r="B505" t="s">
        <v>89</v>
      </c>
      <c r="C505" t="s">
        <v>101</v>
      </c>
      <c r="D505">
        <v>2</v>
      </c>
      <c r="E505" t="s">
        <v>132</v>
      </c>
      <c r="F505" t="s">
        <v>899</v>
      </c>
      <c r="G505" t="s">
        <v>169</v>
      </c>
      <c r="H505" s="16">
        <v>765442</v>
      </c>
      <c r="I505" s="16">
        <v>30909</v>
      </c>
      <c r="J505" s="16">
        <v>96888</v>
      </c>
      <c r="K505" s="16">
        <v>695310</v>
      </c>
      <c r="L505" s="16">
        <v>617141</v>
      </c>
      <c r="M505" s="16">
        <v>70132</v>
      </c>
      <c r="N505" s="16">
        <v>12749</v>
      </c>
      <c r="O505">
        <v>1</v>
      </c>
      <c r="P505">
        <v>0</v>
      </c>
      <c r="Q505" s="20">
        <v>4.0380590560747907E-2</v>
      </c>
      <c r="R505" s="21">
        <v>0.18178577539496948</v>
      </c>
    </row>
    <row r="506" spans="1:18">
      <c r="A506" t="s">
        <v>900</v>
      </c>
      <c r="B506" t="s">
        <v>89</v>
      </c>
      <c r="C506" t="s">
        <v>92</v>
      </c>
      <c r="D506">
        <v>2</v>
      </c>
      <c r="E506" t="s">
        <v>132</v>
      </c>
      <c r="F506" t="s">
        <v>141</v>
      </c>
      <c r="G506" t="s">
        <v>134</v>
      </c>
      <c r="H506" s="16">
        <v>764018</v>
      </c>
      <c r="I506" s="16">
        <v>0</v>
      </c>
      <c r="J506" s="16">
        <v>686791</v>
      </c>
      <c r="K506" s="16">
        <v>2056</v>
      </c>
      <c r="L506" s="16">
        <v>0</v>
      </c>
      <c r="M506" s="16">
        <v>761962</v>
      </c>
      <c r="N506" s="16">
        <v>15911</v>
      </c>
      <c r="O506">
        <v>1</v>
      </c>
      <c r="P506">
        <v>0</v>
      </c>
      <c r="Q506" s="20">
        <v>0</v>
      </c>
      <c r="R506" s="21">
        <v>2.0881618768390026E-2</v>
      </c>
    </row>
    <row r="507" spans="1:18">
      <c r="A507" t="s">
        <v>901</v>
      </c>
      <c r="B507" t="s">
        <v>74</v>
      </c>
      <c r="C507" t="s">
        <v>104</v>
      </c>
      <c r="D507">
        <v>2</v>
      </c>
      <c r="E507" t="s">
        <v>132</v>
      </c>
      <c r="F507" t="s">
        <v>902</v>
      </c>
      <c r="G507" t="s">
        <v>169</v>
      </c>
      <c r="H507" s="16">
        <v>756343</v>
      </c>
      <c r="I507" s="16">
        <v>206075</v>
      </c>
      <c r="J507" s="16">
        <v>30373</v>
      </c>
      <c r="K507" s="16">
        <v>666355</v>
      </c>
      <c r="L507" s="16">
        <v>597495</v>
      </c>
      <c r="M507" s="16">
        <v>89988</v>
      </c>
      <c r="N507" s="16">
        <v>1947</v>
      </c>
      <c r="O507">
        <v>0</v>
      </c>
      <c r="P507">
        <v>10</v>
      </c>
      <c r="Q507" s="20">
        <v>0.27246236165337684</v>
      </c>
      <c r="R507" s="21">
        <v>2.1636218162421655E-2</v>
      </c>
    </row>
    <row r="508" spans="1:18">
      <c r="A508" t="s">
        <v>903</v>
      </c>
      <c r="B508" t="s">
        <v>89</v>
      </c>
      <c r="C508" t="s">
        <v>162</v>
      </c>
      <c r="D508">
        <v>2</v>
      </c>
      <c r="E508" t="s">
        <v>132</v>
      </c>
      <c r="F508" t="s">
        <v>904</v>
      </c>
      <c r="G508" t="s">
        <v>153</v>
      </c>
      <c r="H508" s="16">
        <v>747318</v>
      </c>
      <c r="I508" s="16">
        <v>345919</v>
      </c>
      <c r="J508" s="16">
        <v>25849</v>
      </c>
      <c r="K508" s="16">
        <v>618081</v>
      </c>
      <c r="L508" s="16">
        <v>18951</v>
      </c>
      <c r="M508" s="16">
        <v>129237</v>
      </c>
      <c r="N508" s="16">
        <v>18479</v>
      </c>
      <c r="O508">
        <v>1</v>
      </c>
      <c r="P508">
        <v>0</v>
      </c>
      <c r="Q508" s="20">
        <v>0.4628805943386885</v>
      </c>
      <c r="R508" s="21">
        <v>0.14298536796737776</v>
      </c>
    </row>
    <row r="509" spans="1:18">
      <c r="A509" t="s">
        <v>905</v>
      </c>
      <c r="B509" t="s">
        <v>74</v>
      </c>
      <c r="C509" t="s">
        <v>104</v>
      </c>
      <c r="D509">
        <v>2</v>
      </c>
      <c r="E509" t="s">
        <v>132</v>
      </c>
      <c r="F509" t="s">
        <v>285</v>
      </c>
      <c r="G509" t="s">
        <v>286</v>
      </c>
      <c r="H509" s="16">
        <v>745090</v>
      </c>
      <c r="I509" s="16">
        <v>436007</v>
      </c>
      <c r="J509" s="16">
        <v>46399</v>
      </c>
      <c r="K509" s="16">
        <v>598533</v>
      </c>
      <c r="L509" s="16">
        <v>556064</v>
      </c>
      <c r="M509" s="16">
        <v>146557</v>
      </c>
      <c r="N509" s="16">
        <v>5702</v>
      </c>
      <c r="O509">
        <v>0</v>
      </c>
      <c r="P509">
        <v>6</v>
      </c>
      <c r="Q509" s="20">
        <v>0.58517360318887646</v>
      </c>
      <c r="R509" s="21">
        <v>3.8906364076775592E-2</v>
      </c>
    </row>
    <row r="510" spans="1:18">
      <c r="A510" t="s">
        <v>906</v>
      </c>
      <c r="B510" t="s">
        <v>74</v>
      </c>
      <c r="C510" t="s">
        <v>104</v>
      </c>
      <c r="D510">
        <v>2</v>
      </c>
      <c r="E510" t="s">
        <v>132</v>
      </c>
      <c r="F510" t="s">
        <v>907</v>
      </c>
      <c r="G510" t="s">
        <v>311</v>
      </c>
      <c r="H510" s="16">
        <v>743068</v>
      </c>
      <c r="I510" s="16">
        <v>499379</v>
      </c>
      <c r="J510" s="16">
        <v>15663</v>
      </c>
      <c r="K510" s="16">
        <v>645620</v>
      </c>
      <c r="L510" s="16">
        <v>562491</v>
      </c>
      <c r="M510" s="16">
        <v>97447</v>
      </c>
      <c r="N510" s="16">
        <v>6859</v>
      </c>
      <c r="O510">
        <v>0</v>
      </c>
      <c r="P510">
        <v>23</v>
      </c>
      <c r="Q510" s="20">
        <v>0.67205020267324123</v>
      </c>
      <c r="R510" s="21">
        <v>7.0386979588904733E-2</v>
      </c>
    </row>
    <row r="511" spans="1:18">
      <c r="A511" t="s">
        <v>908</v>
      </c>
      <c r="B511" t="s">
        <v>68</v>
      </c>
      <c r="C511" t="s">
        <v>101</v>
      </c>
      <c r="D511">
        <v>3</v>
      </c>
      <c r="E511" t="s">
        <v>143</v>
      </c>
      <c r="F511" t="s">
        <v>133</v>
      </c>
      <c r="G511" t="s">
        <v>134</v>
      </c>
      <c r="H511" s="16">
        <v>742907</v>
      </c>
      <c r="I511" s="16">
        <v>32400</v>
      </c>
      <c r="J511" s="16">
        <v>342924</v>
      </c>
      <c r="K511" s="16">
        <v>689790</v>
      </c>
      <c r="L511" s="16">
        <v>684432</v>
      </c>
      <c r="M511" s="16">
        <v>53117</v>
      </c>
      <c r="N511" s="16">
        <v>-8463</v>
      </c>
      <c r="O511">
        <v>2</v>
      </c>
      <c r="P511">
        <v>0</v>
      </c>
      <c r="Q511" s="20">
        <v>4.3612457548522221E-2</v>
      </c>
      <c r="R511" s="21">
        <v>-0.15932752226217595</v>
      </c>
    </row>
    <row r="512" spans="1:18">
      <c r="A512" t="s">
        <v>909</v>
      </c>
      <c r="B512" t="s">
        <v>68</v>
      </c>
      <c r="C512" t="s">
        <v>101</v>
      </c>
      <c r="D512">
        <v>2</v>
      </c>
      <c r="E512" t="s">
        <v>132</v>
      </c>
      <c r="F512" t="s">
        <v>133</v>
      </c>
      <c r="G512" t="s">
        <v>134</v>
      </c>
      <c r="H512" s="16">
        <v>742513</v>
      </c>
      <c r="I512" s="16">
        <v>1656</v>
      </c>
      <c r="J512" s="16">
        <v>638966</v>
      </c>
      <c r="K512" s="16">
        <v>532448</v>
      </c>
      <c r="L512" s="16">
        <v>509442</v>
      </c>
      <c r="M512" s="16">
        <v>210065</v>
      </c>
      <c r="N512" s="16">
        <v>14860</v>
      </c>
      <c r="O512">
        <v>3</v>
      </c>
      <c r="P512">
        <v>0</v>
      </c>
      <c r="Q512" s="20">
        <v>2.2302639819100811E-3</v>
      </c>
      <c r="R512" s="21">
        <v>7.074000904481946E-2</v>
      </c>
    </row>
    <row r="513" spans="1:18">
      <c r="A513" t="s">
        <v>910</v>
      </c>
      <c r="B513" t="s">
        <v>77</v>
      </c>
      <c r="C513" t="s">
        <v>101</v>
      </c>
      <c r="D513">
        <v>2</v>
      </c>
      <c r="E513" t="s">
        <v>132</v>
      </c>
      <c r="F513" t="s">
        <v>285</v>
      </c>
      <c r="G513" t="s">
        <v>286</v>
      </c>
      <c r="H513" s="16">
        <v>741255</v>
      </c>
      <c r="I513" s="16">
        <v>0</v>
      </c>
      <c r="J513" s="16">
        <v>458468</v>
      </c>
      <c r="K513" s="16">
        <v>153035</v>
      </c>
      <c r="L513" s="16">
        <v>0</v>
      </c>
      <c r="M513" s="16">
        <v>588220</v>
      </c>
      <c r="N513" s="16">
        <v>5354</v>
      </c>
      <c r="O513">
        <v>0</v>
      </c>
      <c r="P513">
        <v>0</v>
      </c>
      <c r="Q513" s="20">
        <v>0</v>
      </c>
      <c r="R513" s="21">
        <v>9.1020366529529773E-3</v>
      </c>
    </row>
    <row r="514" spans="1:18">
      <c r="A514" t="s">
        <v>911</v>
      </c>
      <c r="B514" t="s">
        <v>74</v>
      </c>
      <c r="C514" t="s">
        <v>104</v>
      </c>
      <c r="D514">
        <v>2</v>
      </c>
      <c r="E514" t="s">
        <v>132</v>
      </c>
      <c r="F514" t="s">
        <v>334</v>
      </c>
      <c r="G514" t="s">
        <v>169</v>
      </c>
      <c r="H514" s="16">
        <v>740377</v>
      </c>
      <c r="I514" s="16">
        <v>437384</v>
      </c>
      <c r="J514" s="16">
        <v>27158</v>
      </c>
      <c r="K514" s="16">
        <v>649557</v>
      </c>
      <c r="L514" s="16">
        <v>431097</v>
      </c>
      <c r="M514" s="16">
        <v>90820</v>
      </c>
      <c r="N514" s="16">
        <v>-1253</v>
      </c>
      <c r="O514">
        <v>0</v>
      </c>
      <c r="P514">
        <v>13</v>
      </c>
      <c r="Q514" s="20">
        <v>0.59075849195747576</v>
      </c>
      <c r="R514" s="21">
        <v>-1.3796520590178375E-2</v>
      </c>
    </row>
    <row r="515" spans="1:18">
      <c r="A515" t="s">
        <v>912</v>
      </c>
      <c r="B515" t="s">
        <v>74</v>
      </c>
      <c r="C515" t="s">
        <v>104</v>
      </c>
      <c r="D515">
        <v>2</v>
      </c>
      <c r="E515" t="s">
        <v>132</v>
      </c>
      <c r="F515" t="s">
        <v>913</v>
      </c>
      <c r="G515" t="s">
        <v>206</v>
      </c>
      <c r="H515" s="16">
        <v>737920</v>
      </c>
      <c r="I515" s="16">
        <v>483758</v>
      </c>
      <c r="J515" s="16">
        <v>18209</v>
      </c>
      <c r="K515" s="16">
        <v>649044</v>
      </c>
      <c r="L515" s="16">
        <v>548315</v>
      </c>
      <c r="M515" s="16">
        <v>88876</v>
      </c>
      <c r="N515" s="16">
        <v>817</v>
      </c>
      <c r="O515">
        <v>0</v>
      </c>
      <c r="P515">
        <v>12</v>
      </c>
      <c r="Q515" s="20">
        <v>0.65556970945359927</v>
      </c>
      <c r="R515" s="21">
        <v>9.1925829245240558E-3</v>
      </c>
    </row>
    <row r="516" spans="1:18">
      <c r="A516" t="s">
        <v>914</v>
      </c>
      <c r="B516" t="s">
        <v>89</v>
      </c>
      <c r="C516" t="s">
        <v>162</v>
      </c>
      <c r="D516">
        <v>3</v>
      </c>
      <c r="E516" t="s">
        <v>143</v>
      </c>
      <c r="F516" t="s">
        <v>133</v>
      </c>
      <c r="G516" t="s">
        <v>134</v>
      </c>
      <c r="H516" s="16">
        <v>732622</v>
      </c>
      <c r="I516" s="16">
        <v>403266</v>
      </c>
      <c r="J516" s="16">
        <v>80630</v>
      </c>
      <c r="K516" s="16">
        <v>695420</v>
      </c>
      <c r="L516" s="16">
        <v>176589</v>
      </c>
      <c r="M516" s="16">
        <v>37202</v>
      </c>
      <c r="N516" s="16">
        <v>5224</v>
      </c>
      <c r="O516">
        <v>1</v>
      </c>
      <c r="P516">
        <v>0</v>
      </c>
      <c r="Q516" s="20">
        <v>0.5504421106655274</v>
      </c>
      <c r="R516" s="21">
        <v>0.14042255792699318</v>
      </c>
    </row>
    <row r="517" spans="1:18">
      <c r="A517" t="s">
        <v>915</v>
      </c>
      <c r="B517" t="s">
        <v>74</v>
      </c>
      <c r="C517" t="s">
        <v>104</v>
      </c>
      <c r="D517">
        <v>2</v>
      </c>
      <c r="E517" t="s">
        <v>132</v>
      </c>
      <c r="F517" t="s">
        <v>864</v>
      </c>
      <c r="G517" t="s">
        <v>206</v>
      </c>
      <c r="H517" s="16">
        <v>731175</v>
      </c>
      <c r="I517" s="16">
        <v>278147</v>
      </c>
      <c r="J517" s="16">
        <v>147087</v>
      </c>
      <c r="K517" s="16">
        <v>614728</v>
      </c>
      <c r="L517" s="16">
        <v>576598</v>
      </c>
      <c r="M517" s="16">
        <v>116448</v>
      </c>
      <c r="N517" s="16">
        <v>9212</v>
      </c>
      <c r="O517">
        <v>0</v>
      </c>
      <c r="P517">
        <v>4</v>
      </c>
      <c r="Q517" s="20">
        <v>0.38041098232297332</v>
      </c>
      <c r="R517" s="21">
        <v>7.9108271503160216E-2</v>
      </c>
    </row>
    <row r="518" spans="1:18">
      <c r="A518" t="s">
        <v>916</v>
      </c>
      <c r="B518" t="s">
        <v>74</v>
      </c>
      <c r="C518" t="s">
        <v>104</v>
      </c>
      <c r="D518">
        <v>2</v>
      </c>
      <c r="E518" t="s">
        <v>132</v>
      </c>
      <c r="F518" t="s">
        <v>561</v>
      </c>
      <c r="G518" t="s">
        <v>211</v>
      </c>
      <c r="H518" s="16">
        <v>730257</v>
      </c>
      <c r="I518" s="16">
        <v>568188</v>
      </c>
      <c r="J518" s="16">
        <v>11406</v>
      </c>
      <c r="K518" s="16">
        <v>596254</v>
      </c>
      <c r="L518" s="16">
        <v>328903</v>
      </c>
      <c r="M518" s="16">
        <v>134003</v>
      </c>
      <c r="N518" s="16">
        <v>7859</v>
      </c>
      <c r="O518">
        <v>0</v>
      </c>
      <c r="P518">
        <v>17</v>
      </c>
      <c r="Q518" s="20">
        <v>0.77806580423056537</v>
      </c>
      <c r="R518" s="21">
        <v>5.8647940717745123E-2</v>
      </c>
    </row>
    <row r="519" spans="1:18">
      <c r="A519" t="s">
        <v>917</v>
      </c>
      <c r="B519" t="s">
        <v>74</v>
      </c>
      <c r="C519" t="s">
        <v>104</v>
      </c>
      <c r="D519">
        <v>2</v>
      </c>
      <c r="E519" t="s">
        <v>132</v>
      </c>
      <c r="F519" t="s">
        <v>548</v>
      </c>
      <c r="G519" t="s">
        <v>169</v>
      </c>
      <c r="H519" s="16">
        <v>723605</v>
      </c>
      <c r="I519" s="16">
        <v>280750</v>
      </c>
      <c r="J519" s="16">
        <v>10001</v>
      </c>
      <c r="K519" s="16">
        <v>600506</v>
      </c>
      <c r="L519" s="16">
        <v>565512</v>
      </c>
      <c r="M519" s="16">
        <v>123100</v>
      </c>
      <c r="N519" s="16">
        <v>10948</v>
      </c>
      <c r="O519">
        <v>0</v>
      </c>
      <c r="P519">
        <v>15</v>
      </c>
      <c r="Q519" s="20">
        <v>0.3879879215870537</v>
      </c>
      <c r="R519" s="21">
        <v>8.8935824532900082E-2</v>
      </c>
    </row>
    <row r="520" spans="1:18">
      <c r="A520" t="s">
        <v>918</v>
      </c>
      <c r="B520" t="s">
        <v>74</v>
      </c>
      <c r="C520" t="s">
        <v>104</v>
      </c>
      <c r="D520">
        <v>2</v>
      </c>
      <c r="E520" t="s">
        <v>132</v>
      </c>
      <c r="F520" t="s">
        <v>919</v>
      </c>
      <c r="G520" t="s">
        <v>169</v>
      </c>
      <c r="H520" s="16">
        <v>723230</v>
      </c>
      <c r="I520" s="16">
        <v>345402</v>
      </c>
      <c r="J520" s="16">
        <v>10151</v>
      </c>
      <c r="K520" s="16">
        <v>601915</v>
      </c>
      <c r="L520" s="16">
        <v>566795</v>
      </c>
      <c r="M520" s="16">
        <v>121315</v>
      </c>
      <c r="N520" s="16">
        <v>7284</v>
      </c>
      <c r="O520">
        <v>0</v>
      </c>
      <c r="P520">
        <v>13</v>
      </c>
      <c r="Q520" s="20">
        <v>0.47758251178739819</v>
      </c>
      <c r="R520" s="21">
        <v>6.0042039319127889E-2</v>
      </c>
    </row>
    <row r="521" spans="1:18">
      <c r="A521" t="s">
        <v>920</v>
      </c>
      <c r="B521" t="s">
        <v>74</v>
      </c>
      <c r="C521" t="s">
        <v>104</v>
      </c>
      <c r="D521">
        <v>2</v>
      </c>
      <c r="E521" t="s">
        <v>132</v>
      </c>
      <c r="F521" t="s">
        <v>921</v>
      </c>
      <c r="G521" t="s">
        <v>206</v>
      </c>
      <c r="H521" s="16">
        <v>722857</v>
      </c>
      <c r="I521" s="16">
        <v>514553</v>
      </c>
      <c r="J521" s="16">
        <v>25665</v>
      </c>
      <c r="K521" s="16">
        <v>640057</v>
      </c>
      <c r="L521" s="16">
        <v>403369</v>
      </c>
      <c r="M521" s="16">
        <v>82800</v>
      </c>
      <c r="N521" s="16">
        <v>2670</v>
      </c>
      <c r="O521">
        <v>0</v>
      </c>
      <c r="P521">
        <v>15</v>
      </c>
      <c r="Q521" s="20">
        <v>0.71183235411706602</v>
      </c>
      <c r="R521" s="21">
        <v>3.2246376811594202E-2</v>
      </c>
    </row>
    <row r="522" spans="1:18">
      <c r="A522" t="s">
        <v>922</v>
      </c>
      <c r="B522" t="s">
        <v>74</v>
      </c>
      <c r="C522" t="s">
        <v>104</v>
      </c>
      <c r="D522">
        <v>2</v>
      </c>
      <c r="E522" t="s">
        <v>132</v>
      </c>
      <c r="F522" t="s">
        <v>923</v>
      </c>
      <c r="G522" t="s">
        <v>169</v>
      </c>
      <c r="H522" s="16">
        <v>704413</v>
      </c>
      <c r="I522" s="16">
        <v>202135</v>
      </c>
      <c r="J522" s="16">
        <v>14506</v>
      </c>
      <c r="K522" s="16">
        <v>639894</v>
      </c>
      <c r="L522" s="16">
        <v>593898</v>
      </c>
      <c r="M522" s="16">
        <v>64519</v>
      </c>
      <c r="N522" s="16">
        <v>5700</v>
      </c>
      <c r="O522">
        <v>0</v>
      </c>
      <c r="P522">
        <v>9</v>
      </c>
      <c r="Q522" s="20">
        <v>0.2869552379073072</v>
      </c>
      <c r="R522" s="21">
        <v>8.83460685999473E-2</v>
      </c>
    </row>
    <row r="523" spans="1:18">
      <c r="A523" t="s">
        <v>924</v>
      </c>
      <c r="B523" t="s">
        <v>74</v>
      </c>
      <c r="C523" t="s">
        <v>104</v>
      </c>
      <c r="D523">
        <v>2</v>
      </c>
      <c r="E523" t="s">
        <v>132</v>
      </c>
      <c r="F523" t="s">
        <v>925</v>
      </c>
      <c r="G523" t="s">
        <v>198</v>
      </c>
      <c r="H523" s="16">
        <v>694491</v>
      </c>
      <c r="I523" s="16">
        <v>250581</v>
      </c>
      <c r="J523" s="16">
        <v>55748</v>
      </c>
      <c r="K523" s="16">
        <v>565980</v>
      </c>
      <c r="L523" s="16">
        <v>522822</v>
      </c>
      <c r="M523" s="16">
        <v>128511</v>
      </c>
      <c r="N523" s="16">
        <v>9152</v>
      </c>
      <c r="O523">
        <v>0</v>
      </c>
      <c r="P523">
        <v>23</v>
      </c>
      <c r="Q523" s="20">
        <v>0.36081245113327604</v>
      </c>
      <c r="R523" s="21">
        <v>7.1215693598213378E-2</v>
      </c>
    </row>
    <row r="524" spans="1:18">
      <c r="A524" t="s">
        <v>926</v>
      </c>
      <c r="B524" t="s">
        <v>74</v>
      </c>
      <c r="C524" t="s">
        <v>104</v>
      </c>
      <c r="D524">
        <v>2</v>
      </c>
      <c r="E524" t="s">
        <v>132</v>
      </c>
      <c r="F524" t="s">
        <v>927</v>
      </c>
      <c r="G524" t="s">
        <v>198</v>
      </c>
      <c r="H524" s="16">
        <v>692222</v>
      </c>
      <c r="I524" s="16">
        <v>392550</v>
      </c>
      <c r="J524" s="16">
        <v>55134</v>
      </c>
      <c r="K524" s="16">
        <v>572350</v>
      </c>
      <c r="L524" s="16">
        <v>521559</v>
      </c>
      <c r="M524" s="16">
        <v>119873</v>
      </c>
      <c r="N524" s="16">
        <v>10791</v>
      </c>
      <c r="O524">
        <v>0</v>
      </c>
      <c r="P524">
        <v>23</v>
      </c>
      <c r="Q524" s="20">
        <v>0.56708685941793235</v>
      </c>
      <c r="R524" s="21">
        <v>9.0020271453955442E-2</v>
      </c>
    </row>
    <row r="525" spans="1:18">
      <c r="A525" t="s">
        <v>928</v>
      </c>
      <c r="B525" t="s">
        <v>71</v>
      </c>
      <c r="C525" t="s">
        <v>101</v>
      </c>
      <c r="D525">
        <v>3</v>
      </c>
      <c r="E525" t="s">
        <v>143</v>
      </c>
      <c r="F525" t="s">
        <v>133</v>
      </c>
      <c r="G525" t="s">
        <v>134</v>
      </c>
      <c r="H525" s="16">
        <v>683295</v>
      </c>
      <c r="I525" s="16">
        <v>612580</v>
      </c>
      <c r="J525" s="16">
        <v>0</v>
      </c>
      <c r="K525" s="16">
        <v>593170</v>
      </c>
      <c r="L525" s="16">
        <v>543996</v>
      </c>
      <c r="M525" s="16">
        <v>90125</v>
      </c>
      <c r="N525" s="16">
        <v>-3452</v>
      </c>
      <c r="O525">
        <v>2</v>
      </c>
      <c r="P525">
        <v>0</v>
      </c>
      <c r="Q525" s="20">
        <v>0.89650882854404024</v>
      </c>
      <c r="R525" s="21">
        <v>-3.8302357836338417E-2</v>
      </c>
    </row>
    <row r="526" spans="1:18">
      <c r="A526" t="s">
        <v>929</v>
      </c>
      <c r="B526" t="s">
        <v>74</v>
      </c>
      <c r="C526" t="s">
        <v>104</v>
      </c>
      <c r="D526">
        <v>2</v>
      </c>
      <c r="E526" t="s">
        <v>132</v>
      </c>
      <c r="F526" t="s">
        <v>930</v>
      </c>
      <c r="G526" t="s">
        <v>311</v>
      </c>
      <c r="H526" s="16">
        <v>678495</v>
      </c>
      <c r="I526" s="16">
        <v>354262</v>
      </c>
      <c r="J526" s="16">
        <v>22853</v>
      </c>
      <c r="K526" s="16">
        <v>546578</v>
      </c>
      <c r="L526" s="16">
        <v>416384</v>
      </c>
      <c r="M526" s="16">
        <v>131916</v>
      </c>
      <c r="N526" s="16">
        <v>11360</v>
      </c>
      <c r="O526">
        <v>0</v>
      </c>
      <c r="P526">
        <v>15</v>
      </c>
      <c r="Q526" s="20">
        <v>0.52212912401712619</v>
      </c>
      <c r="R526" s="21">
        <v>8.6115406774007697E-2</v>
      </c>
    </row>
    <row r="527" spans="1:18">
      <c r="A527" t="s">
        <v>931</v>
      </c>
      <c r="B527" t="s">
        <v>83</v>
      </c>
      <c r="C527" t="s">
        <v>104</v>
      </c>
      <c r="D527">
        <v>2</v>
      </c>
      <c r="E527" t="s">
        <v>132</v>
      </c>
      <c r="F527" t="s">
        <v>163</v>
      </c>
      <c r="G527" t="s">
        <v>134</v>
      </c>
      <c r="H527" s="16">
        <v>677268</v>
      </c>
      <c r="I527" s="16">
        <v>23210</v>
      </c>
      <c r="J527" s="16">
        <v>491935</v>
      </c>
      <c r="K527" s="16">
        <v>645282</v>
      </c>
      <c r="L527" s="16">
        <v>637791</v>
      </c>
      <c r="M527" s="16">
        <v>31986</v>
      </c>
      <c r="N527" s="16">
        <v>10402</v>
      </c>
      <c r="O527">
        <v>2</v>
      </c>
      <c r="P527">
        <v>0</v>
      </c>
      <c r="Q527" s="20">
        <v>3.4270037857982362E-2</v>
      </c>
      <c r="R527" s="21">
        <v>0.32520477708997686</v>
      </c>
    </row>
    <row r="528" spans="1:18">
      <c r="A528" t="s">
        <v>932</v>
      </c>
      <c r="B528" t="s">
        <v>74</v>
      </c>
      <c r="C528" t="s">
        <v>104</v>
      </c>
      <c r="D528">
        <v>2</v>
      </c>
      <c r="E528" t="s">
        <v>132</v>
      </c>
      <c r="F528" t="s">
        <v>933</v>
      </c>
      <c r="G528" t="s">
        <v>286</v>
      </c>
      <c r="H528" s="16">
        <v>666438</v>
      </c>
      <c r="I528" s="16">
        <v>455670</v>
      </c>
      <c r="J528" s="16">
        <v>8053</v>
      </c>
      <c r="K528" s="16">
        <v>556395</v>
      </c>
      <c r="L528" s="16">
        <v>371616</v>
      </c>
      <c r="M528" s="16">
        <v>110043</v>
      </c>
      <c r="N528" s="16">
        <v>4223</v>
      </c>
      <c r="O528">
        <v>0</v>
      </c>
      <c r="P528">
        <v>15</v>
      </c>
      <c r="Q528" s="20">
        <v>0.68373952265627114</v>
      </c>
      <c r="R528" s="21">
        <v>3.8375907599756461E-2</v>
      </c>
    </row>
    <row r="529" spans="1:18">
      <c r="A529" t="s">
        <v>934</v>
      </c>
      <c r="B529" t="s">
        <v>74</v>
      </c>
      <c r="C529" t="s">
        <v>104</v>
      </c>
      <c r="D529">
        <v>2</v>
      </c>
      <c r="E529" t="s">
        <v>132</v>
      </c>
      <c r="F529" t="s">
        <v>274</v>
      </c>
      <c r="G529" t="s">
        <v>206</v>
      </c>
      <c r="H529" s="16">
        <v>660187</v>
      </c>
      <c r="I529" s="16">
        <v>456804</v>
      </c>
      <c r="J529" s="16">
        <v>22642</v>
      </c>
      <c r="K529" s="16">
        <v>582245</v>
      </c>
      <c r="L529" s="16">
        <v>416917</v>
      </c>
      <c r="M529" s="16">
        <v>77942</v>
      </c>
      <c r="N529" s="16">
        <v>1507</v>
      </c>
      <c r="O529">
        <v>0</v>
      </c>
      <c r="P529">
        <v>17</v>
      </c>
      <c r="Q529" s="20">
        <v>0.69193122554670117</v>
      </c>
      <c r="R529" s="21">
        <v>1.9334890046444793E-2</v>
      </c>
    </row>
    <row r="530" spans="1:18">
      <c r="A530" t="s">
        <v>935</v>
      </c>
      <c r="B530" t="s">
        <v>74</v>
      </c>
      <c r="C530" t="s">
        <v>104</v>
      </c>
      <c r="D530">
        <v>2</v>
      </c>
      <c r="E530" t="s">
        <v>132</v>
      </c>
      <c r="F530" t="s">
        <v>887</v>
      </c>
      <c r="G530" t="s">
        <v>286</v>
      </c>
      <c r="H530" s="16">
        <v>654787</v>
      </c>
      <c r="I530" s="16">
        <v>387010</v>
      </c>
      <c r="J530" s="16">
        <v>31062</v>
      </c>
      <c r="K530" s="16">
        <v>503147</v>
      </c>
      <c r="L530" s="16">
        <v>432641</v>
      </c>
      <c r="M530" s="16">
        <v>151640</v>
      </c>
      <c r="N530" s="16">
        <v>-1380</v>
      </c>
      <c r="O530">
        <v>0</v>
      </c>
      <c r="P530">
        <v>5</v>
      </c>
      <c r="Q530" s="20">
        <v>0.59104716495593224</v>
      </c>
      <c r="R530" s="21">
        <v>-9.1005011870218932E-3</v>
      </c>
    </row>
    <row r="531" spans="1:18">
      <c r="A531" t="s">
        <v>936</v>
      </c>
      <c r="B531" t="s">
        <v>74</v>
      </c>
      <c r="C531" t="s">
        <v>104</v>
      </c>
      <c r="D531">
        <v>2</v>
      </c>
      <c r="E531" t="s">
        <v>132</v>
      </c>
      <c r="F531" t="s">
        <v>937</v>
      </c>
      <c r="G531" t="s">
        <v>153</v>
      </c>
      <c r="H531" s="16">
        <v>648409</v>
      </c>
      <c r="I531" s="16">
        <v>328163</v>
      </c>
      <c r="J531" s="16">
        <v>11930</v>
      </c>
      <c r="K531" s="16">
        <v>581993</v>
      </c>
      <c r="L531" s="16">
        <v>541448</v>
      </c>
      <c r="M531" s="16">
        <v>66417</v>
      </c>
      <c r="N531" s="16">
        <v>8774</v>
      </c>
      <c r="O531">
        <v>0</v>
      </c>
      <c r="P531">
        <v>4</v>
      </c>
      <c r="Q531" s="20">
        <v>0.50610494302207398</v>
      </c>
      <c r="R531" s="21">
        <v>0.13210473222217203</v>
      </c>
    </row>
    <row r="532" spans="1:18">
      <c r="A532" t="s">
        <v>938</v>
      </c>
      <c r="B532" t="s">
        <v>74</v>
      </c>
      <c r="C532" t="s">
        <v>104</v>
      </c>
      <c r="D532">
        <v>2</v>
      </c>
      <c r="E532" t="s">
        <v>132</v>
      </c>
      <c r="F532" t="s">
        <v>939</v>
      </c>
      <c r="G532" t="s">
        <v>169</v>
      </c>
      <c r="H532" s="16">
        <v>647466</v>
      </c>
      <c r="I532" s="16">
        <v>408479</v>
      </c>
      <c r="J532" s="16">
        <v>13284</v>
      </c>
      <c r="K532" s="16">
        <v>555911</v>
      </c>
      <c r="L532" s="16">
        <v>478402</v>
      </c>
      <c r="M532" s="16">
        <v>91555</v>
      </c>
      <c r="N532" s="16">
        <v>-1324</v>
      </c>
      <c r="O532">
        <v>0</v>
      </c>
      <c r="P532">
        <v>7</v>
      </c>
      <c r="Q532" s="20">
        <v>0.63088872620338365</v>
      </c>
      <c r="R532" s="21">
        <v>-1.4461252798864071E-2</v>
      </c>
    </row>
    <row r="533" spans="1:18">
      <c r="A533" t="s">
        <v>940</v>
      </c>
      <c r="B533" t="s">
        <v>74</v>
      </c>
      <c r="C533" t="s">
        <v>104</v>
      </c>
      <c r="D533">
        <v>2</v>
      </c>
      <c r="E533" t="s">
        <v>132</v>
      </c>
      <c r="F533" t="s">
        <v>941</v>
      </c>
      <c r="G533" t="s">
        <v>169</v>
      </c>
      <c r="H533" s="16">
        <v>643489</v>
      </c>
      <c r="I533" s="16">
        <v>171833</v>
      </c>
      <c r="J533" s="16">
        <v>14690</v>
      </c>
      <c r="K533" s="16">
        <v>524088</v>
      </c>
      <c r="L533" s="16">
        <v>476705</v>
      </c>
      <c r="M533" s="16">
        <v>119400</v>
      </c>
      <c r="N533" s="16">
        <v>10854</v>
      </c>
      <c r="O533">
        <v>0</v>
      </c>
      <c r="P533">
        <v>11</v>
      </c>
      <c r="Q533" s="20">
        <v>0.2670333137007781</v>
      </c>
      <c r="R533" s="21">
        <v>9.0904522613065322E-2</v>
      </c>
    </row>
    <row r="534" spans="1:18">
      <c r="A534" t="s">
        <v>942</v>
      </c>
      <c r="B534" t="s">
        <v>74</v>
      </c>
      <c r="C534" t="s">
        <v>104</v>
      </c>
      <c r="D534">
        <v>2</v>
      </c>
      <c r="E534" t="s">
        <v>132</v>
      </c>
      <c r="F534" t="s">
        <v>137</v>
      </c>
      <c r="G534" t="s">
        <v>138</v>
      </c>
      <c r="H534" s="16">
        <v>642945</v>
      </c>
      <c r="I534" s="16">
        <v>374999</v>
      </c>
      <c r="J534" s="16">
        <v>34586</v>
      </c>
      <c r="K534" s="16">
        <v>540740</v>
      </c>
      <c r="L534" s="16">
        <v>484347</v>
      </c>
      <c r="M534" s="16">
        <v>102206</v>
      </c>
      <c r="N534" s="16">
        <v>-1404</v>
      </c>
      <c r="O534">
        <v>0</v>
      </c>
      <c r="P534">
        <v>7</v>
      </c>
      <c r="Q534" s="20">
        <v>0.58325206666200069</v>
      </c>
      <c r="R534" s="21">
        <v>-1.3736962604935132E-2</v>
      </c>
    </row>
    <row r="535" spans="1:18">
      <c r="A535" t="s">
        <v>943</v>
      </c>
      <c r="B535" t="s">
        <v>89</v>
      </c>
      <c r="C535" t="s">
        <v>104</v>
      </c>
      <c r="D535">
        <v>2</v>
      </c>
      <c r="E535" t="s">
        <v>132</v>
      </c>
      <c r="F535" t="s">
        <v>944</v>
      </c>
      <c r="G535" t="s">
        <v>945</v>
      </c>
      <c r="H535" s="16">
        <v>641185</v>
      </c>
      <c r="I535" s="16">
        <v>422341</v>
      </c>
      <c r="J535" s="16">
        <v>192133</v>
      </c>
      <c r="K535" s="16">
        <v>330811</v>
      </c>
      <c r="L535" s="16">
        <v>0</v>
      </c>
      <c r="M535" s="16">
        <v>310374</v>
      </c>
      <c r="N535" s="16">
        <v>11539</v>
      </c>
      <c r="O535">
        <v>1</v>
      </c>
      <c r="P535">
        <v>0</v>
      </c>
      <c r="Q535" s="20">
        <v>0.65868821011096645</v>
      </c>
      <c r="R535" s="21">
        <v>3.7177727515835736E-2</v>
      </c>
    </row>
    <row r="536" spans="1:18">
      <c r="A536" t="s">
        <v>946</v>
      </c>
      <c r="B536" t="s">
        <v>74</v>
      </c>
      <c r="C536" t="s">
        <v>104</v>
      </c>
      <c r="D536">
        <v>2</v>
      </c>
      <c r="E536" t="s">
        <v>132</v>
      </c>
      <c r="F536" t="s">
        <v>947</v>
      </c>
      <c r="G536" t="s">
        <v>169</v>
      </c>
      <c r="H536" s="16">
        <v>638704</v>
      </c>
      <c r="I536" s="16">
        <v>273121</v>
      </c>
      <c r="J536" s="16">
        <v>10324</v>
      </c>
      <c r="K536" s="16">
        <v>555469</v>
      </c>
      <c r="L536" s="16">
        <v>474640</v>
      </c>
      <c r="M536" s="16">
        <v>83235</v>
      </c>
      <c r="N536" s="16">
        <v>2348</v>
      </c>
      <c r="O536">
        <v>0</v>
      </c>
      <c r="P536">
        <v>6</v>
      </c>
      <c r="Q536" s="20">
        <v>0.4276174879130239</v>
      </c>
      <c r="R536" s="21">
        <v>2.8209286958611163E-2</v>
      </c>
    </row>
    <row r="537" spans="1:18">
      <c r="A537" t="s">
        <v>948</v>
      </c>
      <c r="B537" t="s">
        <v>74</v>
      </c>
      <c r="C537" t="s">
        <v>104</v>
      </c>
      <c r="D537">
        <v>2</v>
      </c>
      <c r="E537" t="s">
        <v>132</v>
      </c>
      <c r="F537" t="s">
        <v>137</v>
      </c>
      <c r="G537" t="s">
        <v>138</v>
      </c>
      <c r="H537" s="16">
        <v>634338</v>
      </c>
      <c r="I537" s="16">
        <v>269084</v>
      </c>
      <c r="J537" s="16">
        <v>46242</v>
      </c>
      <c r="K537" s="16">
        <v>538455</v>
      </c>
      <c r="L537" s="16">
        <v>531099</v>
      </c>
      <c r="M537" s="16">
        <v>95884</v>
      </c>
      <c r="N537" s="16">
        <v>6109</v>
      </c>
      <c r="O537">
        <v>0</v>
      </c>
      <c r="P537">
        <v>10</v>
      </c>
      <c r="Q537" s="20">
        <v>0.42419656397693345</v>
      </c>
      <c r="R537" s="21">
        <v>6.3712402486337652E-2</v>
      </c>
    </row>
    <row r="538" spans="1:18">
      <c r="A538" t="s">
        <v>949</v>
      </c>
      <c r="B538" t="s">
        <v>74</v>
      </c>
      <c r="C538" t="s">
        <v>104</v>
      </c>
      <c r="D538">
        <v>2</v>
      </c>
      <c r="E538" t="s">
        <v>132</v>
      </c>
      <c r="F538" t="s">
        <v>950</v>
      </c>
      <c r="G538" t="s">
        <v>206</v>
      </c>
      <c r="H538" s="16">
        <v>630391</v>
      </c>
      <c r="I538" s="16">
        <v>470979</v>
      </c>
      <c r="J538" s="16">
        <v>17184</v>
      </c>
      <c r="K538" s="16">
        <v>546029</v>
      </c>
      <c r="L538" s="16">
        <v>371509</v>
      </c>
      <c r="M538" s="16">
        <v>84361</v>
      </c>
      <c r="N538" s="16">
        <v>3788</v>
      </c>
      <c r="O538">
        <v>0</v>
      </c>
      <c r="P538">
        <v>15</v>
      </c>
      <c r="Q538" s="20">
        <v>0.74712202426747842</v>
      </c>
      <c r="R538" s="21">
        <v>4.4902265264755041E-2</v>
      </c>
    </row>
    <row r="539" spans="1:18">
      <c r="A539" t="s">
        <v>951</v>
      </c>
      <c r="B539" t="s">
        <v>74</v>
      </c>
      <c r="C539" t="s">
        <v>104</v>
      </c>
      <c r="D539">
        <v>2</v>
      </c>
      <c r="E539" t="s">
        <v>132</v>
      </c>
      <c r="F539" t="s">
        <v>285</v>
      </c>
      <c r="G539" t="s">
        <v>286</v>
      </c>
      <c r="H539" s="16">
        <v>615985</v>
      </c>
      <c r="I539" s="16">
        <v>303065</v>
      </c>
      <c r="J539" s="16">
        <v>27309</v>
      </c>
      <c r="K539" s="16">
        <v>465063</v>
      </c>
      <c r="L539" s="16">
        <v>368154</v>
      </c>
      <c r="M539" s="16">
        <v>150922</v>
      </c>
      <c r="N539" s="16">
        <v>15895</v>
      </c>
      <c r="O539">
        <v>0</v>
      </c>
      <c r="P539">
        <v>0</v>
      </c>
      <c r="Q539" s="20">
        <v>0.49200061689813873</v>
      </c>
      <c r="R539" s="21">
        <v>0.10531930401134361</v>
      </c>
    </row>
    <row r="540" spans="1:18">
      <c r="A540" t="s">
        <v>952</v>
      </c>
      <c r="B540" t="s">
        <v>77</v>
      </c>
      <c r="C540" t="s">
        <v>162</v>
      </c>
      <c r="D540">
        <v>2</v>
      </c>
      <c r="E540" t="s">
        <v>132</v>
      </c>
      <c r="F540" t="s">
        <v>152</v>
      </c>
      <c r="G540" t="s">
        <v>153</v>
      </c>
      <c r="H540" s="16">
        <v>615856</v>
      </c>
      <c r="I540" s="16">
        <v>0</v>
      </c>
      <c r="J540" s="16">
        <v>358</v>
      </c>
      <c r="K540" s="16">
        <v>610484</v>
      </c>
      <c r="L540" s="16">
        <v>51142</v>
      </c>
      <c r="M540" s="16">
        <v>5373</v>
      </c>
      <c r="N540" s="16">
        <v>0</v>
      </c>
      <c r="O540">
        <v>0</v>
      </c>
      <c r="P540">
        <v>0</v>
      </c>
      <c r="Q540" s="20">
        <v>0</v>
      </c>
      <c r="R540" s="21">
        <v>0</v>
      </c>
    </row>
    <row r="541" spans="1:18">
      <c r="A541" t="s">
        <v>953</v>
      </c>
      <c r="B541" t="s">
        <v>74</v>
      </c>
      <c r="C541" t="s">
        <v>104</v>
      </c>
      <c r="D541">
        <v>2</v>
      </c>
      <c r="E541" t="s">
        <v>132</v>
      </c>
      <c r="F541" t="s">
        <v>364</v>
      </c>
      <c r="G541" t="s">
        <v>286</v>
      </c>
      <c r="H541" s="16">
        <v>614388</v>
      </c>
      <c r="I541" s="16">
        <v>347716</v>
      </c>
      <c r="J541" s="16">
        <v>5315</v>
      </c>
      <c r="K541" s="16">
        <v>507346</v>
      </c>
      <c r="L541" s="16">
        <v>426995</v>
      </c>
      <c r="M541" s="16">
        <v>107042</v>
      </c>
      <c r="N541" s="16">
        <v>-7585</v>
      </c>
      <c r="O541">
        <v>0</v>
      </c>
      <c r="P541">
        <v>3</v>
      </c>
      <c r="Q541" s="20">
        <v>0.56595506422651487</v>
      </c>
      <c r="R541" s="21">
        <v>-7.0860036247454267E-2</v>
      </c>
    </row>
    <row r="542" spans="1:18">
      <c r="A542" t="s">
        <v>954</v>
      </c>
      <c r="B542" t="s">
        <v>74</v>
      </c>
      <c r="C542" t="s">
        <v>104</v>
      </c>
      <c r="D542">
        <v>2</v>
      </c>
      <c r="E542" t="s">
        <v>132</v>
      </c>
      <c r="F542" t="s">
        <v>168</v>
      </c>
      <c r="G542" t="s">
        <v>169</v>
      </c>
      <c r="H542" s="16">
        <v>608482</v>
      </c>
      <c r="I542" s="16">
        <v>132721</v>
      </c>
      <c r="J542" s="16">
        <v>9596</v>
      </c>
      <c r="K542" s="16">
        <v>518767</v>
      </c>
      <c r="L542" s="16">
        <v>504016</v>
      </c>
      <c r="M542" s="16">
        <v>89715</v>
      </c>
      <c r="N542" s="16">
        <v>12374</v>
      </c>
      <c r="O542">
        <v>0</v>
      </c>
      <c r="P542">
        <v>4</v>
      </c>
      <c r="Q542" s="20">
        <v>0.21811820234616636</v>
      </c>
      <c r="R542" s="21">
        <v>0.13792565345817309</v>
      </c>
    </row>
    <row r="543" spans="1:18">
      <c r="A543" t="s">
        <v>955</v>
      </c>
      <c r="B543" t="s">
        <v>74</v>
      </c>
      <c r="C543" t="s">
        <v>104</v>
      </c>
      <c r="D543">
        <v>2</v>
      </c>
      <c r="E543" t="s">
        <v>132</v>
      </c>
      <c r="F543" t="s">
        <v>956</v>
      </c>
      <c r="G543" t="s">
        <v>169</v>
      </c>
      <c r="H543" s="16">
        <v>608205</v>
      </c>
      <c r="I543" s="16">
        <v>273388</v>
      </c>
      <c r="J543" s="16">
        <v>22665</v>
      </c>
      <c r="K543" s="16">
        <v>515538</v>
      </c>
      <c r="L543" s="16">
        <v>412811</v>
      </c>
      <c r="M543" s="16">
        <v>92667</v>
      </c>
      <c r="N543" s="16">
        <v>3215</v>
      </c>
      <c r="O543">
        <v>0</v>
      </c>
      <c r="P543">
        <v>2</v>
      </c>
      <c r="Q543" s="20">
        <v>0.44949975748308546</v>
      </c>
      <c r="R543" s="21">
        <v>3.4694119805324442E-2</v>
      </c>
    </row>
    <row r="544" spans="1:18">
      <c r="A544" t="s">
        <v>957</v>
      </c>
      <c r="B544" t="s">
        <v>74</v>
      </c>
      <c r="C544" t="s">
        <v>104</v>
      </c>
      <c r="D544">
        <v>2</v>
      </c>
      <c r="E544" t="s">
        <v>132</v>
      </c>
      <c r="F544" t="s">
        <v>958</v>
      </c>
      <c r="G544" t="s">
        <v>169</v>
      </c>
      <c r="H544" s="16">
        <v>607346</v>
      </c>
      <c r="I544" s="16">
        <v>266885</v>
      </c>
      <c r="J544" s="16">
        <v>14136</v>
      </c>
      <c r="K544" s="16">
        <v>470712</v>
      </c>
      <c r="L544" s="16">
        <v>390015</v>
      </c>
      <c r="M544" s="16">
        <v>136635</v>
      </c>
      <c r="N544" s="16">
        <v>10430</v>
      </c>
      <c r="O544">
        <v>0</v>
      </c>
      <c r="P544">
        <v>8</v>
      </c>
      <c r="Q544" s="20">
        <v>0.43942826658939055</v>
      </c>
      <c r="R544" s="21">
        <v>7.6334760493285025E-2</v>
      </c>
    </row>
    <row r="545" spans="1:18">
      <c r="A545" t="s">
        <v>959</v>
      </c>
      <c r="B545" t="s">
        <v>83</v>
      </c>
      <c r="C545" t="s">
        <v>101</v>
      </c>
      <c r="D545">
        <v>2</v>
      </c>
      <c r="E545" t="s">
        <v>132</v>
      </c>
      <c r="F545" t="s">
        <v>874</v>
      </c>
      <c r="G545" t="s">
        <v>169</v>
      </c>
      <c r="H545" s="16">
        <v>604090</v>
      </c>
      <c r="I545" s="16">
        <v>486820</v>
      </c>
      <c r="J545" s="16">
        <v>26261</v>
      </c>
      <c r="K545" s="16">
        <v>483561</v>
      </c>
      <c r="L545" s="16">
        <v>427438</v>
      </c>
      <c r="M545" s="16">
        <v>120529</v>
      </c>
      <c r="N545" s="16">
        <v>9286</v>
      </c>
      <c r="O545">
        <v>2</v>
      </c>
      <c r="P545">
        <v>0</v>
      </c>
      <c r="Q545" s="20">
        <v>0.80587329702527766</v>
      </c>
      <c r="R545" s="21">
        <v>7.704369902679023E-2</v>
      </c>
    </row>
    <row r="546" spans="1:18">
      <c r="A546" t="s">
        <v>960</v>
      </c>
      <c r="B546" t="s">
        <v>74</v>
      </c>
      <c r="C546" t="s">
        <v>104</v>
      </c>
      <c r="D546">
        <v>2</v>
      </c>
      <c r="E546" t="s">
        <v>132</v>
      </c>
      <c r="F546" t="s">
        <v>469</v>
      </c>
      <c r="G546" t="s">
        <v>250</v>
      </c>
      <c r="H546" s="16">
        <v>603673</v>
      </c>
      <c r="I546" s="16">
        <v>353393</v>
      </c>
      <c r="J546" s="16">
        <v>13557</v>
      </c>
      <c r="K546" s="16">
        <v>534574</v>
      </c>
      <c r="L546" s="16">
        <v>489905</v>
      </c>
      <c r="M546" s="16">
        <v>69098</v>
      </c>
      <c r="N546" s="16">
        <v>4557</v>
      </c>
      <c r="O546">
        <v>0</v>
      </c>
      <c r="P546">
        <v>21</v>
      </c>
      <c r="Q546" s="20">
        <v>0.58540468101107723</v>
      </c>
      <c r="R546" s="21">
        <v>6.5949810414194329E-2</v>
      </c>
    </row>
    <row r="547" spans="1:18">
      <c r="A547" t="s">
        <v>961</v>
      </c>
      <c r="B547" t="s">
        <v>74</v>
      </c>
      <c r="C547" t="s">
        <v>104</v>
      </c>
      <c r="D547">
        <v>2</v>
      </c>
      <c r="E547" t="s">
        <v>132</v>
      </c>
      <c r="F547" t="s">
        <v>962</v>
      </c>
      <c r="G547" t="s">
        <v>153</v>
      </c>
      <c r="H547" s="16">
        <v>601186</v>
      </c>
      <c r="I547" s="16">
        <v>417030</v>
      </c>
      <c r="J547" s="16">
        <v>18949</v>
      </c>
      <c r="K547" s="16">
        <v>526197</v>
      </c>
      <c r="L547" s="16">
        <v>299054</v>
      </c>
      <c r="M547" s="16">
        <v>74989</v>
      </c>
      <c r="N547" s="16">
        <v>3409</v>
      </c>
      <c r="O547">
        <v>0</v>
      </c>
      <c r="P547">
        <v>16</v>
      </c>
      <c r="Q547" s="20">
        <v>0.69367882818295834</v>
      </c>
      <c r="R547" s="21">
        <v>4.5460000800117348E-2</v>
      </c>
    </row>
    <row r="548" spans="1:18">
      <c r="A548" t="s">
        <v>963</v>
      </c>
      <c r="B548" t="s">
        <v>74</v>
      </c>
      <c r="C548" t="s">
        <v>101</v>
      </c>
      <c r="D548">
        <v>2</v>
      </c>
      <c r="E548" t="s">
        <v>132</v>
      </c>
      <c r="F548" t="s">
        <v>964</v>
      </c>
      <c r="G548" t="s">
        <v>744</v>
      </c>
      <c r="H548" s="16">
        <v>601039</v>
      </c>
      <c r="I548" s="16">
        <v>256475</v>
      </c>
      <c r="J548" s="16">
        <v>277152</v>
      </c>
      <c r="K548" s="16">
        <v>534395</v>
      </c>
      <c r="L548" s="16">
        <v>434471</v>
      </c>
      <c r="M548" s="16">
        <v>66644</v>
      </c>
      <c r="N548" s="16">
        <v>6068</v>
      </c>
      <c r="O548">
        <v>0</v>
      </c>
      <c r="P548">
        <v>6</v>
      </c>
      <c r="Q548" s="20">
        <v>0.42671939757652999</v>
      </c>
      <c r="R548" s="21">
        <v>9.1050957325490664E-2</v>
      </c>
    </row>
    <row r="549" spans="1:18">
      <c r="A549" t="s">
        <v>965</v>
      </c>
      <c r="B549" t="s">
        <v>74</v>
      </c>
      <c r="C549" t="s">
        <v>104</v>
      </c>
      <c r="D549">
        <v>2</v>
      </c>
      <c r="E549" t="s">
        <v>132</v>
      </c>
      <c r="F549" t="s">
        <v>966</v>
      </c>
      <c r="G549" t="s">
        <v>146</v>
      </c>
      <c r="H549" s="16">
        <v>597044</v>
      </c>
      <c r="I549" s="16">
        <v>349471</v>
      </c>
      <c r="J549" s="16">
        <v>11515</v>
      </c>
      <c r="K549" s="16">
        <v>537356</v>
      </c>
      <c r="L549" s="16">
        <v>493031</v>
      </c>
      <c r="M549" s="16">
        <v>59688</v>
      </c>
      <c r="N549" s="16">
        <v>-1026</v>
      </c>
      <c r="O549">
        <v>0</v>
      </c>
      <c r="P549">
        <v>19</v>
      </c>
      <c r="Q549" s="20">
        <v>0.58533541916508669</v>
      </c>
      <c r="R549" s="21">
        <v>-1.7189384800965019E-2</v>
      </c>
    </row>
    <row r="550" spans="1:18">
      <c r="A550" t="s">
        <v>967</v>
      </c>
      <c r="B550" t="s">
        <v>74</v>
      </c>
      <c r="C550" t="s">
        <v>104</v>
      </c>
      <c r="D550">
        <v>2</v>
      </c>
      <c r="E550" t="s">
        <v>132</v>
      </c>
      <c r="F550" t="s">
        <v>968</v>
      </c>
      <c r="G550" t="s">
        <v>169</v>
      </c>
      <c r="H550" s="16">
        <v>595220</v>
      </c>
      <c r="I550" s="16">
        <v>362072</v>
      </c>
      <c r="J550" s="16">
        <v>18290</v>
      </c>
      <c r="K550" s="16">
        <v>503661</v>
      </c>
      <c r="L550" s="16">
        <v>366172</v>
      </c>
      <c r="M550" s="16">
        <v>91560</v>
      </c>
      <c r="N550" s="16">
        <v>10261</v>
      </c>
      <c r="O550">
        <v>0</v>
      </c>
      <c r="P550">
        <v>5</v>
      </c>
      <c r="Q550" s="20">
        <v>0.60829945230335003</v>
      </c>
      <c r="R550" s="21">
        <v>0.11206858890345128</v>
      </c>
    </row>
    <row r="551" spans="1:18">
      <c r="A551" t="s">
        <v>969</v>
      </c>
      <c r="B551" t="s">
        <v>74</v>
      </c>
      <c r="C551" t="s">
        <v>104</v>
      </c>
      <c r="D551">
        <v>2</v>
      </c>
      <c r="E551" t="s">
        <v>132</v>
      </c>
      <c r="F551" t="s">
        <v>970</v>
      </c>
      <c r="G551" t="s">
        <v>169</v>
      </c>
      <c r="H551" s="16">
        <v>593552</v>
      </c>
      <c r="I551" s="16">
        <v>177297</v>
      </c>
      <c r="J551" s="16">
        <v>12276</v>
      </c>
      <c r="K551" s="16">
        <v>502370</v>
      </c>
      <c r="L551" s="16">
        <v>454343</v>
      </c>
      <c r="M551" s="16">
        <v>91182</v>
      </c>
      <c r="N551" s="16">
        <v>7734</v>
      </c>
      <c r="O551">
        <v>0</v>
      </c>
      <c r="P551">
        <v>5</v>
      </c>
      <c r="Q551" s="20">
        <v>0.2987050839690541</v>
      </c>
      <c r="R551" s="21">
        <v>8.4819372244521948E-2</v>
      </c>
    </row>
    <row r="552" spans="1:18">
      <c r="A552" t="s">
        <v>971</v>
      </c>
      <c r="B552" t="s">
        <v>74</v>
      </c>
      <c r="C552" t="s">
        <v>104</v>
      </c>
      <c r="D552">
        <v>2</v>
      </c>
      <c r="E552" t="s">
        <v>132</v>
      </c>
      <c r="F552" t="s">
        <v>972</v>
      </c>
      <c r="G552" t="s">
        <v>206</v>
      </c>
      <c r="H552" s="16">
        <v>591623</v>
      </c>
      <c r="I552" s="16">
        <v>284476</v>
      </c>
      <c r="J552" s="16">
        <v>9403</v>
      </c>
      <c r="K552" s="16">
        <v>511174</v>
      </c>
      <c r="L552" s="16">
        <v>441127</v>
      </c>
      <c r="M552" s="16">
        <v>80449</v>
      </c>
      <c r="N552" s="16">
        <v>5637</v>
      </c>
      <c r="O552">
        <v>0</v>
      </c>
      <c r="P552">
        <v>13</v>
      </c>
      <c r="Q552" s="20">
        <v>0.48083999438831826</v>
      </c>
      <c r="R552" s="21">
        <v>7.0069236410645247E-2</v>
      </c>
    </row>
    <row r="553" spans="1:18">
      <c r="A553" t="s">
        <v>973</v>
      </c>
      <c r="B553" t="s">
        <v>74</v>
      </c>
      <c r="C553" t="s">
        <v>104</v>
      </c>
      <c r="D553">
        <v>2</v>
      </c>
      <c r="E553" t="s">
        <v>132</v>
      </c>
      <c r="F553" t="s">
        <v>974</v>
      </c>
      <c r="G553" t="s">
        <v>169</v>
      </c>
      <c r="H553" s="16">
        <v>589223</v>
      </c>
      <c r="I553" s="16">
        <v>215806</v>
      </c>
      <c r="J553" s="16">
        <v>17433</v>
      </c>
      <c r="K553" s="16">
        <v>500797</v>
      </c>
      <c r="L553" s="16">
        <v>419880</v>
      </c>
      <c r="M553" s="16">
        <v>88426</v>
      </c>
      <c r="N553" s="16">
        <v>7168</v>
      </c>
      <c r="O553">
        <v>0</v>
      </c>
      <c r="P553">
        <v>1</v>
      </c>
      <c r="Q553" s="20">
        <v>0.36625522085865625</v>
      </c>
      <c r="R553" s="21">
        <v>8.1062131047429486E-2</v>
      </c>
    </row>
    <row r="554" spans="1:18">
      <c r="A554" t="s">
        <v>975</v>
      </c>
      <c r="B554" t="s">
        <v>74</v>
      </c>
      <c r="C554" t="s">
        <v>104</v>
      </c>
      <c r="D554">
        <v>2</v>
      </c>
      <c r="E554" t="s">
        <v>132</v>
      </c>
      <c r="F554" t="s">
        <v>411</v>
      </c>
      <c r="G554" t="s">
        <v>134</v>
      </c>
      <c r="H554" s="16">
        <v>589133</v>
      </c>
      <c r="I554" s="16">
        <v>293781</v>
      </c>
      <c r="J554" s="16">
        <v>158361</v>
      </c>
      <c r="K554" s="16">
        <v>549228</v>
      </c>
      <c r="L554" s="16">
        <v>535172</v>
      </c>
      <c r="M554" s="16">
        <v>39905</v>
      </c>
      <c r="N554" s="16">
        <v>-72</v>
      </c>
      <c r="O554">
        <v>0</v>
      </c>
      <c r="P554">
        <v>15</v>
      </c>
      <c r="Q554" s="20">
        <v>0.49866668477236886</v>
      </c>
      <c r="R554" s="21">
        <v>-1.8042851772960781E-3</v>
      </c>
    </row>
    <row r="555" spans="1:18">
      <c r="A555" t="s">
        <v>976</v>
      </c>
      <c r="B555" t="s">
        <v>74</v>
      </c>
      <c r="C555" t="s">
        <v>104</v>
      </c>
      <c r="D555">
        <v>2</v>
      </c>
      <c r="E555" t="s">
        <v>132</v>
      </c>
      <c r="F555" t="s">
        <v>977</v>
      </c>
      <c r="G555" t="s">
        <v>286</v>
      </c>
      <c r="H555" s="16">
        <v>576441</v>
      </c>
      <c r="I555" s="16">
        <v>314185</v>
      </c>
      <c r="J555" s="16">
        <v>25278</v>
      </c>
      <c r="K555" s="16">
        <v>491532</v>
      </c>
      <c r="L555" s="16">
        <v>443958</v>
      </c>
      <c r="M555" s="16">
        <v>84909</v>
      </c>
      <c r="N555" s="16">
        <v>-9234</v>
      </c>
      <c r="O555">
        <v>0</v>
      </c>
      <c r="P555">
        <v>12</v>
      </c>
      <c r="Q555" s="20">
        <v>0.54504277107284183</v>
      </c>
      <c r="R555" s="21">
        <v>-0.10875172243225099</v>
      </c>
    </row>
    <row r="556" spans="1:18">
      <c r="A556" t="s">
        <v>978</v>
      </c>
      <c r="B556" t="s">
        <v>89</v>
      </c>
      <c r="C556" t="s">
        <v>162</v>
      </c>
      <c r="D556">
        <v>3</v>
      </c>
      <c r="E556" t="s">
        <v>143</v>
      </c>
      <c r="F556" t="s">
        <v>163</v>
      </c>
      <c r="G556" t="s">
        <v>134</v>
      </c>
      <c r="H556" s="16">
        <v>570983</v>
      </c>
      <c r="I556" s="16">
        <v>104687</v>
      </c>
      <c r="J556" s="16">
        <v>24007</v>
      </c>
      <c r="K556" s="16">
        <v>209550</v>
      </c>
      <c r="L556" s="16">
        <v>11398</v>
      </c>
      <c r="M556" s="16">
        <v>361433</v>
      </c>
      <c r="N556" s="16">
        <v>62183</v>
      </c>
      <c r="O556">
        <v>1</v>
      </c>
      <c r="P556">
        <v>0</v>
      </c>
      <c r="Q556" s="20">
        <v>0.18334521343017218</v>
      </c>
      <c r="R556" s="21">
        <v>0.17204571801689386</v>
      </c>
    </row>
    <row r="557" spans="1:18">
      <c r="A557" t="s">
        <v>979</v>
      </c>
      <c r="B557" t="s">
        <v>89</v>
      </c>
      <c r="C557" t="s">
        <v>162</v>
      </c>
      <c r="D557">
        <v>2</v>
      </c>
      <c r="E557" t="s">
        <v>132</v>
      </c>
      <c r="F557" t="s">
        <v>145</v>
      </c>
      <c r="G557" t="s">
        <v>146</v>
      </c>
      <c r="H557" s="16">
        <v>569598</v>
      </c>
      <c r="I557" s="16">
        <v>0</v>
      </c>
      <c r="J557" s="16">
        <v>65506</v>
      </c>
      <c r="K557" s="16">
        <v>534398</v>
      </c>
      <c r="L557" s="16">
        <v>64700</v>
      </c>
      <c r="M557" s="16">
        <v>35200</v>
      </c>
      <c r="N557" s="16">
        <v>523</v>
      </c>
      <c r="O557">
        <v>1</v>
      </c>
      <c r="P557">
        <v>0</v>
      </c>
      <c r="Q557" s="20">
        <v>0</v>
      </c>
      <c r="R557" s="21">
        <v>1.4857954545454546E-2</v>
      </c>
    </row>
    <row r="558" spans="1:18">
      <c r="A558" t="s">
        <v>980</v>
      </c>
      <c r="B558" t="s">
        <v>74</v>
      </c>
      <c r="C558" t="s">
        <v>104</v>
      </c>
      <c r="D558">
        <v>2</v>
      </c>
      <c r="E558" t="s">
        <v>132</v>
      </c>
      <c r="F558" t="s">
        <v>981</v>
      </c>
      <c r="G558" t="s">
        <v>134</v>
      </c>
      <c r="H558" s="16">
        <v>565073</v>
      </c>
      <c r="I558" s="16">
        <v>287921</v>
      </c>
      <c r="J558" s="16">
        <v>14594</v>
      </c>
      <c r="K558" s="16">
        <v>490423</v>
      </c>
      <c r="L558" s="16">
        <v>472929</v>
      </c>
      <c r="M558" s="16">
        <v>74650</v>
      </c>
      <c r="N558" s="16">
        <v>6836</v>
      </c>
      <c r="O558">
        <v>0</v>
      </c>
      <c r="P558">
        <v>5</v>
      </c>
      <c r="Q558" s="20">
        <v>0.5095288573334773</v>
      </c>
      <c r="R558" s="21">
        <v>9.157401205626256E-2</v>
      </c>
    </row>
    <row r="559" spans="1:18">
      <c r="A559" t="s">
        <v>982</v>
      </c>
      <c r="B559" t="s">
        <v>89</v>
      </c>
      <c r="C559" t="s">
        <v>95</v>
      </c>
      <c r="D559">
        <v>2</v>
      </c>
      <c r="E559" t="s">
        <v>132</v>
      </c>
      <c r="F559" t="s">
        <v>133</v>
      </c>
      <c r="G559" t="s">
        <v>134</v>
      </c>
      <c r="H559" s="16">
        <v>561215</v>
      </c>
      <c r="I559" s="16">
        <v>150682</v>
      </c>
      <c r="J559" s="16">
        <v>0</v>
      </c>
      <c r="K559" s="16">
        <v>551549</v>
      </c>
      <c r="L559" s="16">
        <v>307850</v>
      </c>
      <c r="M559" s="16">
        <v>9666</v>
      </c>
      <c r="N559" s="16">
        <v>-14549</v>
      </c>
      <c r="O559">
        <v>1</v>
      </c>
      <c r="P559">
        <v>0</v>
      </c>
      <c r="Q559" s="20">
        <v>0.26849246723626419</v>
      </c>
      <c r="R559" s="21">
        <v>-1.505172770535899</v>
      </c>
    </row>
    <row r="560" spans="1:18">
      <c r="A560" t="s">
        <v>983</v>
      </c>
      <c r="B560" t="s">
        <v>74</v>
      </c>
      <c r="C560" t="s">
        <v>104</v>
      </c>
      <c r="D560">
        <v>2</v>
      </c>
      <c r="E560" t="s">
        <v>132</v>
      </c>
      <c r="F560" t="s">
        <v>984</v>
      </c>
      <c r="G560" t="s">
        <v>169</v>
      </c>
      <c r="H560" s="16">
        <v>556342</v>
      </c>
      <c r="I560" s="16">
        <v>398391</v>
      </c>
      <c r="J560" s="16">
        <v>14637</v>
      </c>
      <c r="K560" s="16">
        <v>422783</v>
      </c>
      <c r="L560" s="16">
        <v>332793</v>
      </c>
      <c r="M560" s="16">
        <v>133559</v>
      </c>
      <c r="N560" s="16">
        <v>9188</v>
      </c>
      <c r="O560">
        <v>0</v>
      </c>
      <c r="P560">
        <v>6</v>
      </c>
      <c r="Q560" s="20">
        <v>0.71609010285040497</v>
      </c>
      <c r="R560" s="21">
        <v>6.8793566888041988E-2</v>
      </c>
    </row>
    <row r="561" spans="1:18">
      <c r="A561" t="s">
        <v>985</v>
      </c>
      <c r="B561" t="s">
        <v>74</v>
      </c>
      <c r="C561" t="s">
        <v>104</v>
      </c>
      <c r="D561">
        <v>2</v>
      </c>
      <c r="E561" t="s">
        <v>132</v>
      </c>
      <c r="F561" t="s">
        <v>986</v>
      </c>
      <c r="G561" t="s">
        <v>987</v>
      </c>
      <c r="H561" s="16">
        <v>554878</v>
      </c>
      <c r="I561" s="16">
        <v>332847</v>
      </c>
      <c r="J561" s="16">
        <v>6217</v>
      </c>
      <c r="K561" s="16">
        <v>479002</v>
      </c>
      <c r="L561" s="16">
        <v>378861</v>
      </c>
      <c r="M561" s="16">
        <v>75876</v>
      </c>
      <c r="N561" s="16">
        <v>8362</v>
      </c>
      <c r="O561">
        <v>0</v>
      </c>
      <c r="P561">
        <v>2</v>
      </c>
      <c r="Q561" s="20">
        <v>0.59985618460274148</v>
      </c>
      <c r="R561" s="21">
        <v>0.11020612578417417</v>
      </c>
    </row>
    <row r="562" spans="1:18">
      <c r="A562" t="s">
        <v>988</v>
      </c>
      <c r="B562" t="s">
        <v>74</v>
      </c>
      <c r="C562" t="s">
        <v>104</v>
      </c>
      <c r="D562">
        <v>2</v>
      </c>
      <c r="E562" t="s">
        <v>132</v>
      </c>
      <c r="F562" t="s">
        <v>817</v>
      </c>
      <c r="G562" t="s">
        <v>169</v>
      </c>
      <c r="H562" s="16">
        <v>554708</v>
      </c>
      <c r="I562" s="16">
        <v>267081</v>
      </c>
      <c r="J562" s="16">
        <v>16246</v>
      </c>
      <c r="K562" s="16">
        <v>436213</v>
      </c>
      <c r="L562" s="16">
        <v>417492</v>
      </c>
      <c r="M562" s="16">
        <v>118495</v>
      </c>
      <c r="N562" s="16">
        <v>4449</v>
      </c>
      <c r="O562">
        <v>0</v>
      </c>
      <c r="P562">
        <v>21</v>
      </c>
      <c r="Q562" s="20">
        <v>0.48148034641649301</v>
      </c>
      <c r="R562" s="21">
        <v>3.7545888012152411E-2</v>
      </c>
    </row>
    <row r="563" spans="1:18">
      <c r="A563" t="s">
        <v>989</v>
      </c>
      <c r="B563" t="s">
        <v>74</v>
      </c>
      <c r="C563" t="s">
        <v>104</v>
      </c>
      <c r="D563">
        <v>2</v>
      </c>
      <c r="E563" t="s">
        <v>132</v>
      </c>
      <c r="F563" t="s">
        <v>990</v>
      </c>
      <c r="G563" t="s">
        <v>169</v>
      </c>
      <c r="H563" s="16">
        <v>554644</v>
      </c>
      <c r="I563" s="16">
        <v>201789</v>
      </c>
      <c r="J563" s="16">
        <v>128398</v>
      </c>
      <c r="K563" s="16">
        <v>490258</v>
      </c>
      <c r="L563" s="16">
        <v>404216</v>
      </c>
      <c r="M563" s="16">
        <v>64386</v>
      </c>
      <c r="N563" s="16">
        <v>5940</v>
      </c>
      <c r="O563">
        <v>0</v>
      </c>
      <c r="P563">
        <v>7</v>
      </c>
      <c r="Q563" s="20">
        <v>0.36381715118165886</v>
      </c>
      <c r="R563" s="21">
        <v>9.2256080514397543E-2</v>
      </c>
    </row>
    <row r="564" spans="1:18">
      <c r="A564" t="s">
        <v>991</v>
      </c>
      <c r="B564" t="s">
        <v>83</v>
      </c>
      <c r="C564" t="s">
        <v>104</v>
      </c>
      <c r="D564">
        <v>3</v>
      </c>
      <c r="E564" t="s">
        <v>143</v>
      </c>
      <c r="F564" t="s">
        <v>133</v>
      </c>
      <c r="G564" t="s">
        <v>134</v>
      </c>
      <c r="H564" s="16">
        <v>549909</v>
      </c>
      <c r="I564" s="16">
        <v>358228</v>
      </c>
      <c r="J564" s="16">
        <v>80656</v>
      </c>
      <c r="K564" s="16">
        <v>456287</v>
      </c>
      <c r="L564" s="16">
        <v>0</v>
      </c>
      <c r="M564" s="16">
        <v>93623</v>
      </c>
      <c r="N564" s="16">
        <v>1390</v>
      </c>
      <c r="O564">
        <v>2</v>
      </c>
      <c r="P564">
        <v>0</v>
      </c>
      <c r="Q564" s="20">
        <v>0.65143141865290444</v>
      </c>
      <c r="R564" s="21">
        <v>1.4846779103425441E-2</v>
      </c>
    </row>
    <row r="565" spans="1:18">
      <c r="A565" t="s">
        <v>992</v>
      </c>
      <c r="B565" t="s">
        <v>74</v>
      </c>
      <c r="C565" t="s">
        <v>104</v>
      </c>
      <c r="D565">
        <v>2</v>
      </c>
      <c r="E565" t="s">
        <v>132</v>
      </c>
      <c r="F565" t="s">
        <v>993</v>
      </c>
      <c r="G565" t="s">
        <v>153</v>
      </c>
      <c r="H565" s="16">
        <v>542679</v>
      </c>
      <c r="I565" s="16">
        <v>418284</v>
      </c>
      <c r="J565" s="16">
        <v>9436</v>
      </c>
      <c r="K565" s="16">
        <v>476719</v>
      </c>
      <c r="L565" s="16">
        <v>329289</v>
      </c>
      <c r="M565" s="16">
        <v>65960</v>
      </c>
      <c r="N565" s="16">
        <v>3404</v>
      </c>
      <c r="O565">
        <v>0</v>
      </c>
      <c r="P565">
        <v>14</v>
      </c>
      <c r="Q565" s="20">
        <v>0.77077609415510828</v>
      </c>
      <c r="R565" s="21">
        <v>5.1607034566403878E-2</v>
      </c>
    </row>
    <row r="566" spans="1:18">
      <c r="A566" t="s">
        <v>994</v>
      </c>
      <c r="B566" t="s">
        <v>83</v>
      </c>
      <c r="C566" t="s">
        <v>104</v>
      </c>
      <c r="D566">
        <v>2</v>
      </c>
      <c r="E566" t="s">
        <v>132</v>
      </c>
      <c r="F566" t="s">
        <v>803</v>
      </c>
      <c r="G566" t="s">
        <v>153</v>
      </c>
      <c r="H566" s="16">
        <v>536983</v>
      </c>
      <c r="I566" s="16">
        <v>508714</v>
      </c>
      <c r="J566" s="16">
        <v>21865</v>
      </c>
      <c r="K566" s="16">
        <v>441561</v>
      </c>
      <c r="L566" s="16">
        <v>435371</v>
      </c>
      <c r="M566" s="16">
        <v>95422</v>
      </c>
      <c r="N566" s="16">
        <v>8826</v>
      </c>
      <c r="O566">
        <v>2</v>
      </c>
      <c r="P566">
        <v>0</v>
      </c>
      <c r="Q566" s="20">
        <v>0.94735587532566212</v>
      </c>
      <c r="R566" s="21">
        <v>9.2494393326486554E-2</v>
      </c>
    </row>
    <row r="567" spans="1:18">
      <c r="A567" t="s">
        <v>995</v>
      </c>
      <c r="B567" t="s">
        <v>74</v>
      </c>
      <c r="C567" t="s">
        <v>104</v>
      </c>
      <c r="D567">
        <v>2</v>
      </c>
      <c r="E567" t="s">
        <v>132</v>
      </c>
      <c r="F567" t="s">
        <v>966</v>
      </c>
      <c r="G567" t="s">
        <v>146</v>
      </c>
      <c r="H567" s="16">
        <v>533623</v>
      </c>
      <c r="I567" s="16">
        <v>289577</v>
      </c>
      <c r="J567" s="16">
        <v>10678</v>
      </c>
      <c r="K567" s="16">
        <v>457485</v>
      </c>
      <c r="L567" s="16">
        <v>405931</v>
      </c>
      <c r="M567" s="16">
        <v>76138</v>
      </c>
      <c r="N567" s="16">
        <v>6309</v>
      </c>
      <c r="O567">
        <v>0</v>
      </c>
      <c r="P567">
        <v>13</v>
      </c>
      <c r="Q567" s="20">
        <v>0.54266214162433024</v>
      </c>
      <c r="R567" s="21">
        <v>8.2862696682339962E-2</v>
      </c>
    </row>
    <row r="568" spans="1:18">
      <c r="A568" t="s">
        <v>996</v>
      </c>
      <c r="B568" t="s">
        <v>74</v>
      </c>
      <c r="C568" t="s">
        <v>104</v>
      </c>
      <c r="D568">
        <v>2</v>
      </c>
      <c r="E568" t="s">
        <v>132</v>
      </c>
      <c r="F568" t="s">
        <v>997</v>
      </c>
      <c r="G568" t="s">
        <v>169</v>
      </c>
      <c r="H568" s="16">
        <v>528753</v>
      </c>
      <c r="I568" s="16">
        <v>307314</v>
      </c>
      <c r="J568" s="16">
        <v>9416</v>
      </c>
      <c r="K568" s="16">
        <v>386663</v>
      </c>
      <c r="L568" s="16">
        <v>331286</v>
      </c>
      <c r="M568" s="16">
        <v>142090</v>
      </c>
      <c r="N568" s="16">
        <v>14044</v>
      </c>
      <c r="O568">
        <v>0</v>
      </c>
      <c r="P568">
        <v>7</v>
      </c>
      <c r="Q568" s="20">
        <v>0.581205213020068</v>
      </c>
      <c r="R568" s="21">
        <v>9.8838764163558301E-2</v>
      </c>
    </row>
    <row r="569" spans="1:18">
      <c r="A569" t="s">
        <v>998</v>
      </c>
      <c r="B569" t="s">
        <v>83</v>
      </c>
      <c r="C569" t="s">
        <v>101</v>
      </c>
      <c r="D569">
        <v>2</v>
      </c>
      <c r="E569" t="s">
        <v>132</v>
      </c>
      <c r="F569" t="s">
        <v>721</v>
      </c>
      <c r="G569" t="s">
        <v>153</v>
      </c>
      <c r="H569" s="16">
        <v>525275</v>
      </c>
      <c r="I569" s="16">
        <v>368552</v>
      </c>
      <c r="J569" s="16">
        <v>101476</v>
      </c>
      <c r="K569" s="16">
        <v>476341</v>
      </c>
      <c r="L569" s="16">
        <v>421520</v>
      </c>
      <c r="M569" s="16">
        <v>48934</v>
      </c>
      <c r="N569" s="16">
        <v>6784</v>
      </c>
      <c r="O569">
        <v>2</v>
      </c>
      <c r="P569">
        <v>0</v>
      </c>
      <c r="Q569" s="20">
        <v>0.70163628575508064</v>
      </c>
      <c r="R569" s="21">
        <v>0.13863571340989905</v>
      </c>
    </row>
    <row r="570" spans="1:18">
      <c r="A570" t="s">
        <v>999</v>
      </c>
      <c r="B570" t="s">
        <v>74</v>
      </c>
      <c r="C570" t="s">
        <v>104</v>
      </c>
      <c r="D570">
        <v>2</v>
      </c>
      <c r="E570" t="s">
        <v>132</v>
      </c>
      <c r="F570" t="s">
        <v>1000</v>
      </c>
      <c r="G570" t="s">
        <v>198</v>
      </c>
      <c r="H570" s="16">
        <v>521124</v>
      </c>
      <c r="I570" s="16">
        <v>290350</v>
      </c>
      <c r="J570" s="16">
        <v>27309</v>
      </c>
      <c r="K570" s="16">
        <v>446073</v>
      </c>
      <c r="L570" s="16">
        <v>381744</v>
      </c>
      <c r="M570" s="16">
        <v>75051</v>
      </c>
      <c r="N570" s="16">
        <v>8796</v>
      </c>
      <c r="O570">
        <v>0</v>
      </c>
      <c r="P570">
        <v>11</v>
      </c>
      <c r="Q570" s="20">
        <v>0.55716105955588302</v>
      </c>
      <c r="R570" s="21">
        <v>0.11720030379342047</v>
      </c>
    </row>
    <row r="571" spans="1:18">
      <c r="A571" t="s">
        <v>1001</v>
      </c>
      <c r="B571" t="s">
        <v>74</v>
      </c>
      <c r="C571" t="s">
        <v>104</v>
      </c>
      <c r="D571">
        <v>2</v>
      </c>
      <c r="E571" t="s">
        <v>132</v>
      </c>
      <c r="F571" t="s">
        <v>145</v>
      </c>
      <c r="G571" t="s">
        <v>146</v>
      </c>
      <c r="H571" s="16">
        <v>519527</v>
      </c>
      <c r="I571" s="16">
        <v>140564</v>
      </c>
      <c r="J571" s="16">
        <v>128263</v>
      </c>
      <c r="K571" s="16">
        <v>478492</v>
      </c>
      <c r="L571" s="16">
        <v>471816</v>
      </c>
      <c r="M571" s="16">
        <v>41035</v>
      </c>
      <c r="N571" s="16">
        <v>-1154</v>
      </c>
      <c r="O571">
        <v>0</v>
      </c>
      <c r="P571">
        <v>14</v>
      </c>
      <c r="Q571" s="20">
        <v>0.27056149151054709</v>
      </c>
      <c r="R571" s="21">
        <v>-2.8122334592421104E-2</v>
      </c>
    </row>
    <row r="572" spans="1:18">
      <c r="A572" t="s">
        <v>1002</v>
      </c>
      <c r="B572" t="s">
        <v>83</v>
      </c>
      <c r="C572" t="s">
        <v>104</v>
      </c>
      <c r="D572">
        <v>2</v>
      </c>
      <c r="E572" t="s">
        <v>132</v>
      </c>
      <c r="F572" t="s">
        <v>163</v>
      </c>
      <c r="G572" t="s">
        <v>134</v>
      </c>
      <c r="H572" s="16">
        <v>519320</v>
      </c>
      <c r="I572" s="16">
        <v>428859</v>
      </c>
      <c r="J572" s="16">
        <v>0</v>
      </c>
      <c r="K572" s="16">
        <v>297356</v>
      </c>
      <c r="L572" s="16">
        <v>257264</v>
      </c>
      <c r="M572" s="16">
        <v>221964</v>
      </c>
      <c r="N572" s="16">
        <v>21343</v>
      </c>
      <c r="O572">
        <v>2</v>
      </c>
      <c r="P572">
        <v>0</v>
      </c>
      <c r="Q572" s="20">
        <v>0.82580874990372022</v>
      </c>
      <c r="R572" s="21">
        <v>9.6155232380025588E-2</v>
      </c>
    </row>
    <row r="573" spans="1:18">
      <c r="A573" t="s">
        <v>1003</v>
      </c>
      <c r="B573" t="s">
        <v>74</v>
      </c>
      <c r="C573" t="s">
        <v>104</v>
      </c>
      <c r="D573">
        <v>2</v>
      </c>
      <c r="E573" t="s">
        <v>132</v>
      </c>
      <c r="F573" t="s">
        <v>205</v>
      </c>
      <c r="G573" t="s">
        <v>206</v>
      </c>
      <c r="H573" s="16">
        <v>517785</v>
      </c>
      <c r="I573" s="16">
        <v>252684</v>
      </c>
      <c r="J573" s="16">
        <v>6096</v>
      </c>
      <c r="K573" s="16">
        <v>471639</v>
      </c>
      <c r="L573" s="16">
        <v>460593</v>
      </c>
      <c r="M573" s="16">
        <v>46146</v>
      </c>
      <c r="N573" s="16">
        <v>1295</v>
      </c>
      <c r="O573">
        <v>0</v>
      </c>
      <c r="P573">
        <v>9</v>
      </c>
      <c r="Q573" s="20">
        <v>0.48800950201338394</v>
      </c>
      <c r="R573" s="21">
        <v>2.8063104061023709E-2</v>
      </c>
    </row>
    <row r="574" spans="1:18">
      <c r="A574" t="s">
        <v>1004</v>
      </c>
      <c r="B574" t="s">
        <v>74</v>
      </c>
      <c r="C574" t="s">
        <v>104</v>
      </c>
      <c r="D574">
        <v>2</v>
      </c>
      <c r="E574" t="s">
        <v>132</v>
      </c>
      <c r="F574" t="s">
        <v>301</v>
      </c>
      <c r="G574" t="s">
        <v>153</v>
      </c>
      <c r="H574" s="16">
        <v>516595</v>
      </c>
      <c r="I574" s="16">
        <v>328777</v>
      </c>
      <c r="J574" s="16">
        <v>5088</v>
      </c>
      <c r="K574" s="16">
        <v>467166</v>
      </c>
      <c r="L574" s="16">
        <v>460908</v>
      </c>
      <c r="M574" s="16">
        <v>49430</v>
      </c>
      <c r="N574" s="16">
        <v>3213</v>
      </c>
      <c r="O574">
        <v>0</v>
      </c>
      <c r="P574">
        <v>7</v>
      </c>
      <c r="Q574" s="20">
        <v>0.63643085976441893</v>
      </c>
      <c r="R574" s="21">
        <v>6.5001011531458625E-2</v>
      </c>
    </row>
    <row r="575" spans="1:18">
      <c r="A575" t="s">
        <v>1005</v>
      </c>
      <c r="B575" t="s">
        <v>74</v>
      </c>
      <c r="C575" t="s">
        <v>104</v>
      </c>
      <c r="D575">
        <v>2</v>
      </c>
      <c r="E575" t="s">
        <v>132</v>
      </c>
      <c r="F575" t="s">
        <v>320</v>
      </c>
      <c r="G575" t="s">
        <v>153</v>
      </c>
      <c r="H575" s="16">
        <v>516005</v>
      </c>
      <c r="I575" s="16">
        <v>94716</v>
      </c>
      <c r="J575" s="16">
        <v>13781</v>
      </c>
      <c r="K575" s="16">
        <v>473377</v>
      </c>
      <c r="L575" s="16">
        <v>466007</v>
      </c>
      <c r="M575" s="16">
        <v>42628</v>
      </c>
      <c r="N575" s="16">
        <v>5160</v>
      </c>
      <c r="O575">
        <v>0</v>
      </c>
      <c r="P575">
        <v>4</v>
      </c>
      <c r="Q575" s="20">
        <v>0.18355636088797589</v>
      </c>
      <c r="R575" s="21">
        <v>0.12104719902411561</v>
      </c>
    </row>
    <row r="576" spans="1:18">
      <c r="A576" t="s">
        <v>1006</v>
      </c>
      <c r="B576" t="s">
        <v>74</v>
      </c>
      <c r="C576" t="s">
        <v>104</v>
      </c>
      <c r="D576">
        <v>2</v>
      </c>
      <c r="E576" t="s">
        <v>132</v>
      </c>
      <c r="F576" t="s">
        <v>1007</v>
      </c>
      <c r="G576" t="s">
        <v>169</v>
      </c>
      <c r="H576" s="16">
        <v>515900</v>
      </c>
      <c r="I576" s="16">
        <v>322202</v>
      </c>
      <c r="J576" s="16">
        <v>25686</v>
      </c>
      <c r="K576" s="16">
        <v>446663</v>
      </c>
      <c r="L576" s="16">
        <v>266681</v>
      </c>
      <c r="M576" s="16">
        <v>69237</v>
      </c>
      <c r="N576" s="16">
        <v>-1819</v>
      </c>
      <c r="O576">
        <v>0</v>
      </c>
      <c r="P576">
        <v>4</v>
      </c>
      <c r="Q576" s="20">
        <v>0.62454351618530723</v>
      </c>
      <c r="R576" s="21">
        <v>-2.6272079957248291E-2</v>
      </c>
    </row>
    <row r="577" spans="1:18">
      <c r="A577" t="s">
        <v>1008</v>
      </c>
      <c r="B577" t="s">
        <v>74</v>
      </c>
      <c r="C577" t="s">
        <v>104</v>
      </c>
      <c r="D577">
        <v>2</v>
      </c>
      <c r="E577" t="s">
        <v>132</v>
      </c>
      <c r="F577" t="s">
        <v>382</v>
      </c>
      <c r="G577" t="s">
        <v>286</v>
      </c>
      <c r="H577" s="16">
        <v>513987</v>
      </c>
      <c r="I577" s="16">
        <v>300934</v>
      </c>
      <c r="J577" s="16">
        <v>19556</v>
      </c>
      <c r="K577" s="16">
        <v>395332</v>
      </c>
      <c r="L577" s="16">
        <v>369666</v>
      </c>
      <c r="M577" s="16">
        <v>118654</v>
      </c>
      <c r="N577" s="16">
        <v>12277</v>
      </c>
      <c r="O577">
        <v>0</v>
      </c>
      <c r="P577">
        <v>8</v>
      </c>
      <c r="Q577" s="20">
        <v>0.58548951627181234</v>
      </c>
      <c r="R577" s="21">
        <v>0.10346890960271041</v>
      </c>
    </row>
    <row r="578" spans="1:18">
      <c r="A578" t="s">
        <v>1009</v>
      </c>
      <c r="B578" t="s">
        <v>83</v>
      </c>
      <c r="C578" t="s">
        <v>101</v>
      </c>
      <c r="D578">
        <v>2</v>
      </c>
      <c r="E578" t="s">
        <v>132</v>
      </c>
      <c r="F578" t="s">
        <v>555</v>
      </c>
      <c r="G578" t="s">
        <v>250</v>
      </c>
      <c r="H578" s="16">
        <v>511369</v>
      </c>
      <c r="I578" s="16">
        <v>357563</v>
      </c>
      <c r="J578" s="16">
        <v>0</v>
      </c>
      <c r="K578" s="16">
        <v>436385</v>
      </c>
      <c r="L578" s="16">
        <v>427119</v>
      </c>
      <c r="M578" s="16">
        <v>74984</v>
      </c>
      <c r="N578" s="16">
        <v>-1540</v>
      </c>
      <c r="O578">
        <v>2</v>
      </c>
      <c r="P578">
        <v>0</v>
      </c>
      <c r="Q578" s="20">
        <v>0.69922697699704128</v>
      </c>
      <c r="R578" s="21">
        <v>-2.0537714712471993E-2</v>
      </c>
    </row>
    <row r="579" spans="1:18">
      <c r="A579" t="s">
        <v>1010</v>
      </c>
      <c r="B579" t="s">
        <v>89</v>
      </c>
      <c r="C579" t="s">
        <v>104</v>
      </c>
      <c r="D579">
        <v>2</v>
      </c>
      <c r="E579" t="s">
        <v>132</v>
      </c>
      <c r="F579" t="s">
        <v>133</v>
      </c>
      <c r="G579" t="s">
        <v>134</v>
      </c>
      <c r="H579" s="16">
        <v>510822</v>
      </c>
      <c r="I579" s="16">
        <v>0</v>
      </c>
      <c r="J579" s="16">
        <v>197337</v>
      </c>
      <c r="K579" s="16">
        <v>104531</v>
      </c>
      <c r="L579" s="16">
        <v>41055</v>
      </c>
      <c r="M579" s="16">
        <v>406292</v>
      </c>
      <c r="N579" s="16">
        <v>27777</v>
      </c>
      <c r="O579">
        <v>1</v>
      </c>
      <c r="P579">
        <v>0</v>
      </c>
      <c r="Q579" s="20">
        <v>0</v>
      </c>
      <c r="R579" s="21">
        <v>6.836708574128951E-2</v>
      </c>
    </row>
    <row r="580" spans="1:18">
      <c r="A580" t="s">
        <v>1011</v>
      </c>
      <c r="B580" t="s">
        <v>74</v>
      </c>
      <c r="C580" t="s">
        <v>104</v>
      </c>
      <c r="D580">
        <v>2</v>
      </c>
      <c r="E580" t="s">
        <v>132</v>
      </c>
      <c r="F580" t="s">
        <v>736</v>
      </c>
      <c r="G580" t="s">
        <v>169</v>
      </c>
      <c r="H580" s="16">
        <v>507626</v>
      </c>
      <c r="I580" s="16">
        <v>196592</v>
      </c>
      <c r="J580" s="16">
        <v>9788</v>
      </c>
      <c r="K580" s="16">
        <v>436533</v>
      </c>
      <c r="L580" s="16">
        <v>419777</v>
      </c>
      <c r="M580" s="16">
        <v>71093</v>
      </c>
      <c r="N580" s="16">
        <v>2523</v>
      </c>
      <c r="O580">
        <v>0</v>
      </c>
      <c r="P580">
        <v>5</v>
      </c>
      <c r="Q580" s="20">
        <v>0.38727724742231484</v>
      </c>
      <c r="R580" s="21">
        <v>3.5488726034912016E-2</v>
      </c>
    </row>
    <row r="581" spans="1:18">
      <c r="A581" t="s">
        <v>1012</v>
      </c>
      <c r="B581" t="s">
        <v>74</v>
      </c>
      <c r="C581" t="s">
        <v>104</v>
      </c>
      <c r="D581">
        <v>2</v>
      </c>
      <c r="E581" t="s">
        <v>132</v>
      </c>
      <c r="F581" t="s">
        <v>1013</v>
      </c>
      <c r="G581" t="s">
        <v>206</v>
      </c>
      <c r="H581" s="16">
        <v>505038</v>
      </c>
      <c r="I581" s="16">
        <v>371023</v>
      </c>
      <c r="J581" s="16">
        <v>12439</v>
      </c>
      <c r="K581" s="16">
        <v>439098</v>
      </c>
      <c r="L581" s="16">
        <v>247859</v>
      </c>
      <c r="M581" s="16">
        <v>65940</v>
      </c>
      <c r="N581" s="16">
        <v>1109</v>
      </c>
      <c r="O581">
        <v>0</v>
      </c>
      <c r="P581">
        <v>9</v>
      </c>
      <c r="Q581" s="20">
        <v>0.73464372977874937</v>
      </c>
      <c r="R581" s="21">
        <v>1.6818319684561722E-2</v>
      </c>
    </row>
    <row r="582" spans="1:18">
      <c r="A582" t="s">
        <v>1014</v>
      </c>
      <c r="B582" t="s">
        <v>74</v>
      </c>
      <c r="C582" t="s">
        <v>104</v>
      </c>
      <c r="D582">
        <v>2</v>
      </c>
      <c r="E582" t="s">
        <v>132</v>
      </c>
      <c r="F582" t="s">
        <v>168</v>
      </c>
      <c r="G582" t="s">
        <v>169</v>
      </c>
      <c r="H582" s="16">
        <v>503587</v>
      </c>
      <c r="I582" s="16">
        <v>251924</v>
      </c>
      <c r="J582" s="16">
        <v>12504</v>
      </c>
      <c r="K582" s="16">
        <v>418852</v>
      </c>
      <c r="L582" s="16">
        <v>409240</v>
      </c>
      <c r="M582" s="16">
        <v>84735</v>
      </c>
      <c r="N582" s="16">
        <v>4928</v>
      </c>
      <c r="O582">
        <v>0</v>
      </c>
      <c r="P582">
        <v>0</v>
      </c>
      <c r="Q582" s="20">
        <v>0.50025914092301826</v>
      </c>
      <c r="R582" s="21">
        <v>5.8157786038826931E-2</v>
      </c>
    </row>
    <row r="583" spans="1:18">
      <c r="A583" t="s">
        <v>1015</v>
      </c>
      <c r="B583" t="s">
        <v>74</v>
      </c>
      <c r="C583" t="s">
        <v>104</v>
      </c>
      <c r="D583">
        <v>2</v>
      </c>
      <c r="E583" t="s">
        <v>132</v>
      </c>
      <c r="F583" t="s">
        <v>1016</v>
      </c>
      <c r="G583" t="s">
        <v>169</v>
      </c>
      <c r="H583" s="16">
        <v>495545</v>
      </c>
      <c r="I583" s="16">
        <v>252491</v>
      </c>
      <c r="J583" s="16">
        <v>9579</v>
      </c>
      <c r="K583" s="16">
        <v>426582</v>
      </c>
      <c r="L583" s="16">
        <v>402025</v>
      </c>
      <c r="M583" s="16">
        <v>68963</v>
      </c>
      <c r="N583" s="16">
        <v>473</v>
      </c>
      <c r="O583">
        <v>0</v>
      </c>
      <c r="P583">
        <v>7</v>
      </c>
      <c r="Q583" s="20">
        <v>0.50952183959075359</v>
      </c>
      <c r="R583" s="21">
        <v>6.8587503443875699E-3</v>
      </c>
    </row>
    <row r="584" spans="1:18">
      <c r="A584" t="s">
        <v>1017</v>
      </c>
      <c r="B584" t="s">
        <v>74</v>
      </c>
      <c r="C584" t="s">
        <v>104</v>
      </c>
      <c r="D584">
        <v>2</v>
      </c>
      <c r="E584" t="s">
        <v>132</v>
      </c>
      <c r="F584" t="s">
        <v>913</v>
      </c>
      <c r="G584" t="s">
        <v>206</v>
      </c>
      <c r="H584" s="16">
        <v>492618</v>
      </c>
      <c r="I584" s="16">
        <v>301124</v>
      </c>
      <c r="J584" s="16">
        <v>5845</v>
      </c>
      <c r="K584" s="16">
        <v>445418</v>
      </c>
      <c r="L584" s="16">
        <v>377133</v>
      </c>
      <c r="M584" s="16">
        <v>47200</v>
      </c>
      <c r="N584" s="16">
        <v>936</v>
      </c>
      <c r="O584">
        <v>0</v>
      </c>
      <c r="P584">
        <v>8</v>
      </c>
      <c r="Q584" s="20">
        <v>0.61127283209302141</v>
      </c>
      <c r="R584" s="21">
        <v>1.9830508474576271E-2</v>
      </c>
    </row>
    <row r="585" spans="1:18">
      <c r="A585" t="s">
        <v>1018</v>
      </c>
      <c r="B585" t="s">
        <v>74</v>
      </c>
      <c r="C585" t="s">
        <v>104</v>
      </c>
      <c r="D585">
        <v>2</v>
      </c>
      <c r="E585" t="s">
        <v>132</v>
      </c>
      <c r="F585" t="s">
        <v>285</v>
      </c>
      <c r="G585" t="s">
        <v>286</v>
      </c>
      <c r="H585" s="16">
        <v>491912</v>
      </c>
      <c r="I585" s="16">
        <v>210120</v>
      </c>
      <c r="J585" s="16">
        <v>27516</v>
      </c>
      <c r="K585" s="16">
        <v>401645</v>
      </c>
      <c r="L585" s="16">
        <v>388952</v>
      </c>
      <c r="M585" s="16">
        <v>90267</v>
      </c>
      <c r="N585" s="16">
        <v>1976</v>
      </c>
      <c r="O585">
        <v>0</v>
      </c>
      <c r="P585">
        <v>3</v>
      </c>
      <c r="Q585" s="20">
        <v>0.42714957146806748</v>
      </c>
      <c r="R585" s="21">
        <v>2.1890613402461585E-2</v>
      </c>
    </row>
    <row r="586" spans="1:18">
      <c r="A586" t="s">
        <v>1019</v>
      </c>
      <c r="B586" t="s">
        <v>74</v>
      </c>
      <c r="C586" t="s">
        <v>104</v>
      </c>
      <c r="D586">
        <v>2</v>
      </c>
      <c r="E586" t="s">
        <v>132</v>
      </c>
      <c r="F586" t="s">
        <v>458</v>
      </c>
      <c r="G586" t="s">
        <v>169</v>
      </c>
      <c r="H586" s="16">
        <v>490198</v>
      </c>
      <c r="I586" s="16">
        <v>143523</v>
      </c>
      <c r="J586" s="16">
        <v>10174</v>
      </c>
      <c r="K586" s="16">
        <v>432190</v>
      </c>
      <c r="L586" s="16">
        <v>394663</v>
      </c>
      <c r="M586" s="16">
        <v>58008</v>
      </c>
      <c r="N586" s="16">
        <v>4224</v>
      </c>
      <c r="O586">
        <v>0</v>
      </c>
      <c r="P586">
        <v>11</v>
      </c>
      <c r="Q586" s="20">
        <v>0.29278577227977265</v>
      </c>
      <c r="R586" s="21">
        <v>7.2817542407943733E-2</v>
      </c>
    </row>
    <row r="587" spans="1:18">
      <c r="A587" t="s">
        <v>1020</v>
      </c>
      <c r="B587" t="s">
        <v>74</v>
      </c>
      <c r="C587" t="s">
        <v>104</v>
      </c>
      <c r="D587">
        <v>2</v>
      </c>
      <c r="E587" t="s">
        <v>132</v>
      </c>
      <c r="F587" t="s">
        <v>1016</v>
      </c>
      <c r="G587" t="s">
        <v>169</v>
      </c>
      <c r="H587" s="16">
        <v>490050</v>
      </c>
      <c r="I587" s="16">
        <v>206935</v>
      </c>
      <c r="J587" s="16">
        <v>12220</v>
      </c>
      <c r="K587" s="16">
        <v>417552</v>
      </c>
      <c r="L587" s="16">
        <v>382649</v>
      </c>
      <c r="M587" s="16">
        <v>72497</v>
      </c>
      <c r="N587" s="16">
        <v>7538</v>
      </c>
      <c r="O587">
        <v>0</v>
      </c>
      <c r="P587">
        <v>3</v>
      </c>
      <c r="Q587" s="20">
        <v>0.42227323742475259</v>
      </c>
      <c r="R587" s="21">
        <v>0.10397671627791495</v>
      </c>
    </row>
    <row r="588" spans="1:18">
      <c r="A588" t="s">
        <v>1021</v>
      </c>
      <c r="B588" t="s">
        <v>83</v>
      </c>
      <c r="C588" t="s">
        <v>101</v>
      </c>
      <c r="D588">
        <v>2</v>
      </c>
      <c r="E588" t="s">
        <v>132</v>
      </c>
      <c r="F588" t="s">
        <v>1022</v>
      </c>
      <c r="G588" t="s">
        <v>146</v>
      </c>
      <c r="H588" s="16">
        <v>488416</v>
      </c>
      <c r="I588" s="16">
        <v>417861</v>
      </c>
      <c r="J588" s="16">
        <v>10834</v>
      </c>
      <c r="K588" s="16">
        <v>415199</v>
      </c>
      <c r="L588" s="16">
        <v>409176</v>
      </c>
      <c r="M588" s="16">
        <v>73217</v>
      </c>
      <c r="N588" s="16">
        <v>1787</v>
      </c>
      <c r="O588">
        <v>2</v>
      </c>
      <c r="P588">
        <v>0</v>
      </c>
      <c r="Q588" s="20">
        <v>0.85554322544715977</v>
      </c>
      <c r="R588" s="21">
        <v>2.4406900036876681E-2</v>
      </c>
    </row>
    <row r="589" spans="1:18">
      <c r="A589" t="s">
        <v>1023</v>
      </c>
      <c r="B589" t="s">
        <v>74</v>
      </c>
      <c r="C589" t="s">
        <v>104</v>
      </c>
      <c r="D589">
        <v>2</v>
      </c>
      <c r="E589" t="s">
        <v>132</v>
      </c>
      <c r="F589" t="s">
        <v>1024</v>
      </c>
      <c r="G589" t="s">
        <v>206</v>
      </c>
      <c r="H589" s="16">
        <v>484119</v>
      </c>
      <c r="I589" s="16">
        <v>382100</v>
      </c>
      <c r="J589" s="16">
        <v>13621</v>
      </c>
      <c r="K589" s="16">
        <v>407096</v>
      </c>
      <c r="L589" s="16">
        <v>268837</v>
      </c>
      <c r="M589" s="16">
        <v>77023</v>
      </c>
      <c r="N589" s="16">
        <v>5582</v>
      </c>
      <c r="O589">
        <v>0</v>
      </c>
      <c r="P589">
        <v>4</v>
      </c>
      <c r="Q589" s="20">
        <v>0.7892687541699458</v>
      </c>
      <c r="R589" s="21">
        <v>7.2471859055087448E-2</v>
      </c>
    </row>
    <row r="590" spans="1:18">
      <c r="A590" t="s">
        <v>1025</v>
      </c>
      <c r="B590" t="s">
        <v>74</v>
      </c>
      <c r="C590" t="s">
        <v>104</v>
      </c>
      <c r="D590">
        <v>2</v>
      </c>
      <c r="E590" t="s">
        <v>132</v>
      </c>
      <c r="F590" t="s">
        <v>168</v>
      </c>
      <c r="G590" t="s">
        <v>169</v>
      </c>
      <c r="H590" s="16">
        <v>479183</v>
      </c>
      <c r="I590" s="16">
        <v>216591</v>
      </c>
      <c r="J590" s="16">
        <v>13444</v>
      </c>
      <c r="K590" s="16">
        <v>406122</v>
      </c>
      <c r="L590" s="16">
        <v>400192</v>
      </c>
      <c r="M590" s="16">
        <v>73061</v>
      </c>
      <c r="N590" s="16">
        <v>3686</v>
      </c>
      <c r="O590">
        <v>0</v>
      </c>
      <c r="P590">
        <v>5</v>
      </c>
      <c r="Q590" s="20">
        <v>0.45200059267544968</v>
      </c>
      <c r="R590" s="21">
        <v>5.0450993005844429E-2</v>
      </c>
    </row>
    <row r="591" spans="1:18">
      <c r="A591" t="s">
        <v>1026</v>
      </c>
      <c r="B591" t="s">
        <v>83</v>
      </c>
      <c r="C591" t="s">
        <v>101</v>
      </c>
      <c r="D591">
        <v>2</v>
      </c>
      <c r="E591" t="s">
        <v>132</v>
      </c>
      <c r="F591" t="s">
        <v>445</v>
      </c>
      <c r="G591" t="s">
        <v>153</v>
      </c>
      <c r="H591" s="16">
        <v>477965</v>
      </c>
      <c r="I591" s="16">
        <v>408416</v>
      </c>
      <c r="J591" s="16">
        <v>43379</v>
      </c>
      <c r="K591" s="16">
        <v>391773</v>
      </c>
      <c r="L591" s="16">
        <v>366822</v>
      </c>
      <c r="M591" s="16">
        <v>86192</v>
      </c>
      <c r="N591" s="16">
        <v>4370</v>
      </c>
      <c r="O591">
        <v>2</v>
      </c>
      <c r="P591">
        <v>0</v>
      </c>
      <c r="Q591" s="20">
        <v>0.85448934545416511</v>
      </c>
      <c r="R591" s="21">
        <v>5.0700761091516611E-2</v>
      </c>
    </row>
    <row r="592" spans="1:18">
      <c r="A592" t="s">
        <v>1027</v>
      </c>
      <c r="B592" t="s">
        <v>74</v>
      </c>
      <c r="C592" t="s">
        <v>104</v>
      </c>
      <c r="D592">
        <v>2</v>
      </c>
      <c r="E592" t="s">
        <v>132</v>
      </c>
      <c r="F592" t="s">
        <v>719</v>
      </c>
      <c r="G592" t="s">
        <v>169</v>
      </c>
      <c r="H592" s="16">
        <v>468226</v>
      </c>
      <c r="I592" s="16">
        <v>277246</v>
      </c>
      <c r="J592" s="16">
        <v>13678</v>
      </c>
      <c r="K592" s="16">
        <v>394891</v>
      </c>
      <c r="L592" s="16">
        <v>343759</v>
      </c>
      <c r="M592" s="16">
        <v>73335</v>
      </c>
      <c r="N592" s="16">
        <v>3563</v>
      </c>
      <c r="O592">
        <v>0</v>
      </c>
      <c r="P592">
        <v>6</v>
      </c>
      <c r="Q592" s="20">
        <v>0.59212004459384993</v>
      </c>
      <c r="R592" s="21">
        <v>4.8585259425922137E-2</v>
      </c>
    </row>
    <row r="593" spans="1:18">
      <c r="A593" t="s">
        <v>1028</v>
      </c>
      <c r="B593" t="s">
        <v>74</v>
      </c>
      <c r="C593" t="s">
        <v>104</v>
      </c>
      <c r="D593">
        <v>2</v>
      </c>
      <c r="E593" t="s">
        <v>132</v>
      </c>
      <c r="F593" t="s">
        <v>1029</v>
      </c>
      <c r="G593" t="s">
        <v>206</v>
      </c>
      <c r="H593" s="16">
        <v>465106</v>
      </c>
      <c r="I593" s="16">
        <v>315134</v>
      </c>
      <c r="J593" s="16">
        <v>11088</v>
      </c>
      <c r="K593" s="16">
        <v>416985</v>
      </c>
      <c r="L593" s="16">
        <v>309633</v>
      </c>
      <c r="M593" s="16">
        <v>48121</v>
      </c>
      <c r="N593" s="16">
        <v>3168</v>
      </c>
      <c r="O593">
        <v>0</v>
      </c>
      <c r="P593">
        <v>13</v>
      </c>
      <c r="Q593" s="20">
        <v>0.67755307392293374</v>
      </c>
      <c r="R593" s="21">
        <v>6.5834043349057583E-2</v>
      </c>
    </row>
    <row r="594" spans="1:18">
      <c r="A594" t="s">
        <v>1030</v>
      </c>
      <c r="B594" t="s">
        <v>83</v>
      </c>
      <c r="C594" t="s">
        <v>101</v>
      </c>
      <c r="D594">
        <v>2</v>
      </c>
      <c r="E594" t="s">
        <v>132</v>
      </c>
      <c r="F594" t="s">
        <v>163</v>
      </c>
      <c r="G594" t="s">
        <v>134</v>
      </c>
      <c r="H594" s="16">
        <v>462957</v>
      </c>
      <c r="I594" s="16">
        <v>0</v>
      </c>
      <c r="J594" s="16">
        <v>22217</v>
      </c>
      <c r="K594" s="16">
        <v>437900</v>
      </c>
      <c r="L594" s="16">
        <v>431404</v>
      </c>
      <c r="M594" s="16">
        <v>25057</v>
      </c>
      <c r="N594" s="16">
        <v>4831</v>
      </c>
      <c r="O594">
        <v>2</v>
      </c>
      <c r="P594">
        <v>0</v>
      </c>
      <c r="Q594" s="20">
        <v>0</v>
      </c>
      <c r="R594" s="21">
        <v>0.19280041505367762</v>
      </c>
    </row>
    <row r="595" spans="1:18">
      <c r="A595" t="s">
        <v>1031</v>
      </c>
      <c r="B595" t="s">
        <v>74</v>
      </c>
      <c r="C595" t="s">
        <v>104</v>
      </c>
      <c r="D595">
        <v>2</v>
      </c>
      <c r="E595" t="s">
        <v>132</v>
      </c>
      <c r="F595" t="s">
        <v>234</v>
      </c>
      <c r="G595" t="s">
        <v>206</v>
      </c>
      <c r="H595" s="16">
        <v>458826</v>
      </c>
      <c r="I595" s="16">
        <v>277555</v>
      </c>
      <c r="J595" s="16">
        <v>98091</v>
      </c>
      <c r="K595" s="16">
        <v>376193</v>
      </c>
      <c r="L595" s="16">
        <v>364218</v>
      </c>
      <c r="M595" s="16">
        <v>82634</v>
      </c>
      <c r="N595" s="16">
        <v>3775</v>
      </c>
      <c r="O595">
        <v>0</v>
      </c>
      <c r="P595">
        <v>10</v>
      </c>
      <c r="Q595" s="20">
        <v>0.60492430681783504</v>
      </c>
      <c r="R595" s="21">
        <v>4.5683374882009825E-2</v>
      </c>
    </row>
    <row r="596" spans="1:18">
      <c r="A596" t="s">
        <v>1032</v>
      </c>
      <c r="B596" t="s">
        <v>74</v>
      </c>
      <c r="C596" t="s">
        <v>104</v>
      </c>
      <c r="D596">
        <v>2</v>
      </c>
      <c r="E596" t="s">
        <v>132</v>
      </c>
      <c r="F596" t="s">
        <v>1033</v>
      </c>
      <c r="G596" t="s">
        <v>169</v>
      </c>
      <c r="H596" s="16">
        <v>458659</v>
      </c>
      <c r="I596" s="16">
        <v>290423</v>
      </c>
      <c r="J596" s="16">
        <v>15649</v>
      </c>
      <c r="K596" s="16">
        <v>395916</v>
      </c>
      <c r="L596" s="16">
        <v>309367</v>
      </c>
      <c r="M596" s="16">
        <v>62743</v>
      </c>
      <c r="N596" s="16">
        <v>2064</v>
      </c>
      <c r="O596">
        <v>0</v>
      </c>
      <c r="P596">
        <v>3</v>
      </c>
      <c r="Q596" s="20">
        <v>0.63320026424860298</v>
      </c>
      <c r="R596" s="21">
        <v>3.2896099963342522E-2</v>
      </c>
    </row>
    <row r="597" spans="1:18">
      <c r="A597" t="s">
        <v>1034</v>
      </c>
      <c r="B597" t="s">
        <v>74</v>
      </c>
      <c r="C597" t="s">
        <v>101</v>
      </c>
      <c r="D597">
        <v>2</v>
      </c>
      <c r="E597" t="s">
        <v>132</v>
      </c>
      <c r="F597" t="s">
        <v>145</v>
      </c>
      <c r="G597" t="s">
        <v>146</v>
      </c>
      <c r="H597" s="16">
        <v>457818</v>
      </c>
      <c r="I597" s="16">
        <v>188113</v>
      </c>
      <c r="J597" s="16">
        <v>167916</v>
      </c>
      <c r="K597" s="16">
        <v>411107</v>
      </c>
      <c r="L597" s="16">
        <v>387106</v>
      </c>
      <c r="M597" s="16">
        <v>46711</v>
      </c>
      <c r="N597" s="16">
        <v>-867</v>
      </c>
      <c r="O597">
        <v>0</v>
      </c>
      <c r="P597">
        <v>12</v>
      </c>
      <c r="Q597" s="20">
        <v>0.41089035380871874</v>
      </c>
      <c r="R597" s="21">
        <v>-1.8560938536961315E-2</v>
      </c>
    </row>
    <row r="598" spans="1:18">
      <c r="A598" t="s">
        <v>1035</v>
      </c>
      <c r="B598" t="s">
        <v>74</v>
      </c>
      <c r="C598" t="s">
        <v>104</v>
      </c>
      <c r="D598">
        <v>2</v>
      </c>
      <c r="E598" t="s">
        <v>132</v>
      </c>
      <c r="F598" t="s">
        <v>145</v>
      </c>
      <c r="G598" t="s">
        <v>146</v>
      </c>
      <c r="H598" s="16">
        <v>457478</v>
      </c>
      <c r="I598" s="16">
        <v>123118</v>
      </c>
      <c r="J598" s="16">
        <v>159715</v>
      </c>
      <c r="K598" s="16">
        <v>428846</v>
      </c>
      <c r="L598" s="16">
        <v>423392</v>
      </c>
      <c r="M598" s="16">
        <v>28632</v>
      </c>
      <c r="N598" s="16">
        <v>-11291</v>
      </c>
      <c r="O598">
        <v>0</v>
      </c>
      <c r="P598">
        <v>5</v>
      </c>
      <c r="Q598" s="20">
        <v>0.26912332396311955</v>
      </c>
      <c r="R598" s="21">
        <v>-0.39434898016205644</v>
      </c>
    </row>
    <row r="599" spans="1:18">
      <c r="A599" t="s">
        <v>1036</v>
      </c>
      <c r="B599" t="s">
        <v>74</v>
      </c>
      <c r="C599" t="s">
        <v>104</v>
      </c>
      <c r="D599">
        <v>2</v>
      </c>
      <c r="E599" t="s">
        <v>132</v>
      </c>
      <c r="F599" t="s">
        <v>145</v>
      </c>
      <c r="G599" t="s">
        <v>146</v>
      </c>
      <c r="H599" s="16">
        <v>457291</v>
      </c>
      <c r="I599" s="16">
        <v>283000</v>
      </c>
      <c r="J599" s="16">
        <v>19258</v>
      </c>
      <c r="K599" s="16">
        <v>352669</v>
      </c>
      <c r="L599" s="16">
        <v>332456</v>
      </c>
      <c r="M599" s="16">
        <v>104622</v>
      </c>
      <c r="N599" s="16">
        <v>7150</v>
      </c>
      <c r="O599">
        <v>0</v>
      </c>
      <c r="P599">
        <v>9</v>
      </c>
      <c r="Q599" s="20">
        <v>0.6188619500493121</v>
      </c>
      <c r="R599" s="21">
        <v>6.8341266655196797E-2</v>
      </c>
    </row>
    <row r="600" spans="1:18">
      <c r="A600" t="s">
        <v>1037</v>
      </c>
      <c r="B600" t="s">
        <v>74</v>
      </c>
      <c r="C600" t="s">
        <v>104</v>
      </c>
      <c r="D600">
        <v>2</v>
      </c>
      <c r="E600" t="s">
        <v>132</v>
      </c>
      <c r="F600" t="s">
        <v>210</v>
      </c>
      <c r="G600" t="s">
        <v>211</v>
      </c>
      <c r="H600" s="16">
        <v>454673</v>
      </c>
      <c r="I600" s="16">
        <v>143146</v>
      </c>
      <c r="J600" s="16">
        <v>218698</v>
      </c>
      <c r="K600" s="16">
        <v>292869</v>
      </c>
      <c r="L600" s="16">
        <v>276087</v>
      </c>
      <c r="M600" s="16">
        <v>161804</v>
      </c>
      <c r="N600" s="16">
        <v>7107</v>
      </c>
      <c r="O600">
        <v>0</v>
      </c>
      <c r="P600">
        <v>17</v>
      </c>
      <c r="Q600" s="20">
        <v>0.31483285790007326</v>
      </c>
      <c r="R600" s="21">
        <v>4.3923512397715754E-2</v>
      </c>
    </row>
    <row r="601" spans="1:18">
      <c r="A601" t="s">
        <v>1038</v>
      </c>
      <c r="B601" t="s">
        <v>74</v>
      </c>
      <c r="C601" t="s">
        <v>104</v>
      </c>
      <c r="D601">
        <v>2</v>
      </c>
      <c r="E601" t="s">
        <v>132</v>
      </c>
      <c r="F601" t="s">
        <v>260</v>
      </c>
      <c r="G601" t="s">
        <v>211</v>
      </c>
      <c r="H601" s="16">
        <v>454576</v>
      </c>
      <c r="I601" s="16">
        <v>179410</v>
      </c>
      <c r="J601" s="16">
        <v>269355</v>
      </c>
      <c r="K601" s="16">
        <v>373131</v>
      </c>
      <c r="L601" s="16">
        <v>364456</v>
      </c>
      <c r="M601" s="16">
        <v>81445</v>
      </c>
      <c r="N601" s="16">
        <v>7883</v>
      </c>
      <c r="O601">
        <v>0</v>
      </c>
      <c r="P601">
        <v>35</v>
      </c>
      <c r="Q601" s="20">
        <v>0.39467547780789131</v>
      </c>
      <c r="R601" s="21">
        <v>9.6789244275277797E-2</v>
      </c>
    </row>
    <row r="602" spans="1:18">
      <c r="A602" t="s">
        <v>1039</v>
      </c>
      <c r="B602" t="s">
        <v>83</v>
      </c>
      <c r="C602" t="s">
        <v>101</v>
      </c>
      <c r="D602">
        <v>2</v>
      </c>
      <c r="E602" t="s">
        <v>132</v>
      </c>
      <c r="F602" t="s">
        <v>1040</v>
      </c>
      <c r="G602" t="s">
        <v>153</v>
      </c>
      <c r="H602" s="16">
        <v>453768</v>
      </c>
      <c r="I602" s="16">
        <v>297423</v>
      </c>
      <c r="J602" s="16">
        <v>12414</v>
      </c>
      <c r="K602" s="16">
        <v>371908</v>
      </c>
      <c r="L602" s="16">
        <v>348992</v>
      </c>
      <c r="M602" s="16">
        <v>81860</v>
      </c>
      <c r="N602" s="16">
        <v>-2084</v>
      </c>
      <c r="O602">
        <v>2</v>
      </c>
      <c r="P602">
        <v>0</v>
      </c>
      <c r="Q602" s="20">
        <v>0.65545168456127356</v>
      </c>
      <c r="R602" s="21">
        <v>-2.545809919374542E-2</v>
      </c>
    </row>
    <row r="603" spans="1:18">
      <c r="A603" t="s">
        <v>1041</v>
      </c>
      <c r="B603" t="s">
        <v>86</v>
      </c>
      <c r="C603" t="s">
        <v>101</v>
      </c>
      <c r="D603">
        <v>3</v>
      </c>
      <c r="E603" t="s">
        <v>143</v>
      </c>
      <c r="F603" t="s">
        <v>133</v>
      </c>
      <c r="G603" t="s">
        <v>134</v>
      </c>
      <c r="H603" s="16">
        <v>451395</v>
      </c>
      <c r="I603" s="16">
        <v>0</v>
      </c>
      <c r="J603" s="16">
        <v>0</v>
      </c>
      <c r="K603" s="16">
        <v>287168</v>
      </c>
      <c r="L603" s="16">
        <v>112580</v>
      </c>
      <c r="M603" s="16">
        <v>164227</v>
      </c>
      <c r="N603" s="16">
        <v>11687</v>
      </c>
      <c r="O603">
        <v>2</v>
      </c>
      <c r="P603">
        <v>0</v>
      </c>
      <c r="Q603" s="20">
        <v>0</v>
      </c>
      <c r="R603" s="21">
        <v>7.1163694155041493E-2</v>
      </c>
    </row>
    <row r="604" spans="1:18">
      <c r="A604" t="s">
        <v>1042</v>
      </c>
      <c r="B604" t="s">
        <v>74</v>
      </c>
      <c r="C604" t="s">
        <v>104</v>
      </c>
      <c r="D604">
        <v>2</v>
      </c>
      <c r="E604" t="s">
        <v>132</v>
      </c>
      <c r="F604" t="s">
        <v>205</v>
      </c>
      <c r="G604" t="s">
        <v>206</v>
      </c>
      <c r="H604" s="16">
        <v>451314</v>
      </c>
      <c r="I604" s="16">
        <v>257422</v>
      </c>
      <c r="J604" s="16">
        <v>9833</v>
      </c>
      <c r="K604" s="16">
        <v>410044</v>
      </c>
      <c r="L604" s="16">
        <v>388441</v>
      </c>
      <c r="M604" s="16">
        <v>41270</v>
      </c>
      <c r="N604" s="16">
        <v>63</v>
      </c>
      <c r="O604">
        <v>0</v>
      </c>
      <c r="P604">
        <v>2</v>
      </c>
      <c r="Q604" s="20">
        <v>0.5703833694500946</v>
      </c>
      <c r="R604" s="21">
        <v>1.5265325902592683E-3</v>
      </c>
    </row>
    <row r="605" spans="1:18">
      <c r="A605" t="s">
        <v>1043</v>
      </c>
      <c r="B605" t="s">
        <v>74</v>
      </c>
      <c r="C605" t="s">
        <v>104</v>
      </c>
      <c r="D605">
        <v>2</v>
      </c>
      <c r="E605" t="s">
        <v>132</v>
      </c>
      <c r="F605" t="s">
        <v>1044</v>
      </c>
      <c r="G605" t="s">
        <v>153</v>
      </c>
      <c r="H605" s="16">
        <v>450461</v>
      </c>
      <c r="I605" s="16">
        <v>307130</v>
      </c>
      <c r="J605" s="16">
        <v>19039</v>
      </c>
      <c r="K605" s="16">
        <v>393702</v>
      </c>
      <c r="L605" s="16">
        <v>242996</v>
      </c>
      <c r="M605" s="16">
        <v>56759</v>
      </c>
      <c r="N605" s="16">
        <v>834</v>
      </c>
      <c r="O605">
        <v>0</v>
      </c>
      <c r="P605">
        <v>16</v>
      </c>
      <c r="Q605" s="20">
        <v>0.68181263194815978</v>
      </c>
      <c r="R605" s="21">
        <v>1.4693704963089554E-2</v>
      </c>
    </row>
    <row r="606" spans="1:18">
      <c r="A606" t="s">
        <v>1045</v>
      </c>
      <c r="B606" t="s">
        <v>74</v>
      </c>
      <c r="C606" t="s">
        <v>104</v>
      </c>
      <c r="D606">
        <v>2</v>
      </c>
      <c r="E606" t="s">
        <v>132</v>
      </c>
      <c r="F606" t="s">
        <v>1046</v>
      </c>
      <c r="G606" t="s">
        <v>134</v>
      </c>
      <c r="H606" s="16">
        <v>447995</v>
      </c>
      <c r="I606" s="16">
        <v>249478</v>
      </c>
      <c r="J606" s="16">
        <v>25031</v>
      </c>
      <c r="K606" s="16">
        <v>410325</v>
      </c>
      <c r="L606" s="16">
        <v>375195</v>
      </c>
      <c r="M606" s="16">
        <v>37669</v>
      </c>
      <c r="N606" s="16">
        <v>-4745</v>
      </c>
      <c r="O606">
        <v>0</v>
      </c>
      <c r="P606">
        <v>16</v>
      </c>
      <c r="Q606" s="20">
        <v>0.55687675085659438</v>
      </c>
      <c r="R606" s="21">
        <v>-0.12596564814569008</v>
      </c>
    </row>
    <row r="607" spans="1:18">
      <c r="A607" t="s">
        <v>1047</v>
      </c>
      <c r="B607" t="s">
        <v>74</v>
      </c>
      <c r="C607" t="s">
        <v>104</v>
      </c>
      <c r="D607">
        <v>2</v>
      </c>
      <c r="E607" t="s">
        <v>132</v>
      </c>
      <c r="F607" t="s">
        <v>1048</v>
      </c>
      <c r="G607" t="s">
        <v>286</v>
      </c>
      <c r="H607" s="16">
        <v>444694</v>
      </c>
      <c r="I607" s="16">
        <v>294449</v>
      </c>
      <c r="J607" s="16">
        <v>11046</v>
      </c>
      <c r="K607" s="16">
        <v>397128</v>
      </c>
      <c r="L607" s="16">
        <v>329151</v>
      </c>
      <c r="M607" s="16">
        <v>47566</v>
      </c>
      <c r="N607" s="16">
        <v>-8841</v>
      </c>
      <c r="O607">
        <v>0</v>
      </c>
      <c r="P607">
        <v>3</v>
      </c>
      <c r="Q607" s="20">
        <v>0.66213845925512826</v>
      </c>
      <c r="R607" s="21">
        <v>-0.18586805701551529</v>
      </c>
    </row>
    <row r="608" spans="1:18">
      <c r="A608" t="s">
        <v>1049</v>
      </c>
      <c r="B608" t="s">
        <v>83</v>
      </c>
      <c r="C608" t="s">
        <v>104</v>
      </c>
      <c r="D608">
        <v>2</v>
      </c>
      <c r="E608" t="s">
        <v>132</v>
      </c>
      <c r="F608" t="s">
        <v>1050</v>
      </c>
      <c r="G608" t="s">
        <v>206</v>
      </c>
      <c r="H608" s="16">
        <v>443580</v>
      </c>
      <c r="I608" s="16">
        <v>416480</v>
      </c>
      <c r="J608" s="16">
        <v>0</v>
      </c>
      <c r="K608" s="16">
        <v>228903</v>
      </c>
      <c r="L608" s="16">
        <v>160564</v>
      </c>
      <c r="M608" s="16">
        <v>214677</v>
      </c>
      <c r="N608" s="16">
        <v>11943</v>
      </c>
      <c r="O608">
        <v>2</v>
      </c>
      <c r="P608">
        <v>0</v>
      </c>
      <c r="Q608" s="20">
        <v>0.93890617250552322</v>
      </c>
      <c r="R608" s="21">
        <v>5.5632415209826855E-2</v>
      </c>
    </row>
    <row r="609" spans="1:18">
      <c r="A609" t="s">
        <v>1051</v>
      </c>
      <c r="B609" t="s">
        <v>83</v>
      </c>
      <c r="C609" t="s">
        <v>101</v>
      </c>
      <c r="D609">
        <v>2</v>
      </c>
      <c r="E609" t="s">
        <v>132</v>
      </c>
      <c r="F609" t="s">
        <v>152</v>
      </c>
      <c r="G609" t="s">
        <v>153</v>
      </c>
      <c r="H609" s="16">
        <v>442806</v>
      </c>
      <c r="I609" s="16">
        <v>319198</v>
      </c>
      <c r="J609" s="16">
        <v>8371</v>
      </c>
      <c r="K609" s="16">
        <v>385746</v>
      </c>
      <c r="L609" s="16">
        <v>281695</v>
      </c>
      <c r="M609" s="16">
        <v>57059</v>
      </c>
      <c r="N609" s="16">
        <v>4426</v>
      </c>
      <c r="O609">
        <v>4</v>
      </c>
      <c r="P609">
        <v>0</v>
      </c>
      <c r="Q609" s="20">
        <v>0.720852924305452</v>
      </c>
      <c r="R609" s="21">
        <v>7.756883226134352E-2</v>
      </c>
    </row>
    <row r="610" spans="1:18">
      <c r="A610" t="s">
        <v>1052</v>
      </c>
      <c r="B610" t="s">
        <v>74</v>
      </c>
      <c r="C610" t="s">
        <v>104</v>
      </c>
      <c r="D610">
        <v>2</v>
      </c>
      <c r="E610" t="s">
        <v>132</v>
      </c>
      <c r="F610" t="s">
        <v>1053</v>
      </c>
      <c r="G610" t="s">
        <v>206</v>
      </c>
      <c r="H610" s="16">
        <v>442589</v>
      </c>
      <c r="I610" s="16">
        <v>295631</v>
      </c>
      <c r="J610" s="16">
        <v>12292</v>
      </c>
      <c r="K610" s="16">
        <v>388705</v>
      </c>
      <c r="L610" s="16">
        <v>366773</v>
      </c>
      <c r="M610" s="16">
        <v>53884</v>
      </c>
      <c r="N610" s="16">
        <v>611</v>
      </c>
      <c r="O610">
        <v>0</v>
      </c>
      <c r="P610">
        <v>14</v>
      </c>
      <c r="Q610" s="20">
        <v>0.66795830895029018</v>
      </c>
      <c r="R610" s="21">
        <v>1.1339173038378739E-2</v>
      </c>
    </row>
    <row r="611" spans="1:18">
      <c r="A611" t="s">
        <v>1054</v>
      </c>
      <c r="B611" t="s">
        <v>74</v>
      </c>
      <c r="C611" t="s">
        <v>104</v>
      </c>
      <c r="D611">
        <v>2</v>
      </c>
      <c r="E611" t="s">
        <v>132</v>
      </c>
      <c r="F611" t="s">
        <v>1055</v>
      </c>
      <c r="G611" t="s">
        <v>206</v>
      </c>
      <c r="H611" s="16">
        <v>434545</v>
      </c>
      <c r="I611" s="16">
        <v>322133</v>
      </c>
      <c r="J611" s="16">
        <v>9702</v>
      </c>
      <c r="K611" s="16">
        <v>372518</v>
      </c>
      <c r="L611" s="16">
        <v>231109</v>
      </c>
      <c r="M611" s="16">
        <v>62028</v>
      </c>
      <c r="N611" s="16">
        <v>-199</v>
      </c>
      <c r="O611">
        <v>0</v>
      </c>
      <c r="P611">
        <v>13</v>
      </c>
      <c r="Q611" s="20">
        <v>0.74131102647596914</v>
      </c>
      <c r="R611" s="21">
        <v>-3.2082285419487975E-3</v>
      </c>
    </row>
    <row r="612" spans="1:18">
      <c r="A612" t="s">
        <v>1056</v>
      </c>
      <c r="B612" t="s">
        <v>74</v>
      </c>
      <c r="C612" t="s">
        <v>104</v>
      </c>
      <c r="D612">
        <v>2</v>
      </c>
      <c r="E612" t="s">
        <v>132</v>
      </c>
      <c r="F612" t="s">
        <v>1057</v>
      </c>
      <c r="G612" t="s">
        <v>169</v>
      </c>
      <c r="H612" s="16">
        <v>429968</v>
      </c>
      <c r="I612" s="16">
        <v>156400</v>
      </c>
      <c r="J612" s="16">
        <v>8398</v>
      </c>
      <c r="K612" s="16">
        <v>368877</v>
      </c>
      <c r="L612" s="16">
        <v>338157</v>
      </c>
      <c r="M612" s="16">
        <v>61091</v>
      </c>
      <c r="N612" s="16">
        <v>4876</v>
      </c>
      <c r="O612">
        <v>0</v>
      </c>
      <c r="P612">
        <v>10</v>
      </c>
      <c r="Q612" s="20">
        <v>0.36374799985115169</v>
      </c>
      <c r="R612" s="21">
        <v>7.9815357417622884E-2</v>
      </c>
    </row>
    <row r="613" spans="1:18">
      <c r="A613" t="s">
        <v>1058</v>
      </c>
      <c r="B613" t="s">
        <v>83</v>
      </c>
      <c r="C613" t="s">
        <v>101</v>
      </c>
      <c r="D613">
        <v>3</v>
      </c>
      <c r="E613" t="s">
        <v>143</v>
      </c>
      <c r="F613" t="s">
        <v>133</v>
      </c>
      <c r="G613" t="s">
        <v>134</v>
      </c>
      <c r="H613" s="16">
        <v>428648</v>
      </c>
      <c r="I613" s="16">
        <v>33491</v>
      </c>
      <c r="J613" s="16">
        <v>0</v>
      </c>
      <c r="K613" s="16">
        <v>349977</v>
      </c>
      <c r="L613" s="16">
        <v>335206</v>
      </c>
      <c r="M613" s="16">
        <v>78671</v>
      </c>
      <c r="N613" s="16">
        <v>-26981</v>
      </c>
      <c r="O613">
        <v>2</v>
      </c>
      <c r="P613">
        <v>0</v>
      </c>
      <c r="Q613" s="20">
        <v>7.8131707134991887E-2</v>
      </c>
      <c r="R613" s="21">
        <v>-0.34295992169922845</v>
      </c>
    </row>
    <row r="614" spans="1:18">
      <c r="A614" t="s">
        <v>1059</v>
      </c>
      <c r="B614" t="s">
        <v>74</v>
      </c>
      <c r="C614" t="s">
        <v>104</v>
      </c>
      <c r="D614">
        <v>2</v>
      </c>
      <c r="E614" t="s">
        <v>132</v>
      </c>
      <c r="F614" t="s">
        <v>568</v>
      </c>
      <c r="G614" t="s">
        <v>569</v>
      </c>
      <c r="H614" s="16">
        <v>423442</v>
      </c>
      <c r="I614" s="16">
        <v>257158</v>
      </c>
      <c r="J614" s="16">
        <v>17705</v>
      </c>
      <c r="K614" s="16">
        <v>354367</v>
      </c>
      <c r="L614" s="16">
        <v>330252</v>
      </c>
      <c r="M614" s="16">
        <v>69075</v>
      </c>
      <c r="N614" s="16">
        <v>-6092</v>
      </c>
      <c r="O614">
        <v>0</v>
      </c>
      <c r="P614">
        <v>8</v>
      </c>
      <c r="Q614" s="20">
        <v>0.60730395189896136</v>
      </c>
      <c r="R614" s="21">
        <v>-8.8193992037640251E-2</v>
      </c>
    </row>
    <row r="615" spans="1:18">
      <c r="A615" t="s">
        <v>1060</v>
      </c>
      <c r="B615" t="s">
        <v>89</v>
      </c>
      <c r="C615" t="s">
        <v>101</v>
      </c>
      <c r="D615">
        <v>2</v>
      </c>
      <c r="E615" t="s">
        <v>132</v>
      </c>
      <c r="F615" t="s">
        <v>133</v>
      </c>
      <c r="G615" t="s">
        <v>134</v>
      </c>
      <c r="H615" s="16">
        <v>422262</v>
      </c>
      <c r="I615" s="16">
        <v>16351</v>
      </c>
      <c r="J615" s="16">
        <v>79338</v>
      </c>
      <c r="K615" s="16">
        <v>403468</v>
      </c>
      <c r="L615" s="16">
        <v>61318</v>
      </c>
      <c r="M615" s="16">
        <v>18793</v>
      </c>
      <c r="N615" s="16">
        <v>3653</v>
      </c>
      <c r="O615">
        <v>1</v>
      </c>
      <c r="P615">
        <v>0</v>
      </c>
      <c r="Q615" s="20">
        <v>3.8722404573463869E-2</v>
      </c>
      <c r="R615" s="21">
        <v>0.19438088650029267</v>
      </c>
    </row>
    <row r="616" spans="1:18">
      <c r="A616" t="s">
        <v>1061</v>
      </c>
      <c r="B616" t="s">
        <v>74</v>
      </c>
      <c r="C616" t="s">
        <v>104</v>
      </c>
      <c r="D616">
        <v>2</v>
      </c>
      <c r="E616" t="s">
        <v>132</v>
      </c>
      <c r="F616" t="s">
        <v>1062</v>
      </c>
      <c r="G616" t="s">
        <v>169</v>
      </c>
      <c r="H616" s="16">
        <v>422006</v>
      </c>
      <c r="I616" s="16">
        <v>225571</v>
      </c>
      <c r="J616" s="16">
        <v>15950</v>
      </c>
      <c r="K616" s="16">
        <v>353473</v>
      </c>
      <c r="L616" s="16">
        <v>302357</v>
      </c>
      <c r="M616" s="16">
        <v>68533</v>
      </c>
      <c r="N616" s="16">
        <v>897</v>
      </c>
      <c r="O616">
        <v>0</v>
      </c>
      <c r="P616">
        <v>12</v>
      </c>
      <c r="Q616" s="20">
        <v>0.5345208361966417</v>
      </c>
      <c r="R616" s="21">
        <v>1.3088585061211386E-2</v>
      </c>
    </row>
    <row r="617" spans="1:18">
      <c r="A617" t="s">
        <v>1063</v>
      </c>
      <c r="B617" t="s">
        <v>89</v>
      </c>
      <c r="C617" t="s">
        <v>162</v>
      </c>
      <c r="D617">
        <v>3</v>
      </c>
      <c r="E617" t="s">
        <v>143</v>
      </c>
      <c r="F617" t="s">
        <v>163</v>
      </c>
      <c r="G617" t="s">
        <v>134</v>
      </c>
      <c r="H617" s="16">
        <v>420288</v>
      </c>
      <c r="I617" s="16">
        <v>0</v>
      </c>
      <c r="J617" s="16">
        <v>0</v>
      </c>
      <c r="K617" s="16">
        <v>400348</v>
      </c>
      <c r="L617" s="16">
        <v>0</v>
      </c>
      <c r="M617" s="16">
        <v>19941</v>
      </c>
      <c r="N617" s="16">
        <v>33592</v>
      </c>
      <c r="O617">
        <v>1</v>
      </c>
      <c r="P617">
        <v>0</v>
      </c>
      <c r="Q617" s="20">
        <v>0</v>
      </c>
      <c r="R617" s="21">
        <v>1.6845694799658995</v>
      </c>
    </row>
    <row r="618" spans="1:18">
      <c r="A618" t="s">
        <v>1064</v>
      </c>
      <c r="B618" t="s">
        <v>89</v>
      </c>
      <c r="C618" t="s">
        <v>162</v>
      </c>
      <c r="D618">
        <v>3</v>
      </c>
      <c r="E618" t="s">
        <v>143</v>
      </c>
      <c r="F618" t="s">
        <v>133</v>
      </c>
      <c r="G618" t="s">
        <v>134</v>
      </c>
      <c r="H618" s="16">
        <v>416505</v>
      </c>
      <c r="I618" s="16">
        <v>0</v>
      </c>
      <c r="J618" s="16">
        <v>378173</v>
      </c>
      <c r="K618" s="16">
        <v>403192</v>
      </c>
      <c r="L618" s="16">
        <v>351941</v>
      </c>
      <c r="M618" s="16">
        <v>13312</v>
      </c>
      <c r="N618" s="16">
        <v>3735</v>
      </c>
      <c r="O618">
        <v>1</v>
      </c>
      <c r="P618">
        <v>0</v>
      </c>
      <c r="Q618" s="20">
        <v>0</v>
      </c>
      <c r="R618" s="21">
        <v>0.28057391826923078</v>
      </c>
    </row>
    <row r="619" spans="1:18">
      <c r="A619" t="s">
        <v>1065</v>
      </c>
      <c r="B619" t="s">
        <v>74</v>
      </c>
      <c r="C619" t="s">
        <v>104</v>
      </c>
      <c r="D619">
        <v>2</v>
      </c>
      <c r="E619" t="s">
        <v>132</v>
      </c>
      <c r="F619" t="s">
        <v>1066</v>
      </c>
      <c r="G619" t="s">
        <v>134</v>
      </c>
      <c r="H619" s="16">
        <v>415715</v>
      </c>
      <c r="I619" s="16">
        <v>134098</v>
      </c>
      <c r="J619" s="16">
        <v>6252</v>
      </c>
      <c r="K619" s="16">
        <v>350332</v>
      </c>
      <c r="L619" s="16">
        <v>337819</v>
      </c>
      <c r="M619" s="16">
        <v>65383</v>
      </c>
      <c r="N619" s="16">
        <v>4009</v>
      </c>
      <c r="O619">
        <v>0</v>
      </c>
      <c r="P619">
        <v>15</v>
      </c>
      <c r="Q619" s="20">
        <v>0.32257195434372105</v>
      </c>
      <c r="R619" s="21">
        <v>6.1315632503861857E-2</v>
      </c>
    </row>
    <row r="620" spans="1:18">
      <c r="A620" t="s">
        <v>1067</v>
      </c>
      <c r="B620" t="s">
        <v>74</v>
      </c>
      <c r="C620" t="s">
        <v>104</v>
      </c>
      <c r="D620">
        <v>2</v>
      </c>
      <c r="E620" t="s">
        <v>132</v>
      </c>
      <c r="F620" t="s">
        <v>1068</v>
      </c>
      <c r="G620" t="s">
        <v>169</v>
      </c>
      <c r="H620" s="16">
        <v>415602</v>
      </c>
      <c r="I620" s="16">
        <v>186237</v>
      </c>
      <c r="J620" s="16">
        <v>12325</v>
      </c>
      <c r="K620" s="16">
        <v>352624</v>
      </c>
      <c r="L620" s="16">
        <v>265170</v>
      </c>
      <c r="M620" s="16">
        <v>62978</v>
      </c>
      <c r="N620" s="16">
        <v>2993</v>
      </c>
      <c r="O620">
        <v>0</v>
      </c>
      <c r="P620">
        <v>2</v>
      </c>
      <c r="Q620" s="20">
        <v>0.44811382043397291</v>
      </c>
      <c r="R620" s="21">
        <v>4.7524532376385403E-2</v>
      </c>
    </row>
    <row r="621" spans="1:18">
      <c r="A621" t="s">
        <v>1069</v>
      </c>
      <c r="B621" t="s">
        <v>74</v>
      </c>
      <c r="C621" t="s">
        <v>104</v>
      </c>
      <c r="D621">
        <v>2</v>
      </c>
      <c r="E621" t="s">
        <v>132</v>
      </c>
      <c r="F621" t="s">
        <v>1070</v>
      </c>
      <c r="G621" t="s">
        <v>153</v>
      </c>
      <c r="H621" s="16">
        <v>411422</v>
      </c>
      <c r="I621" s="16">
        <v>284444</v>
      </c>
      <c r="J621" s="16">
        <v>12944</v>
      </c>
      <c r="K621" s="16">
        <v>362899</v>
      </c>
      <c r="L621" s="16">
        <v>221513</v>
      </c>
      <c r="M621" s="16">
        <v>48524</v>
      </c>
      <c r="N621" s="16">
        <v>2284</v>
      </c>
      <c r="O621">
        <v>0</v>
      </c>
      <c r="P621">
        <v>14</v>
      </c>
      <c r="Q621" s="20">
        <v>0.69136798712757219</v>
      </c>
      <c r="R621" s="21">
        <v>4.7069491385706042E-2</v>
      </c>
    </row>
    <row r="622" spans="1:18">
      <c r="A622" t="s">
        <v>1071</v>
      </c>
      <c r="B622" t="s">
        <v>74</v>
      </c>
      <c r="C622" t="s">
        <v>104</v>
      </c>
      <c r="D622">
        <v>2</v>
      </c>
      <c r="E622" t="s">
        <v>132</v>
      </c>
      <c r="F622" t="s">
        <v>1072</v>
      </c>
      <c r="G622" t="s">
        <v>206</v>
      </c>
      <c r="H622" s="16">
        <v>410868</v>
      </c>
      <c r="I622" s="16">
        <v>257369</v>
      </c>
      <c r="J622" s="16">
        <v>10296</v>
      </c>
      <c r="K622" s="16">
        <v>359349</v>
      </c>
      <c r="L622" s="16">
        <v>341794</v>
      </c>
      <c r="M622" s="16">
        <v>51518</v>
      </c>
      <c r="N622" s="16">
        <v>170</v>
      </c>
      <c r="O622">
        <v>0</v>
      </c>
      <c r="P622">
        <v>9</v>
      </c>
      <c r="Q622" s="20">
        <v>0.62640312703836754</v>
      </c>
      <c r="R622" s="21">
        <v>3.299817539500757E-3</v>
      </c>
    </row>
    <row r="623" spans="1:18">
      <c r="A623" t="s">
        <v>1073</v>
      </c>
      <c r="B623" t="s">
        <v>74</v>
      </c>
      <c r="C623" t="s">
        <v>104</v>
      </c>
      <c r="D623">
        <v>2</v>
      </c>
      <c r="E623" t="s">
        <v>132</v>
      </c>
      <c r="F623" t="s">
        <v>291</v>
      </c>
      <c r="G623" t="s">
        <v>292</v>
      </c>
      <c r="H623" s="16">
        <v>406726</v>
      </c>
      <c r="I623" s="16">
        <v>248319</v>
      </c>
      <c r="J623" s="16">
        <v>8425</v>
      </c>
      <c r="K623" s="16">
        <v>359998</v>
      </c>
      <c r="L623" s="16">
        <v>334322</v>
      </c>
      <c r="M623" s="16">
        <v>46728</v>
      </c>
      <c r="N623" s="16">
        <v>5159</v>
      </c>
      <c r="O623">
        <v>0</v>
      </c>
      <c r="P623">
        <v>7</v>
      </c>
      <c r="Q623" s="20">
        <v>0.61053141426906565</v>
      </c>
      <c r="R623" s="21">
        <v>0.11040489642184557</v>
      </c>
    </row>
    <row r="624" spans="1:18">
      <c r="A624" t="s">
        <v>1074</v>
      </c>
      <c r="B624" t="s">
        <v>83</v>
      </c>
      <c r="C624" t="s">
        <v>104</v>
      </c>
      <c r="D624">
        <v>2</v>
      </c>
      <c r="E624" t="s">
        <v>132</v>
      </c>
      <c r="F624" t="s">
        <v>190</v>
      </c>
      <c r="G624" t="s">
        <v>191</v>
      </c>
      <c r="H624" s="16">
        <v>406429</v>
      </c>
      <c r="I624" s="16">
        <v>302687</v>
      </c>
      <c r="J624" s="16">
        <v>41494</v>
      </c>
      <c r="K624" s="16">
        <v>339618</v>
      </c>
      <c r="L624" s="16">
        <v>325549</v>
      </c>
      <c r="M624" s="16">
        <v>66811</v>
      </c>
      <c r="N624" s="16">
        <v>1868</v>
      </c>
      <c r="O624">
        <v>2</v>
      </c>
      <c r="P624">
        <v>0</v>
      </c>
      <c r="Q624" s="20">
        <v>0.74474754508167473</v>
      </c>
      <c r="R624" s="21">
        <v>2.7959467752316235E-2</v>
      </c>
    </row>
    <row r="625" spans="1:18">
      <c r="A625" t="s">
        <v>1075</v>
      </c>
      <c r="B625" t="s">
        <v>74</v>
      </c>
      <c r="C625" t="s">
        <v>104</v>
      </c>
      <c r="D625">
        <v>2</v>
      </c>
      <c r="E625" t="s">
        <v>132</v>
      </c>
      <c r="F625" t="s">
        <v>168</v>
      </c>
      <c r="G625" t="s">
        <v>169</v>
      </c>
      <c r="H625" s="16">
        <v>406015</v>
      </c>
      <c r="I625" s="16">
        <v>71972</v>
      </c>
      <c r="J625" s="16">
        <v>13982</v>
      </c>
      <c r="K625" s="16">
        <v>337861</v>
      </c>
      <c r="L625" s="16">
        <v>329218</v>
      </c>
      <c r="M625" s="16">
        <v>68154</v>
      </c>
      <c r="N625" s="16">
        <v>4116</v>
      </c>
      <c r="O625">
        <v>0</v>
      </c>
      <c r="P625">
        <v>3</v>
      </c>
      <c r="Q625" s="20">
        <v>0.17726438678373951</v>
      </c>
      <c r="R625" s="21">
        <v>6.0392640197200455E-2</v>
      </c>
    </row>
    <row r="626" spans="1:18">
      <c r="A626" t="s">
        <v>1076</v>
      </c>
      <c r="B626" t="s">
        <v>71</v>
      </c>
      <c r="C626" t="s">
        <v>101</v>
      </c>
      <c r="D626">
        <v>3</v>
      </c>
      <c r="E626" t="s">
        <v>143</v>
      </c>
      <c r="F626" t="s">
        <v>133</v>
      </c>
      <c r="G626" t="s">
        <v>134</v>
      </c>
      <c r="H626" s="16">
        <v>405469</v>
      </c>
      <c r="I626" s="16">
        <v>0</v>
      </c>
      <c r="J626" s="16">
        <v>79017</v>
      </c>
      <c r="K626" s="16">
        <v>170952</v>
      </c>
      <c r="L626" s="16">
        <v>31567</v>
      </c>
      <c r="M626" s="16">
        <v>234516</v>
      </c>
      <c r="N626" s="16">
        <v>13167</v>
      </c>
      <c r="O626">
        <v>2</v>
      </c>
      <c r="P626">
        <v>0</v>
      </c>
      <c r="Q626" s="20">
        <v>0</v>
      </c>
      <c r="R626" s="21">
        <v>5.6145422913575195E-2</v>
      </c>
    </row>
    <row r="627" spans="1:18">
      <c r="A627" t="s">
        <v>1077</v>
      </c>
      <c r="B627" t="s">
        <v>74</v>
      </c>
      <c r="C627" t="s">
        <v>104</v>
      </c>
      <c r="D627">
        <v>2</v>
      </c>
      <c r="E627" t="s">
        <v>132</v>
      </c>
      <c r="F627" t="s">
        <v>445</v>
      </c>
      <c r="G627" t="s">
        <v>153</v>
      </c>
      <c r="H627" s="16">
        <v>404668</v>
      </c>
      <c r="I627" s="16">
        <v>209434</v>
      </c>
      <c r="J627" s="16">
        <v>12147</v>
      </c>
      <c r="K627" s="16">
        <v>332092</v>
      </c>
      <c r="L627" s="16">
        <v>309775</v>
      </c>
      <c r="M627" s="16">
        <v>72576</v>
      </c>
      <c r="N627" s="16">
        <v>9529</v>
      </c>
      <c r="O627">
        <v>0</v>
      </c>
      <c r="P627">
        <v>3</v>
      </c>
      <c r="Q627" s="20">
        <v>0.51754524696788473</v>
      </c>
      <c r="R627" s="21">
        <v>0.13129684744268078</v>
      </c>
    </row>
    <row r="628" spans="1:18">
      <c r="A628" t="s">
        <v>1078</v>
      </c>
      <c r="B628" t="s">
        <v>74</v>
      </c>
      <c r="C628" t="s">
        <v>104</v>
      </c>
      <c r="D628">
        <v>2</v>
      </c>
      <c r="E628" t="s">
        <v>132</v>
      </c>
      <c r="F628" t="s">
        <v>417</v>
      </c>
      <c r="G628" t="s">
        <v>206</v>
      </c>
      <c r="H628" s="16">
        <v>403717</v>
      </c>
      <c r="I628" s="16">
        <v>286573</v>
      </c>
      <c r="J628" s="16">
        <v>11766</v>
      </c>
      <c r="K628" s="16">
        <v>356058</v>
      </c>
      <c r="L628" s="16">
        <v>321232</v>
      </c>
      <c r="M628" s="16">
        <v>47659</v>
      </c>
      <c r="N628" s="16">
        <v>-7694</v>
      </c>
      <c r="O628">
        <v>0</v>
      </c>
      <c r="P628">
        <v>13</v>
      </c>
      <c r="Q628" s="20">
        <v>0.70983634575705257</v>
      </c>
      <c r="R628" s="21">
        <v>-0.16143855305398772</v>
      </c>
    </row>
    <row r="629" spans="1:18">
      <c r="A629" t="s">
        <v>1079</v>
      </c>
      <c r="B629" t="s">
        <v>89</v>
      </c>
      <c r="C629" t="s">
        <v>162</v>
      </c>
      <c r="D629">
        <v>3</v>
      </c>
      <c r="E629" t="s">
        <v>143</v>
      </c>
      <c r="F629" t="s">
        <v>133</v>
      </c>
      <c r="G629" t="s">
        <v>134</v>
      </c>
      <c r="H629" s="16">
        <v>403505</v>
      </c>
      <c r="I629" s="16">
        <v>0</v>
      </c>
      <c r="J629" s="16">
        <v>81</v>
      </c>
      <c r="K629" s="16">
        <v>360803</v>
      </c>
      <c r="L629" s="16">
        <v>353160</v>
      </c>
      <c r="M629" s="16">
        <v>42701</v>
      </c>
      <c r="N629" s="16">
        <v>1851</v>
      </c>
      <c r="O629">
        <v>1</v>
      </c>
      <c r="P629">
        <v>0</v>
      </c>
      <c r="Q629" s="20">
        <v>0</v>
      </c>
      <c r="R629" s="21">
        <v>4.3347930961804171E-2</v>
      </c>
    </row>
    <row r="630" spans="1:18">
      <c r="A630" t="s">
        <v>1080</v>
      </c>
      <c r="B630" t="s">
        <v>74</v>
      </c>
      <c r="C630" t="s">
        <v>104</v>
      </c>
      <c r="D630">
        <v>2</v>
      </c>
      <c r="E630" t="s">
        <v>132</v>
      </c>
      <c r="F630" t="s">
        <v>197</v>
      </c>
      <c r="G630" t="s">
        <v>198</v>
      </c>
      <c r="H630" s="16">
        <v>403299</v>
      </c>
      <c r="I630" s="16">
        <v>206744</v>
      </c>
      <c r="J630" s="16">
        <v>14368</v>
      </c>
      <c r="K630" s="16">
        <v>354262</v>
      </c>
      <c r="L630" s="16">
        <v>345395</v>
      </c>
      <c r="M630" s="16">
        <v>49037</v>
      </c>
      <c r="N630" s="16">
        <v>1693</v>
      </c>
      <c r="O630">
        <v>0</v>
      </c>
      <c r="P630">
        <v>9</v>
      </c>
      <c r="Q630" s="20">
        <v>0.51263206702719322</v>
      </c>
      <c r="R630" s="21">
        <v>3.452495054754573E-2</v>
      </c>
    </row>
    <row r="631" spans="1:18">
      <c r="A631" t="s">
        <v>1081</v>
      </c>
      <c r="B631" t="s">
        <v>74</v>
      </c>
      <c r="C631" t="s">
        <v>101</v>
      </c>
      <c r="D631">
        <v>2</v>
      </c>
      <c r="E631" t="s">
        <v>132</v>
      </c>
      <c r="F631" t="s">
        <v>1082</v>
      </c>
      <c r="G631" t="s">
        <v>134</v>
      </c>
      <c r="H631" s="16">
        <v>401988</v>
      </c>
      <c r="I631" s="16">
        <v>168485</v>
      </c>
      <c r="J631" s="16">
        <v>183949</v>
      </c>
      <c r="K631" s="16">
        <v>367673</v>
      </c>
      <c r="L631" s="16">
        <v>330872</v>
      </c>
      <c r="M631" s="16">
        <v>34315</v>
      </c>
      <c r="N631" s="16">
        <v>1218</v>
      </c>
      <c r="O631">
        <v>0</v>
      </c>
      <c r="P631">
        <v>10</v>
      </c>
      <c r="Q631" s="20">
        <v>0.41912942674905718</v>
      </c>
      <c r="R631" s="21">
        <v>3.5494681626111031E-2</v>
      </c>
    </row>
    <row r="632" spans="1:18">
      <c r="A632" t="s">
        <v>1083</v>
      </c>
      <c r="B632" t="s">
        <v>74</v>
      </c>
      <c r="C632" t="s">
        <v>104</v>
      </c>
      <c r="D632">
        <v>2</v>
      </c>
      <c r="E632" t="s">
        <v>132</v>
      </c>
      <c r="F632" t="s">
        <v>1084</v>
      </c>
      <c r="G632" t="s">
        <v>169</v>
      </c>
      <c r="H632" s="16">
        <v>401948</v>
      </c>
      <c r="I632" s="16">
        <v>251869</v>
      </c>
      <c r="J632" s="16">
        <v>19843</v>
      </c>
      <c r="K632" s="16">
        <v>351377</v>
      </c>
      <c r="L632" s="16">
        <v>199115</v>
      </c>
      <c r="M632" s="16">
        <v>50571</v>
      </c>
      <c r="N632" s="16">
        <v>-6117</v>
      </c>
      <c r="O632">
        <v>0</v>
      </c>
      <c r="P632">
        <v>1</v>
      </c>
      <c r="Q632" s="20">
        <v>0.62662085642918985</v>
      </c>
      <c r="R632" s="21">
        <v>-0.12095865219196773</v>
      </c>
    </row>
    <row r="633" spans="1:18">
      <c r="A633" t="s">
        <v>1085</v>
      </c>
      <c r="B633" t="s">
        <v>74</v>
      </c>
      <c r="C633" t="s">
        <v>104</v>
      </c>
      <c r="D633">
        <v>2</v>
      </c>
      <c r="E633" t="s">
        <v>132</v>
      </c>
      <c r="F633" t="s">
        <v>308</v>
      </c>
      <c r="G633" t="s">
        <v>206</v>
      </c>
      <c r="H633" s="16">
        <v>399132</v>
      </c>
      <c r="I633" s="16">
        <v>235172</v>
      </c>
      <c r="J633" s="16">
        <v>16066</v>
      </c>
      <c r="K633" s="16">
        <v>336163</v>
      </c>
      <c r="L633" s="16">
        <v>330032</v>
      </c>
      <c r="M633" s="16">
        <v>62969</v>
      </c>
      <c r="N633" s="16">
        <v>-1165</v>
      </c>
      <c r="O633">
        <v>0</v>
      </c>
      <c r="P633">
        <v>6</v>
      </c>
      <c r="Q633" s="20">
        <v>0.58920858262429476</v>
      </c>
      <c r="R633" s="21">
        <v>-1.850116724102336E-2</v>
      </c>
    </row>
    <row r="634" spans="1:18">
      <c r="A634" t="s">
        <v>1086</v>
      </c>
      <c r="B634" t="s">
        <v>86</v>
      </c>
      <c r="C634" t="s">
        <v>101</v>
      </c>
      <c r="D634">
        <v>2</v>
      </c>
      <c r="E634" t="s">
        <v>132</v>
      </c>
      <c r="F634" t="s">
        <v>133</v>
      </c>
      <c r="G634" t="s">
        <v>134</v>
      </c>
      <c r="H634" s="16">
        <v>398635</v>
      </c>
      <c r="I634" s="16">
        <v>0</v>
      </c>
      <c r="J634" s="16">
        <v>106563</v>
      </c>
      <c r="K634" s="16">
        <v>137480</v>
      </c>
      <c r="L634" s="16">
        <v>0</v>
      </c>
      <c r="M634" s="16">
        <v>261154</v>
      </c>
      <c r="N634" s="16">
        <v>55820</v>
      </c>
      <c r="O634">
        <v>15</v>
      </c>
      <c r="P634">
        <v>0</v>
      </c>
      <c r="Q634" s="20">
        <v>0</v>
      </c>
      <c r="R634" s="21">
        <v>0.2137436148785774</v>
      </c>
    </row>
    <row r="635" spans="1:18">
      <c r="A635" t="s">
        <v>1087</v>
      </c>
      <c r="B635" t="s">
        <v>74</v>
      </c>
      <c r="C635" t="s">
        <v>104</v>
      </c>
      <c r="D635">
        <v>2</v>
      </c>
      <c r="E635" t="s">
        <v>132</v>
      </c>
      <c r="F635" t="s">
        <v>205</v>
      </c>
      <c r="G635" t="s">
        <v>206</v>
      </c>
      <c r="H635" s="16">
        <v>393977</v>
      </c>
      <c r="I635" s="16">
        <v>244608</v>
      </c>
      <c r="J635" s="16">
        <v>12188</v>
      </c>
      <c r="K635" s="16">
        <v>332224</v>
      </c>
      <c r="L635" s="16">
        <v>318760</v>
      </c>
      <c r="M635" s="16">
        <v>61753</v>
      </c>
      <c r="N635" s="16">
        <v>3592</v>
      </c>
      <c r="O635">
        <v>0</v>
      </c>
      <c r="P635">
        <v>8</v>
      </c>
      <c r="Q635" s="20">
        <v>0.62086873091576411</v>
      </c>
      <c r="R635" s="21">
        <v>5.8167214548281054E-2</v>
      </c>
    </row>
    <row r="636" spans="1:18">
      <c r="A636" t="s">
        <v>1088</v>
      </c>
      <c r="B636" t="s">
        <v>74</v>
      </c>
      <c r="C636" t="s">
        <v>104</v>
      </c>
      <c r="D636">
        <v>2</v>
      </c>
      <c r="E636" t="s">
        <v>132</v>
      </c>
      <c r="F636" t="s">
        <v>1089</v>
      </c>
      <c r="G636" t="s">
        <v>169</v>
      </c>
      <c r="H636" s="16">
        <v>392011</v>
      </c>
      <c r="I636" s="16">
        <v>133504</v>
      </c>
      <c r="J636" s="16">
        <v>18791</v>
      </c>
      <c r="K636" s="16">
        <v>312126</v>
      </c>
      <c r="L636" s="16">
        <v>237539</v>
      </c>
      <c r="M636" s="16">
        <v>79886</v>
      </c>
      <c r="N636" s="16">
        <v>8326</v>
      </c>
      <c r="O636">
        <v>0</v>
      </c>
      <c r="P636">
        <v>0</v>
      </c>
      <c r="Q636" s="20">
        <v>0.34056187198828602</v>
      </c>
      <c r="R636" s="21">
        <v>0.10422351851388229</v>
      </c>
    </row>
    <row r="637" spans="1:18">
      <c r="A637" t="s">
        <v>1090</v>
      </c>
      <c r="B637" t="s">
        <v>74</v>
      </c>
      <c r="C637" t="s">
        <v>104</v>
      </c>
      <c r="D637">
        <v>2</v>
      </c>
      <c r="E637" t="s">
        <v>132</v>
      </c>
      <c r="F637" t="s">
        <v>336</v>
      </c>
      <c r="G637" t="s">
        <v>211</v>
      </c>
      <c r="H637" s="16">
        <v>389373</v>
      </c>
      <c r="I637" s="16">
        <v>215916</v>
      </c>
      <c r="J637" s="16">
        <v>25817</v>
      </c>
      <c r="K637" s="16">
        <v>348804</v>
      </c>
      <c r="L637" s="16">
        <v>302692</v>
      </c>
      <c r="M637" s="16">
        <v>40569</v>
      </c>
      <c r="N637" s="16">
        <v>43</v>
      </c>
      <c r="O637">
        <v>0</v>
      </c>
      <c r="P637">
        <v>10</v>
      </c>
      <c r="Q637" s="20">
        <v>0.55452227041936653</v>
      </c>
      <c r="R637" s="21">
        <v>1.0599226010007642E-3</v>
      </c>
    </row>
    <row r="638" spans="1:18">
      <c r="A638" t="s">
        <v>1091</v>
      </c>
      <c r="B638" t="s">
        <v>74</v>
      </c>
      <c r="C638" t="s">
        <v>104</v>
      </c>
      <c r="D638">
        <v>2</v>
      </c>
      <c r="E638" t="s">
        <v>132</v>
      </c>
      <c r="F638" t="s">
        <v>1092</v>
      </c>
      <c r="G638" t="s">
        <v>169</v>
      </c>
      <c r="H638" s="16">
        <v>389364</v>
      </c>
      <c r="I638" s="16">
        <v>165047</v>
      </c>
      <c r="J638" s="16">
        <v>11188</v>
      </c>
      <c r="K638" s="16">
        <v>309457</v>
      </c>
      <c r="L638" s="16">
        <v>242858</v>
      </c>
      <c r="M638" s="16">
        <v>79908</v>
      </c>
      <c r="N638" s="16">
        <v>1850</v>
      </c>
      <c r="O638">
        <v>0</v>
      </c>
      <c r="P638">
        <v>2</v>
      </c>
      <c r="Q638" s="20">
        <v>0.42388870054755962</v>
      </c>
      <c r="R638" s="21">
        <v>2.3151624368023226E-2</v>
      </c>
    </row>
    <row r="639" spans="1:18">
      <c r="A639" t="s">
        <v>1093</v>
      </c>
      <c r="B639" t="s">
        <v>74</v>
      </c>
      <c r="C639" t="s">
        <v>101</v>
      </c>
      <c r="D639">
        <v>2</v>
      </c>
      <c r="E639" t="s">
        <v>132</v>
      </c>
      <c r="F639" t="s">
        <v>152</v>
      </c>
      <c r="G639" t="s">
        <v>153</v>
      </c>
      <c r="H639" s="16">
        <v>388216</v>
      </c>
      <c r="I639" s="16">
        <v>49986</v>
      </c>
      <c r="J639" s="16">
        <v>214657</v>
      </c>
      <c r="K639" s="16">
        <v>360997</v>
      </c>
      <c r="L639" s="16">
        <v>317053</v>
      </c>
      <c r="M639" s="16">
        <v>27219</v>
      </c>
      <c r="N639" s="16">
        <v>2758</v>
      </c>
      <c r="O639">
        <v>0</v>
      </c>
      <c r="P639">
        <v>1</v>
      </c>
      <c r="Q639" s="20">
        <v>0.12875821707503041</v>
      </c>
      <c r="R639" s="21">
        <v>0.10132627943715787</v>
      </c>
    </row>
    <row r="640" spans="1:18">
      <c r="A640" t="s">
        <v>1094</v>
      </c>
      <c r="B640" t="s">
        <v>74</v>
      </c>
      <c r="C640" t="s">
        <v>104</v>
      </c>
      <c r="D640">
        <v>2</v>
      </c>
      <c r="E640" t="s">
        <v>132</v>
      </c>
      <c r="F640" t="s">
        <v>1095</v>
      </c>
      <c r="G640" t="s">
        <v>169</v>
      </c>
      <c r="H640" s="16">
        <v>387732</v>
      </c>
      <c r="I640" s="16">
        <v>124874</v>
      </c>
      <c r="J640" s="16">
        <v>9202</v>
      </c>
      <c r="K640" s="16">
        <v>308490</v>
      </c>
      <c r="L640" s="16">
        <v>277530</v>
      </c>
      <c r="M640" s="16">
        <v>79242</v>
      </c>
      <c r="N640" s="16">
        <v>4624</v>
      </c>
      <c r="O640">
        <v>0</v>
      </c>
      <c r="P640">
        <v>10</v>
      </c>
      <c r="Q640" s="20">
        <v>0.32206266183858956</v>
      </c>
      <c r="R640" s="21">
        <v>5.8352893667499559E-2</v>
      </c>
    </row>
    <row r="641" spans="1:18">
      <c r="A641" t="s">
        <v>1096</v>
      </c>
      <c r="B641" t="s">
        <v>89</v>
      </c>
      <c r="C641" t="s">
        <v>162</v>
      </c>
      <c r="D641">
        <v>3</v>
      </c>
      <c r="E641" t="s">
        <v>143</v>
      </c>
      <c r="F641" t="s">
        <v>163</v>
      </c>
      <c r="G641" t="s">
        <v>134</v>
      </c>
      <c r="H641" s="16">
        <v>387181</v>
      </c>
      <c r="I641" s="16">
        <v>45014</v>
      </c>
      <c r="J641" s="16">
        <v>13158</v>
      </c>
      <c r="K641" s="16">
        <v>345309</v>
      </c>
      <c r="L641" s="16">
        <v>103674</v>
      </c>
      <c r="M641" s="16">
        <v>41872</v>
      </c>
      <c r="N641" s="16">
        <v>-14693</v>
      </c>
      <c r="O641">
        <v>1</v>
      </c>
      <c r="P641">
        <v>0</v>
      </c>
      <c r="Q641" s="20">
        <v>0.11626087023898383</v>
      </c>
      <c r="R641" s="21">
        <v>-0.35090275124188003</v>
      </c>
    </row>
    <row r="642" spans="1:18">
      <c r="A642" t="s">
        <v>1097</v>
      </c>
      <c r="B642" t="s">
        <v>74</v>
      </c>
      <c r="C642" t="s">
        <v>104</v>
      </c>
      <c r="D642">
        <v>2</v>
      </c>
      <c r="E642" t="s">
        <v>132</v>
      </c>
      <c r="F642" t="s">
        <v>285</v>
      </c>
      <c r="G642" t="s">
        <v>286</v>
      </c>
      <c r="H642" s="16">
        <v>385171</v>
      </c>
      <c r="I642" s="16">
        <v>172237</v>
      </c>
      <c r="J642" s="16">
        <v>709</v>
      </c>
      <c r="K642" s="16">
        <v>351567</v>
      </c>
      <c r="L642" s="16">
        <v>312201</v>
      </c>
      <c r="M642" s="16">
        <v>33604</v>
      </c>
      <c r="N642" s="16">
        <v>-3197</v>
      </c>
      <c r="O642">
        <v>0</v>
      </c>
      <c r="P642">
        <v>13</v>
      </c>
      <c r="Q642" s="20">
        <v>0.44717021790321704</v>
      </c>
      <c r="R642" s="21">
        <v>-9.5137483632900852E-2</v>
      </c>
    </row>
    <row r="643" spans="1:18">
      <c r="A643" t="s">
        <v>1098</v>
      </c>
      <c r="B643" t="s">
        <v>83</v>
      </c>
      <c r="C643" t="s">
        <v>101</v>
      </c>
      <c r="D643">
        <v>2</v>
      </c>
      <c r="E643" t="s">
        <v>132</v>
      </c>
      <c r="F643" t="s">
        <v>1099</v>
      </c>
      <c r="G643" t="s">
        <v>211</v>
      </c>
      <c r="H643" s="16">
        <v>384597</v>
      </c>
      <c r="I643" s="16">
        <v>259987</v>
      </c>
      <c r="J643" s="16">
        <v>78727</v>
      </c>
      <c r="K643" s="16">
        <v>189910</v>
      </c>
      <c r="L643" s="16">
        <v>137190</v>
      </c>
      <c r="M643" s="16">
        <v>194687</v>
      </c>
      <c r="N643" s="16">
        <v>20724</v>
      </c>
      <c r="O643">
        <v>2</v>
      </c>
      <c r="P643">
        <v>0</v>
      </c>
      <c r="Q643" s="20">
        <v>0.67599851272890843</v>
      </c>
      <c r="R643" s="21">
        <v>0.10644778541967363</v>
      </c>
    </row>
    <row r="644" spans="1:18">
      <c r="A644" t="s">
        <v>1100</v>
      </c>
      <c r="B644" t="s">
        <v>74</v>
      </c>
      <c r="C644" t="s">
        <v>104</v>
      </c>
      <c r="D644">
        <v>2</v>
      </c>
      <c r="E644" t="s">
        <v>132</v>
      </c>
      <c r="F644" t="s">
        <v>653</v>
      </c>
      <c r="G644" t="s">
        <v>211</v>
      </c>
      <c r="H644" s="16">
        <v>383568</v>
      </c>
      <c r="I644" s="16">
        <v>244139</v>
      </c>
      <c r="J644" s="16">
        <v>8749</v>
      </c>
      <c r="K644" s="16">
        <v>343531</v>
      </c>
      <c r="L644" s="16">
        <v>335760</v>
      </c>
      <c r="M644" s="16">
        <v>40036</v>
      </c>
      <c r="N644" s="16">
        <v>-9897</v>
      </c>
      <c r="O644">
        <v>0</v>
      </c>
      <c r="P644">
        <v>17</v>
      </c>
      <c r="Q644" s="20">
        <v>0.63649470237350347</v>
      </c>
      <c r="R644" s="21">
        <v>-0.24720251773403937</v>
      </c>
    </row>
    <row r="645" spans="1:18">
      <c r="A645" t="s">
        <v>1101</v>
      </c>
      <c r="B645" t="s">
        <v>74</v>
      </c>
      <c r="C645" t="s">
        <v>101</v>
      </c>
      <c r="D645">
        <v>2</v>
      </c>
      <c r="E645" t="s">
        <v>132</v>
      </c>
      <c r="F645" t="s">
        <v>1102</v>
      </c>
      <c r="G645" t="s">
        <v>405</v>
      </c>
      <c r="H645" s="16">
        <v>383223</v>
      </c>
      <c r="I645" s="16">
        <v>180278</v>
      </c>
      <c r="J645" s="16">
        <v>152565</v>
      </c>
      <c r="K645" s="16">
        <v>300585</v>
      </c>
      <c r="L645" s="16">
        <v>273121</v>
      </c>
      <c r="M645" s="16">
        <v>82638</v>
      </c>
      <c r="N645" s="16">
        <v>6841</v>
      </c>
      <c r="O645">
        <v>0</v>
      </c>
      <c r="P645">
        <v>8</v>
      </c>
      <c r="Q645" s="20">
        <v>0.47042583561007562</v>
      </c>
      <c r="R645" s="21">
        <v>8.2782739175681894E-2</v>
      </c>
    </row>
    <row r="646" spans="1:18">
      <c r="A646" t="s">
        <v>1103</v>
      </c>
      <c r="B646" t="s">
        <v>74</v>
      </c>
      <c r="C646" t="s">
        <v>101</v>
      </c>
      <c r="D646">
        <v>2</v>
      </c>
      <c r="E646" t="s">
        <v>132</v>
      </c>
      <c r="F646" t="s">
        <v>1104</v>
      </c>
      <c r="G646" t="s">
        <v>744</v>
      </c>
      <c r="H646" s="16">
        <v>383029</v>
      </c>
      <c r="I646" s="16">
        <v>148235</v>
      </c>
      <c r="J646" s="16">
        <v>212561</v>
      </c>
      <c r="K646" s="16">
        <v>309384</v>
      </c>
      <c r="L646" s="16">
        <v>278556</v>
      </c>
      <c r="M646" s="16">
        <v>73645</v>
      </c>
      <c r="N646" s="16">
        <v>4531</v>
      </c>
      <c r="O646">
        <v>0</v>
      </c>
      <c r="P646">
        <v>8</v>
      </c>
      <c r="Q646" s="20">
        <v>0.38700725010377807</v>
      </c>
      <c r="R646" s="21">
        <v>6.1524882884106187E-2</v>
      </c>
    </row>
    <row r="647" spans="1:18">
      <c r="A647" t="s">
        <v>1105</v>
      </c>
      <c r="B647" t="s">
        <v>74</v>
      </c>
      <c r="C647" t="s">
        <v>104</v>
      </c>
      <c r="D647">
        <v>2</v>
      </c>
      <c r="E647" t="s">
        <v>132</v>
      </c>
      <c r="F647" t="s">
        <v>1106</v>
      </c>
      <c r="G647" t="s">
        <v>206</v>
      </c>
      <c r="H647" s="16">
        <v>381553</v>
      </c>
      <c r="I647" s="16">
        <v>208639</v>
      </c>
      <c r="J647" s="16">
        <v>17775</v>
      </c>
      <c r="K647" s="16">
        <v>321224</v>
      </c>
      <c r="L647" s="16">
        <v>207678</v>
      </c>
      <c r="M647" s="16">
        <v>60329</v>
      </c>
      <c r="N647" s="16">
        <v>910</v>
      </c>
      <c r="O647">
        <v>0</v>
      </c>
      <c r="P647">
        <v>13</v>
      </c>
      <c r="Q647" s="20">
        <v>0.54681525240268058</v>
      </c>
      <c r="R647" s="21">
        <v>1.508395630625404E-2</v>
      </c>
    </row>
    <row r="648" spans="1:18">
      <c r="A648" t="s">
        <v>1107</v>
      </c>
      <c r="B648" t="s">
        <v>74</v>
      </c>
      <c r="C648" t="s">
        <v>104</v>
      </c>
      <c r="D648">
        <v>2</v>
      </c>
      <c r="E648" t="s">
        <v>132</v>
      </c>
      <c r="F648" t="s">
        <v>1108</v>
      </c>
      <c r="G648" t="s">
        <v>198</v>
      </c>
      <c r="H648" s="16">
        <v>380829</v>
      </c>
      <c r="I648" s="16">
        <v>147244</v>
      </c>
      <c r="J648" s="16">
        <v>16465</v>
      </c>
      <c r="K648" s="16">
        <v>311666</v>
      </c>
      <c r="L648" s="16">
        <v>297408</v>
      </c>
      <c r="M648" s="16">
        <v>69164</v>
      </c>
      <c r="N648" s="16">
        <v>8726</v>
      </c>
      <c r="O648">
        <v>0</v>
      </c>
      <c r="P648">
        <v>10</v>
      </c>
      <c r="Q648" s="20">
        <v>0.3866407232642472</v>
      </c>
      <c r="R648" s="21">
        <v>0.12616390029495114</v>
      </c>
    </row>
    <row r="649" spans="1:18">
      <c r="A649" t="s">
        <v>1109</v>
      </c>
      <c r="B649" t="s">
        <v>74</v>
      </c>
      <c r="C649" t="s">
        <v>104</v>
      </c>
      <c r="D649">
        <v>2</v>
      </c>
      <c r="E649" t="s">
        <v>132</v>
      </c>
      <c r="F649" t="s">
        <v>1110</v>
      </c>
      <c r="G649" t="s">
        <v>153</v>
      </c>
      <c r="H649" s="16">
        <v>378912</v>
      </c>
      <c r="I649" s="16">
        <v>229009</v>
      </c>
      <c r="J649" s="16">
        <v>15238</v>
      </c>
      <c r="K649" s="16">
        <v>331658</v>
      </c>
      <c r="L649" s="16">
        <v>220410</v>
      </c>
      <c r="M649" s="16">
        <v>47254</v>
      </c>
      <c r="N649" s="16">
        <v>2417</v>
      </c>
      <c r="O649">
        <v>0</v>
      </c>
      <c r="P649">
        <v>5</v>
      </c>
      <c r="Q649" s="20">
        <v>0.60438571488894521</v>
      </c>
      <c r="R649" s="21">
        <v>5.1149109070131628E-2</v>
      </c>
    </row>
    <row r="650" spans="1:18">
      <c r="A650" t="s">
        <v>1111</v>
      </c>
      <c r="B650" t="s">
        <v>74</v>
      </c>
      <c r="C650" t="s">
        <v>104</v>
      </c>
      <c r="D650">
        <v>2</v>
      </c>
      <c r="E650" t="s">
        <v>132</v>
      </c>
      <c r="F650" t="s">
        <v>1112</v>
      </c>
      <c r="G650" t="s">
        <v>206</v>
      </c>
      <c r="H650" s="16">
        <v>378720</v>
      </c>
      <c r="I650" s="16">
        <v>204680</v>
      </c>
      <c r="J650" s="16">
        <v>112995</v>
      </c>
      <c r="K650" s="16">
        <v>303610</v>
      </c>
      <c r="L650" s="16">
        <v>289037</v>
      </c>
      <c r="M650" s="16">
        <v>75110</v>
      </c>
      <c r="N650" s="16">
        <v>1322</v>
      </c>
      <c r="O650">
        <v>0</v>
      </c>
      <c r="P650">
        <v>17</v>
      </c>
      <c r="Q650" s="20">
        <v>0.54045204900718213</v>
      </c>
      <c r="R650" s="21">
        <v>1.7600852083610705E-2</v>
      </c>
    </row>
    <row r="651" spans="1:18">
      <c r="A651" t="s">
        <v>1113</v>
      </c>
      <c r="B651" t="s">
        <v>86</v>
      </c>
      <c r="C651" t="s">
        <v>101</v>
      </c>
      <c r="D651">
        <v>3</v>
      </c>
      <c r="E651" t="s">
        <v>143</v>
      </c>
      <c r="F651" t="s">
        <v>145</v>
      </c>
      <c r="G651" t="s">
        <v>146</v>
      </c>
      <c r="H651" s="16">
        <v>370283</v>
      </c>
      <c r="I651" s="16">
        <v>0</v>
      </c>
      <c r="J651" s="16">
        <v>206223</v>
      </c>
      <c r="K651" s="16">
        <v>103678</v>
      </c>
      <c r="L651" s="16">
        <v>1444</v>
      </c>
      <c r="M651" s="16">
        <v>266605</v>
      </c>
      <c r="N651" s="16">
        <v>22646</v>
      </c>
      <c r="O651">
        <v>3</v>
      </c>
      <c r="P651">
        <v>0</v>
      </c>
      <c r="Q651" s="20">
        <v>0</v>
      </c>
      <c r="R651" s="21">
        <v>8.4942142870538806E-2</v>
      </c>
    </row>
    <row r="652" spans="1:18">
      <c r="A652" t="s">
        <v>1114</v>
      </c>
      <c r="B652" t="s">
        <v>83</v>
      </c>
      <c r="C652" t="s">
        <v>104</v>
      </c>
      <c r="D652">
        <v>3</v>
      </c>
      <c r="E652" t="s">
        <v>143</v>
      </c>
      <c r="F652" t="s">
        <v>133</v>
      </c>
      <c r="G652" t="s">
        <v>134</v>
      </c>
      <c r="H652" s="16">
        <v>370005</v>
      </c>
      <c r="I652" s="16">
        <v>45884</v>
      </c>
      <c r="J652" s="16">
        <v>102552</v>
      </c>
      <c r="K652" s="16">
        <v>260376</v>
      </c>
      <c r="L652" s="16">
        <v>156904</v>
      </c>
      <c r="M652" s="16">
        <v>109628</v>
      </c>
      <c r="N652" s="16">
        <v>55</v>
      </c>
      <c r="O652">
        <v>2</v>
      </c>
      <c r="P652">
        <v>0</v>
      </c>
      <c r="Q652" s="20">
        <v>0.12400913501168903</v>
      </c>
      <c r="R652" s="21">
        <v>5.0169664684204763E-4</v>
      </c>
    </row>
    <row r="653" spans="1:18">
      <c r="A653" t="s">
        <v>1115</v>
      </c>
      <c r="B653" t="s">
        <v>74</v>
      </c>
      <c r="C653" t="s">
        <v>101</v>
      </c>
      <c r="D653">
        <v>2</v>
      </c>
      <c r="E653" t="s">
        <v>132</v>
      </c>
      <c r="F653" t="s">
        <v>1116</v>
      </c>
      <c r="G653" t="s">
        <v>198</v>
      </c>
      <c r="H653" s="16">
        <v>369319</v>
      </c>
      <c r="I653" s="16">
        <v>156450</v>
      </c>
      <c r="J653" s="16">
        <v>149898</v>
      </c>
      <c r="K653" s="16">
        <v>320017</v>
      </c>
      <c r="L653" s="16">
        <v>253477</v>
      </c>
      <c r="M653" s="16">
        <v>49302</v>
      </c>
      <c r="N653" s="16">
        <v>793</v>
      </c>
      <c r="O653">
        <v>0</v>
      </c>
      <c r="P653">
        <v>7</v>
      </c>
      <c r="Q653" s="20">
        <v>0.42361752306271816</v>
      </c>
      <c r="R653" s="21">
        <v>1.6084540180925724E-2</v>
      </c>
    </row>
    <row r="654" spans="1:18">
      <c r="A654" t="s">
        <v>1117</v>
      </c>
      <c r="B654" t="s">
        <v>83</v>
      </c>
      <c r="C654" t="s">
        <v>101</v>
      </c>
      <c r="D654">
        <v>1</v>
      </c>
      <c r="E654" t="s">
        <v>136</v>
      </c>
      <c r="F654" t="s">
        <v>1118</v>
      </c>
      <c r="G654" t="s">
        <v>1119</v>
      </c>
      <c r="H654" s="16">
        <v>367623</v>
      </c>
      <c r="I654" s="16">
        <v>36329</v>
      </c>
      <c r="J654" s="16">
        <v>312303</v>
      </c>
      <c r="K654" s="16">
        <v>212345</v>
      </c>
      <c r="L654" s="16">
        <v>0</v>
      </c>
      <c r="M654" s="16">
        <v>155278</v>
      </c>
      <c r="N654" s="16">
        <v>10606</v>
      </c>
      <c r="O654">
        <v>2</v>
      </c>
      <c r="P654">
        <v>0</v>
      </c>
      <c r="Q654" s="20">
        <v>9.8821346868939106E-2</v>
      </c>
      <c r="R654" s="21">
        <v>6.8303301175955386E-2</v>
      </c>
    </row>
    <row r="655" spans="1:18">
      <c r="A655" t="s">
        <v>1120</v>
      </c>
      <c r="B655" t="s">
        <v>83</v>
      </c>
      <c r="C655" t="s">
        <v>104</v>
      </c>
      <c r="D655">
        <v>2</v>
      </c>
      <c r="E655" t="s">
        <v>132</v>
      </c>
      <c r="F655" t="s">
        <v>210</v>
      </c>
      <c r="G655" t="s">
        <v>211</v>
      </c>
      <c r="H655" s="16">
        <v>367063</v>
      </c>
      <c r="I655" s="16">
        <v>288262</v>
      </c>
      <c r="J655" s="16">
        <v>0</v>
      </c>
      <c r="K655" s="16">
        <v>285061</v>
      </c>
      <c r="L655" s="16">
        <v>266487</v>
      </c>
      <c r="M655" s="16">
        <v>82002</v>
      </c>
      <c r="N655" s="16">
        <v>16772</v>
      </c>
      <c r="O655">
        <v>2</v>
      </c>
      <c r="P655">
        <v>0</v>
      </c>
      <c r="Q655" s="20">
        <v>0.78532023113198557</v>
      </c>
      <c r="R655" s="21">
        <v>0.20453159679032218</v>
      </c>
    </row>
    <row r="656" spans="1:18">
      <c r="A656" t="s">
        <v>1121</v>
      </c>
      <c r="B656" t="s">
        <v>74</v>
      </c>
      <c r="C656" t="s">
        <v>104</v>
      </c>
      <c r="D656">
        <v>2</v>
      </c>
      <c r="E656" t="s">
        <v>132</v>
      </c>
      <c r="F656" t="s">
        <v>1122</v>
      </c>
      <c r="G656" t="s">
        <v>198</v>
      </c>
      <c r="H656" s="16">
        <v>365232</v>
      </c>
      <c r="I656" s="16">
        <v>237219</v>
      </c>
      <c r="J656" s="16">
        <v>12987</v>
      </c>
      <c r="K656" s="16">
        <v>312039</v>
      </c>
      <c r="L656" s="16">
        <v>283273</v>
      </c>
      <c r="M656" s="16">
        <v>53192</v>
      </c>
      <c r="N656" s="16">
        <v>3840</v>
      </c>
      <c r="O656">
        <v>0</v>
      </c>
      <c r="P656">
        <v>11</v>
      </c>
      <c r="Q656" s="20">
        <v>0.64950223419634645</v>
      </c>
      <c r="R656" s="21">
        <v>7.2191306963453147E-2</v>
      </c>
    </row>
    <row r="657" spans="1:18">
      <c r="A657" t="s">
        <v>1123</v>
      </c>
      <c r="B657" t="s">
        <v>74</v>
      </c>
      <c r="C657" t="s">
        <v>104</v>
      </c>
      <c r="D657">
        <v>2</v>
      </c>
      <c r="E657" t="s">
        <v>132</v>
      </c>
      <c r="F657" t="s">
        <v>1124</v>
      </c>
      <c r="G657" t="s">
        <v>286</v>
      </c>
      <c r="H657" s="16">
        <v>362440</v>
      </c>
      <c r="I657" s="16">
        <v>191527</v>
      </c>
      <c r="J657" s="16">
        <v>23950</v>
      </c>
      <c r="K657" s="16">
        <v>255977</v>
      </c>
      <c r="L657" s="16">
        <v>228955</v>
      </c>
      <c r="M657" s="16">
        <v>106462</v>
      </c>
      <c r="N657" s="16">
        <v>-7187</v>
      </c>
      <c r="O657">
        <v>0</v>
      </c>
      <c r="P657">
        <v>10</v>
      </c>
      <c r="Q657" s="20">
        <v>0.52843781039620352</v>
      </c>
      <c r="R657" s="21">
        <v>-6.7507655313633036E-2</v>
      </c>
    </row>
    <row r="658" spans="1:18">
      <c r="A658" t="s">
        <v>1125</v>
      </c>
      <c r="B658" t="s">
        <v>89</v>
      </c>
      <c r="C658" t="s">
        <v>162</v>
      </c>
      <c r="D658">
        <v>2</v>
      </c>
      <c r="E658" t="s">
        <v>132</v>
      </c>
      <c r="F658" t="s">
        <v>783</v>
      </c>
      <c r="G658" t="s">
        <v>744</v>
      </c>
      <c r="H658" s="16">
        <v>360182</v>
      </c>
      <c r="I658" s="16">
        <v>0</v>
      </c>
      <c r="J658" s="16">
        <v>0</v>
      </c>
      <c r="K658" s="16">
        <v>346549</v>
      </c>
      <c r="L658" s="16">
        <v>337999</v>
      </c>
      <c r="M658" s="16">
        <v>13633</v>
      </c>
      <c r="N658" s="16">
        <v>-1699</v>
      </c>
      <c r="O658">
        <v>1</v>
      </c>
      <c r="P658">
        <v>0</v>
      </c>
      <c r="Q658" s="20">
        <v>0</v>
      </c>
      <c r="R658" s="21">
        <v>-0.1246240739382381</v>
      </c>
    </row>
    <row r="659" spans="1:18">
      <c r="A659" t="s">
        <v>1126</v>
      </c>
      <c r="B659" t="s">
        <v>74</v>
      </c>
      <c r="C659" t="s">
        <v>104</v>
      </c>
      <c r="D659">
        <v>2</v>
      </c>
      <c r="E659" t="s">
        <v>132</v>
      </c>
      <c r="F659" t="s">
        <v>137</v>
      </c>
      <c r="G659" t="s">
        <v>138</v>
      </c>
      <c r="H659" s="16">
        <v>359006</v>
      </c>
      <c r="I659" s="16">
        <v>130573</v>
      </c>
      <c r="J659" s="16">
        <v>36251</v>
      </c>
      <c r="K659" s="16">
        <v>286599</v>
      </c>
      <c r="L659" s="16">
        <v>276510</v>
      </c>
      <c r="M659" s="16">
        <v>72407</v>
      </c>
      <c r="N659" s="16">
        <v>-59</v>
      </c>
      <c r="O659">
        <v>0</v>
      </c>
      <c r="P659">
        <v>8</v>
      </c>
      <c r="Q659" s="20">
        <v>0.36370701325326038</v>
      </c>
      <c r="R659" s="21">
        <v>-8.1483834435897083E-4</v>
      </c>
    </row>
    <row r="660" spans="1:18">
      <c r="A660" t="s">
        <v>1127</v>
      </c>
      <c r="B660" t="s">
        <v>83</v>
      </c>
      <c r="C660" t="s">
        <v>104</v>
      </c>
      <c r="D660">
        <v>2</v>
      </c>
      <c r="E660" t="s">
        <v>132</v>
      </c>
      <c r="F660" t="s">
        <v>205</v>
      </c>
      <c r="G660" t="s">
        <v>206</v>
      </c>
      <c r="H660" s="16">
        <v>358257</v>
      </c>
      <c r="I660" s="16">
        <v>288407</v>
      </c>
      <c r="J660" s="16">
        <v>6</v>
      </c>
      <c r="K660" s="16">
        <v>218919</v>
      </c>
      <c r="L660" s="16">
        <v>203839</v>
      </c>
      <c r="M660" s="16">
        <v>139338</v>
      </c>
      <c r="N660" s="16">
        <v>4227</v>
      </c>
      <c r="O660">
        <v>6</v>
      </c>
      <c r="P660">
        <v>0</v>
      </c>
      <c r="Q660" s="20">
        <v>0.80502823392145861</v>
      </c>
      <c r="R660" s="21">
        <v>3.0336304525685743E-2</v>
      </c>
    </row>
    <row r="661" spans="1:18">
      <c r="A661" t="s">
        <v>1128</v>
      </c>
      <c r="B661" t="s">
        <v>89</v>
      </c>
      <c r="C661" t="s">
        <v>162</v>
      </c>
      <c r="D661">
        <v>3</v>
      </c>
      <c r="E661" t="s">
        <v>143</v>
      </c>
      <c r="F661" t="s">
        <v>133</v>
      </c>
      <c r="G661" t="s">
        <v>134</v>
      </c>
      <c r="H661" s="16">
        <v>357225</v>
      </c>
      <c r="I661" s="16">
        <v>0</v>
      </c>
      <c r="J661" s="16">
        <v>277484</v>
      </c>
      <c r="K661" s="16">
        <v>263548</v>
      </c>
      <c r="L661" s="16">
        <v>97606</v>
      </c>
      <c r="M661" s="16">
        <v>93677</v>
      </c>
      <c r="N661" s="16">
        <v>16845</v>
      </c>
      <c r="O661">
        <v>1</v>
      </c>
      <c r="P661">
        <v>0</v>
      </c>
      <c r="Q661" s="20">
        <v>0</v>
      </c>
      <c r="R661" s="21">
        <v>0.17982001985546078</v>
      </c>
    </row>
    <row r="662" spans="1:18">
      <c r="A662" t="s">
        <v>1129</v>
      </c>
      <c r="B662" t="s">
        <v>74</v>
      </c>
      <c r="C662" t="s">
        <v>104</v>
      </c>
      <c r="D662">
        <v>2</v>
      </c>
      <c r="E662" t="s">
        <v>132</v>
      </c>
      <c r="F662" t="s">
        <v>1130</v>
      </c>
      <c r="G662" t="s">
        <v>250</v>
      </c>
      <c r="H662" s="16">
        <v>354967</v>
      </c>
      <c r="I662" s="16">
        <v>269241</v>
      </c>
      <c r="J662" s="16">
        <v>5096</v>
      </c>
      <c r="K662" s="16">
        <v>317606</v>
      </c>
      <c r="L662" s="16">
        <v>205589</v>
      </c>
      <c r="M662" s="16">
        <v>37361</v>
      </c>
      <c r="N662" s="16">
        <v>-3938</v>
      </c>
      <c r="O662">
        <v>0</v>
      </c>
      <c r="P662">
        <v>17</v>
      </c>
      <c r="Q662" s="20">
        <v>0.75849586017855186</v>
      </c>
      <c r="R662" s="21">
        <v>-0.10540403094135596</v>
      </c>
    </row>
    <row r="663" spans="1:18">
      <c r="A663" t="s">
        <v>1131</v>
      </c>
      <c r="B663" t="s">
        <v>74</v>
      </c>
      <c r="C663" t="s">
        <v>104</v>
      </c>
      <c r="D663">
        <v>2</v>
      </c>
      <c r="E663" t="s">
        <v>132</v>
      </c>
      <c r="F663" t="s">
        <v>1132</v>
      </c>
      <c r="G663" t="s">
        <v>206</v>
      </c>
      <c r="H663" s="16">
        <v>353490</v>
      </c>
      <c r="I663" s="16">
        <v>249888</v>
      </c>
      <c r="J663" s="16">
        <v>18485</v>
      </c>
      <c r="K663" s="16">
        <v>299063</v>
      </c>
      <c r="L663" s="16">
        <v>159413</v>
      </c>
      <c r="M663" s="16">
        <v>54426</v>
      </c>
      <c r="N663" s="16">
        <v>2756</v>
      </c>
      <c r="O663">
        <v>0</v>
      </c>
      <c r="P663">
        <v>8</v>
      </c>
      <c r="Q663" s="20">
        <v>0.70691674446236108</v>
      </c>
      <c r="R663" s="21">
        <v>5.0637562929482231E-2</v>
      </c>
    </row>
    <row r="664" spans="1:18">
      <c r="A664" t="s">
        <v>1133</v>
      </c>
      <c r="B664" t="s">
        <v>71</v>
      </c>
      <c r="C664" t="s">
        <v>101</v>
      </c>
      <c r="D664">
        <v>2</v>
      </c>
      <c r="E664" t="s">
        <v>132</v>
      </c>
      <c r="F664" t="s">
        <v>210</v>
      </c>
      <c r="G664" t="s">
        <v>211</v>
      </c>
      <c r="H664" s="16">
        <v>352776</v>
      </c>
      <c r="I664" s="16">
        <v>0</v>
      </c>
      <c r="J664" s="16">
        <v>173646</v>
      </c>
      <c r="K664" s="16">
        <v>274713</v>
      </c>
      <c r="L664" s="16">
        <v>149159</v>
      </c>
      <c r="M664" s="16">
        <v>78063</v>
      </c>
      <c r="N664" s="16">
        <v>5414</v>
      </c>
      <c r="O664">
        <v>3</v>
      </c>
      <c r="P664">
        <v>0</v>
      </c>
      <c r="Q664" s="20">
        <v>0</v>
      </c>
      <c r="R664" s="21">
        <v>6.9354239524486633E-2</v>
      </c>
    </row>
    <row r="665" spans="1:18">
      <c r="A665" t="s">
        <v>1134</v>
      </c>
      <c r="B665" t="s">
        <v>74</v>
      </c>
      <c r="C665" t="s">
        <v>101</v>
      </c>
      <c r="D665">
        <v>2</v>
      </c>
      <c r="E665" t="s">
        <v>132</v>
      </c>
      <c r="F665" t="s">
        <v>210</v>
      </c>
      <c r="G665" t="s">
        <v>211</v>
      </c>
      <c r="H665" s="16">
        <v>352468</v>
      </c>
      <c r="I665" s="16">
        <v>128232</v>
      </c>
      <c r="J665" s="16">
        <v>200751</v>
      </c>
      <c r="K665" s="16">
        <v>319935</v>
      </c>
      <c r="L665" s="16">
        <v>286930</v>
      </c>
      <c r="M665" s="16">
        <v>32533</v>
      </c>
      <c r="N665" s="16">
        <v>3544</v>
      </c>
      <c r="O665">
        <v>0</v>
      </c>
      <c r="P665">
        <v>5</v>
      </c>
      <c r="Q665" s="20">
        <v>0.36381175028655083</v>
      </c>
      <c r="R665" s="21">
        <v>0.10893554237236037</v>
      </c>
    </row>
    <row r="666" spans="1:18">
      <c r="A666" t="s">
        <v>1135</v>
      </c>
      <c r="B666" t="s">
        <v>74</v>
      </c>
      <c r="C666" t="s">
        <v>104</v>
      </c>
      <c r="D666">
        <v>2</v>
      </c>
      <c r="E666" t="s">
        <v>132</v>
      </c>
      <c r="F666" t="s">
        <v>1136</v>
      </c>
      <c r="G666" t="s">
        <v>169</v>
      </c>
      <c r="H666" s="16">
        <v>352106</v>
      </c>
      <c r="I666" s="16">
        <v>113662</v>
      </c>
      <c r="J666" s="16">
        <v>8823</v>
      </c>
      <c r="K666" s="16">
        <v>283231</v>
      </c>
      <c r="L666" s="16">
        <v>250826</v>
      </c>
      <c r="M666" s="16">
        <v>68874</v>
      </c>
      <c r="N666" s="16">
        <v>5401</v>
      </c>
      <c r="O666">
        <v>0</v>
      </c>
      <c r="P666">
        <v>3</v>
      </c>
      <c r="Q666" s="20">
        <v>0.32280620040555968</v>
      </c>
      <c r="R666" s="21">
        <v>7.8418561431018968E-2</v>
      </c>
    </row>
    <row r="667" spans="1:18">
      <c r="A667" t="s">
        <v>1137</v>
      </c>
      <c r="B667" t="s">
        <v>83</v>
      </c>
      <c r="C667" t="s">
        <v>101</v>
      </c>
      <c r="D667">
        <v>2</v>
      </c>
      <c r="E667" t="s">
        <v>132</v>
      </c>
      <c r="F667" t="s">
        <v>553</v>
      </c>
      <c r="G667" t="s">
        <v>169</v>
      </c>
      <c r="H667" s="16">
        <v>351933</v>
      </c>
      <c r="I667" s="16">
        <v>254</v>
      </c>
      <c r="J667" s="16">
        <v>287610</v>
      </c>
      <c r="K667" s="16">
        <v>305485</v>
      </c>
      <c r="L667" s="16">
        <v>248814</v>
      </c>
      <c r="M667" s="16">
        <v>46448</v>
      </c>
      <c r="N667" s="16">
        <v>503</v>
      </c>
      <c r="O667">
        <v>3</v>
      </c>
      <c r="P667">
        <v>0</v>
      </c>
      <c r="Q667" s="20">
        <v>7.217282835085087E-4</v>
      </c>
      <c r="R667" s="21">
        <v>1.0829314502239062E-2</v>
      </c>
    </row>
    <row r="668" spans="1:18">
      <c r="A668" t="s">
        <v>1138</v>
      </c>
      <c r="B668" t="s">
        <v>74</v>
      </c>
      <c r="C668" t="s">
        <v>104</v>
      </c>
      <c r="D668">
        <v>2</v>
      </c>
      <c r="E668" t="s">
        <v>132</v>
      </c>
      <c r="F668" t="s">
        <v>152</v>
      </c>
      <c r="G668" t="s">
        <v>153</v>
      </c>
      <c r="H668" s="16">
        <v>351349</v>
      </c>
      <c r="I668" s="16">
        <v>103767</v>
      </c>
      <c r="J668" s="16">
        <v>5563</v>
      </c>
      <c r="K668" s="16">
        <v>316455</v>
      </c>
      <c r="L668" s="16">
        <v>284970</v>
      </c>
      <c r="M668" s="16">
        <v>34894</v>
      </c>
      <c r="N668" s="16">
        <v>5600</v>
      </c>
      <c r="O668">
        <v>0</v>
      </c>
      <c r="P668">
        <v>1</v>
      </c>
      <c r="Q668" s="20">
        <v>0.2953388226521208</v>
      </c>
      <c r="R668" s="21">
        <v>0.16048604344586462</v>
      </c>
    </row>
    <row r="669" spans="1:18">
      <c r="A669" t="s">
        <v>1139</v>
      </c>
      <c r="B669" t="s">
        <v>89</v>
      </c>
      <c r="C669" t="s">
        <v>101</v>
      </c>
      <c r="D669">
        <v>2</v>
      </c>
      <c r="E669" t="s">
        <v>132</v>
      </c>
      <c r="F669" t="s">
        <v>1140</v>
      </c>
      <c r="G669" t="s">
        <v>206</v>
      </c>
      <c r="H669" s="16">
        <v>346363</v>
      </c>
      <c r="I669" s="16">
        <v>203899</v>
      </c>
      <c r="J669" s="16">
        <v>72366</v>
      </c>
      <c r="K669" s="16">
        <v>251084</v>
      </c>
      <c r="L669" s="16">
        <v>6734</v>
      </c>
      <c r="M669" s="16">
        <v>95279</v>
      </c>
      <c r="N669" s="16">
        <v>-1496</v>
      </c>
      <c r="O669">
        <v>1</v>
      </c>
      <c r="P669">
        <v>0</v>
      </c>
      <c r="Q669" s="20">
        <v>0.58868585847795518</v>
      </c>
      <c r="R669" s="21">
        <v>-1.5701256310414677E-2</v>
      </c>
    </row>
    <row r="670" spans="1:18">
      <c r="A670" t="s">
        <v>1141</v>
      </c>
      <c r="B670" t="s">
        <v>68</v>
      </c>
      <c r="C670" t="s">
        <v>101</v>
      </c>
      <c r="D670">
        <v>3</v>
      </c>
      <c r="E670" t="s">
        <v>143</v>
      </c>
      <c r="F670" t="s">
        <v>133</v>
      </c>
      <c r="G670" t="s">
        <v>134</v>
      </c>
      <c r="H670" s="16">
        <v>345614</v>
      </c>
      <c r="I670" s="16">
        <v>0</v>
      </c>
      <c r="J670" s="16">
        <v>119807</v>
      </c>
      <c r="K670" s="16">
        <v>108230</v>
      </c>
      <c r="L670" s="16">
        <v>28003</v>
      </c>
      <c r="M670" s="16">
        <v>237385</v>
      </c>
      <c r="N670" s="16">
        <v>19515</v>
      </c>
      <c r="O670">
        <v>4</v>
      </c>
      <c r="P670">
        <v>0</v>
      </c>
      <c r="Q670" s="20">
        <v>0</v>
      </c>
      <c r="R670" s="21">
        <v>8.2208227141563284E-2</v>
      </c>
    </row>
    <row r="671" spans="1:18">
      <c r="A671" t="s">
        <v>1142</v>
      </c>
      <c r="B671" t="s">
        <v>89</v>
      </c>
      <c r="C671" t="s">
        <v>162</v>
      </c>
      <c r="D671">
        <v>3</v>
      </c>
      <c r="E671" t="s">
        <v>143</v>
      </c>
      <c r="F671" t="s">
        <v>133</v>
      </c>
      <c r="G671" t="s">
        <v>134</v>
      </c>
      <c r="H671" s="16">
        <v>342801</v>
      </c>
      <c r="I671" s="16">
        <v>0</v>
      </c>
      <c r="J671" s="16">
        <v>0</v>
      </c>
      <c r="K671" s="16">
        <v>251590</v>
      </c>
      <c r="L671" s="16">
        <v>194284</v>
      </c>
      <c r="M671" s="16">
        <v>91211</v>
      </c>
      <c r="N671" s="16">
        <v>1897</v>
      </c>
      <c r="O671">
        <v>1</v>
      </c>
      <c r="P671">
        <v>0</v>
      </c>
      <c r="Q671" s="20">
        <v>0</v>
      </c>
      <c r="R671" s="21">
        <v>2.0797930074223505E-2</v>
      </c>
    </row>
    <row r="672" spans="1:18">
      <c r="A672" t="s">
        <v>1143</v>
      </c>
      <c r="B672" t="s">
        <v>74</v>
      </c>
      <c r="C672" t="s">
        <v>104</v>
      </c>
      <c r="D672">
        <v>2</v>
      </c>
      <c r="E672" t="s">
        <v>132</v>
      </c>
      <c r="F672" t="s">
        <v>1144</v>
      </c>
      <c r="G672" t="s">
        <v>211</v>
      </c>
      <c r="H672" s="16">
        <v>341705</v>
      </c>
      <c r="I672" s="16">
        <v>166712</v>
      </c>
      <c r="J672" s="16">
        <v>6044</v>
      </c>
      <c r="K672" s="16">
        <v>302559</v>
      </c>
      <c r="L672" s="16">
        <v>286431</v>
      </c>
      <c r="M672" s="16">
        <v>39146</v>
      </c>
      <c r="N672" s="16">
        <v>3660</v>
      </c>
      <c r="O672">
        <v>0</v>
      </c>
      <c r="P672">
        <v>7</v>
      </c>
      <c r="Q672" s="20">
        <v>0.48788282290279628</v>
      </c>
      <c r="R672" s="21">
        <v>9.349614264548102E-2</v>
      </c>
    </row>
    <row r="673" spans="1:18">
      <c r="A673" t="s">
        <v>1145</v>
      </c>
      <c r="B673" t="s">
        <v>74</v>
      </c>
      <c r="C673" t="s">
        <v>104</v>
      </c>
      <c r="D673">
        <v>2</v>
      </c>
      <c r="E673" t="s">
        <v>132</v>
      </c>
      <c r="F673" t="s">
        <v>1146</v>
      </c>
      <c r="G673" t="s">
        <v>169</v>
      </c>
      <c r="H673" s="16">
        <v>340770</v>
      </c>
      <c r="I673" s="16">
        <v>222021</v>
      </c>
      <c r="J673" s="16">
        <v>13914</v>
      </c>
      <c r="K673" s="16">
        <v>292341</v>
      </c>
      <c r="L673" s="16">
        <v>185140</v>
      </c>
      <c r="M673" s="16">
        <v>48429</v>
      </c>
      <c r="N673" s="16">
        <v>3149</v>
      </c>
      <c r="O673">
        <v>0</v>
      </c>
      <c r="P673">
        <v>1</v>
      </c>
      <c r="Q673" s="20">
        <v>0.65152742318866097</v>
      </c>
      <c r="R673" s="21">
        <v>6.5023023395073196E-2</v>
      </c>
    </row>
    <row r="674" spans="1:18">
      <c r="A674" t="s">
        <v>1147</v>
      </c>
      <c r="B674" t="s">
        <v>89</v>
      </c>
      <c r="C674" t="s">
        <v>162</v>
      </c>
      <c r="D674">
        <v>2</v>
      </c>
      <c r="E674" t="s">
        <v>132</v>
      </c>
      <c r="F674" t="s">
        <v>172</v>
      </c>
      <c r="G674" t="s">
        <v>173</v>
      </c>
      <c r="H674" s="16">
        <v>340340</v>
      </c>
      <c r="I674" s="16">
        <v>0</v>
      </c>
      <c r="J674" s="16">
        <v>144677</v>
      </c>
      <c r="K674" s="16">
        <v>274037</v>
      </c>
      <c r="L674" s="16">
        <v>111168</v>
      </c>
      <c r="M674" s="16">
        <v>66303</v>
      </c>
      <c r="N674" s="16">
        <v>-44658</v>
      </c>
      <c r="O674">
        <v>1</v>
      </c>
      <c r="P674">
        <v>0</v>
      </c>
      <c r="Q674" s="20">
        <v>0</v>
      </c>
      <c r="R674" s="21">
        <v>-0.67354418352110768</v>
      </c>
    </row>
    <row r="675" spans="1:18">
      <c r="A675" t="s">
        <v>1148</v>
      </c>
      <c r="B675" t="s">
        <v>74</v>
      </c>
      <c r="C675" t="s">
        <v>104</v>
      </c>
      <c r="D675">
        <v>2</v>
      </c>
      <c r="E675" t="s">
        <v>132</v>
      </c>
      <c r="F675" t="s">
        <v>1149</v>
      </c>
      <c r="G675" t="s">
        <v>206</v>
      </c>
      <c r="H675" s="16">
        <v>339655</v>
      </c>
      <c r="I675" s="16">
        <v>184257</v>
      </c>
      <c r="J675" s="16">
        <v>4548</v>
      </c>
      <c r="K675" s="16">
        <v>311207</v>
      </c>
      <c r="L675" s="16">
        <v>292246</v>
      </c>
      <c r="M675" s="16">
        <v>28448</v>
      </c>
      <c r="N675" s="16">
        <v>68</v>
      </c>
      <c r="O675">
        <v>0</v>
      </c>
      <c r="P675">
        <v>8</v>
      </c>
      <c r="Q675" s="20">
        <v>0.54248281344305249</v>
      </c>
      <c r="R675" s="21">
        <v>2.3903262092238469E-3</v>
      </c>
    </row>
    <row r="676" spans="1:18">
      <c r="A676" t="s">
        <v>1150</v>
      </c>
      <c r="B676" t="s">
        <v>74</v>
      </c>
      <c r="C676" t="s">
        <v>104</v>
      </c>
      <c r="D676">
        <v>2</v>
      </c>
      <c r="E676" t="s">
        <v>132</v>
      </c>
      <c r="F676" t="s">
        <v>1151</v>
      </c>
      <c r="G676" t="s">
        <v>134</v>
      </c>
      <c r="H676" s="16">
        <v>337722</v>
      </c>
      <c r="I676" s="16">
        <v>198122</v>
      </c>
      <c r="J676" s="16">
        <v>88821</v>
      </c>
      <c r="K676" s="16">
        <v>26660</v>
      </c>
      <c r="L676" s="16">
        <v>0</v>
      </c>
      <c r="M676" s="16">
        <v>311062</v>
      </c>
      <c r="N676" s="16">
        <v>19192</v>
      </c>
      <c r="O676">
        <v>0</v>
      </c>
      <c r="P676">
        <v>0</v>
      </c>
      <c r="Q676" s="20">
        <v>0.58664226790081786</v>
      </c>
      <c r="R676" s="21">
        <v>6.1698310947656737E-2</v>
      </c>
    </row>
    <row r="677" spans="1:18">
      <c r="A677" t="s">
        <v>1152</v>
      </c>
      <c r="B677" t="s">
        <v>74</v>
      </c>
      <c r="C677" t="s">
        <v>104</v>
      </c>
      <c r="D677">
        <v>2</v>
      </c>
      <c r="E677" t="s">
        <v>132</v>
      </c>
      <c r="F677" t="s">
        <v>223</v>
      </c>
      <c r="G677" t="s">
        <v>134</v>
      </c>
      <c r="H677" s="16">
        <v>337262</v>
      </c>
      <c r="I677" s="16">
        <v>171995</v>
      </c>
      <c r="J677" s="16">
        <v>157265</v>
      </c>
      <c r="K677" s="16">
        <v>288493</v>
      </c>
      <c r="L677" s="16">
        <v>277721</v>
      </c>
      <c r="M677" s="16">
        <v>48769</v>
      </c>
      <c r="N677" s="16">
        <v>1599</v>
      </c>
      <c r="O677">
        <v>0</v>
      </c>
      <c r="P677">
        <v>7</v>
      </c>
      <c r="Q677" s="20">
        <v>0.50997444123559721</v>
      </c>
      <c r="R677" s="21">
        <v>3.2787221390637493E-2</v>
      </c>
    </row>
    <row r="678" spans="1:18">
      <c r="A678" t="s">
        <v>1153</v>
      </c>
      <c r="B678" t="s">
        <v>83</v>
      </c>
      <c r="C678" t="s">
        <v>104</v>
      </c>
      <c r="D678">
        <v>2</v>
      </c>
      <c r="E678" t="s">
        <v>132</v>
      </c>
      <c r="F678" t="s">
        <v>190</v>
      </c>
      <c r="G678" t="s">
        <v>191</v>
      </c>
      <c r="H678" s="16">
        <v>336903</v>
      </c>
      <c r="I678" s="16">
        <v>40089</v>
      </c>
      <c r="J678" s="16">
        <v>50891</v>
      </c>
      <c r="K678" s="16">
        <v>237218</v>
      </c>
      <c r="L678" s="16">
        <v>140462</v>
      </c>
      <c r="M678" s="16">
        <v>99685</v>
      </c>
      <c r="N678" s="16">
        <v>28286</v>
      </c>
      <c r="O678">
        <v>2</v>
      </c>
      <c r="P678">
        <v>0</v>
      </c>
      <c r="Q678" s="20">
        <v>0.11899270709966964</v>
      </c>
      <c r="R678" s="21">
        <v>0.28375382454732406</v>
      </c>
    </row>
    <row r="679" spans="1:18">
      <c r="A679" t="s">
        <v>1154</v>
      </c>
      <c r="B679" t="s">
        <v>83</v>
      </c>
      <c r="C679" t="s">
        <v>101</v>
      </c>
      <c r="D679">
        <v>1</v>
      </c>
      <c r="E679" t="s">
        <v>136</v>
      </c>
      <c r="F679" t="s">
        <v>285</v>
      </c>
      <c r="G679" t="s">
        <v>286</v>
      </c>
      <c r="H679" s="16">
        <v>336749</v>
      </c>
      <c r="I679" s="16">
        <v>144825</v>
      </c>
      <c r="J679" s="16">
        <v>164777</v>
      </c>
      <c r="K679" s="16">
        <v>124004</v>
      </c>
      <c r="L679" s="16">
        <v>96980</v>
      </c>
      <c r="M679" s="16">
        <v>212745</v>
      </c>
      <c r="N679" s="16">
        <v>1046</v>
      </c>
      <c r="O679">
        <v>2</v>
      </c>
      <c r="P679">
        <v>0</v>
      </c>
      <c r="Q679" s="20">
        <v>0.43006809225862586</v>
      </c>
      <c r="R679" s="21">
        <v>4.9166842934029002E-3</v>
      </c>
    </row>
    <row r="680" spans="1:18">
      <c r="A680" t="s">
        <v>1155</v>
      </c>
      <c r="B680" t="s">
        <v>74</v>
      </c>
      <c r="C680" t="s">
        <v>104</v>
      </c>
      <c r="D680">
        <v>2</v>
      </c>
      <c r="E680" t="s">
        <v>132</v>
      </c>
      <c r="F680" t="s">
        <v>1156</v>
      </c>
      <c r="G680" t="s">
        <v>169</v>
      </c>
      <c r="H680" s="16">
        <v>335236</v>
      </c>
      <c r="I680" s="16">
        <v>199638</v>
      </c>
      <c r="J680" s="16">
        <v>6208</v>
      </c>
      <c r="K680" s="16">
        <v>295427</v>
      </c>
      <c r="L680" s="16">
        <v>251242</v>
      </c>
      <c r="M680" s="16">
        <v>39809</v>
      </c>
      <c r="N680" s="16">
        <v>3813</v>
      </c>
      <c r="O680">
        <v>0</v>
      </c>
      <c r="P680">
        <v>6</v>
      </c>
      <c r="Q680" s="20">
        <v>0.59551480151296399</v>
      </c>
      <c r="R680" s="21">
        <v>9.578236077268959E-2</v>
      </c>
    </row>
    <row r="681" spans="1:18">
      <c r="A681" t="s">
        <v>1157</v>
      </c>
      <c r="B681" t="s">
        <v>74</v>
      </c>
      <c r="C681" t="s">
        <v>104</v>
      </c>
      <c r="D681">
        <v>2</v>
      </c>
      <c r="E681" t="s">
        <v>132</v>
      </c>
      <c r="F681" t="s">
        <v>426</v>
      </c>
      <c r="G681" t="s">
        <v>206</v>
      </c>
      <c r="H681" s="16">
        <v>333262</v>
      </c>
      <c r="I681" s="16">
        <v>231698</v>
      </c>
      <c r="J681" s="16">
        <v>9821</v>
      </c>
      <c r="K681" s="16">
        <v>298928</v>
      </c>
      <c r="L681" s="16">
        <v>208961</v>
      </c>
      <c r="M681" s="16">
        <v>34334</v>
      </c>
      <c r="N681" s="16">
        <v>-154</v>
      </c>
      <c r="O681">
        <v>0</v>
      </c>
      <c r="P681">
        <v>9</v>
      </c>
      <c r="Q681" s="20">
        <v>0.6952427819553384</v>
      </c>
      <c r="R681" s="21">
        <v>-4.4853497990330286E-3</v>
      </c>
    </row>
    <row r="682" spans="1:18">
      <c r="A682" t="s">
        <v>1158</v>
      </c>
      <c r="B682" t="s">
        <v>83</v>
      </c>
      <c r="C682" t="s">
        <v>104</v>
      </c>
      <c r="D682">
        <v>3</v>
      </c>
      <c r="E682" t="s">
        <v>143</v>
      </c>
      <c r="F682" t="s">
        <v>168</v>
      </c>
      <c r="G682" t="s">
        <v>169</v>
      </c>
      <c r="H682" s="16">
        <v>329953</v>
      </c>
      <c r="I682" s="16">
        <v>0</v>
      </c>
      <c r="J682" s="16">
        <v>219806</v>
      </c>
      <c r="K682" s="16">
        <v>259793</v>
      </c>
      <c r="L682" s="16">
        <v>234955</v>
      </c>
      <c r="M682" s="16">
        <v>70160</v>
      </c>
      <c r="N682" s="16">
        <v>16759</v>
      </c>
      <c r="O682">
        <v>2</v>
      </c>
      <c r="P682">
        <v>0</v>
      </c>
      <c r="Q682" s="20">
        <v>0</v>
      </c>
      <c r="R682" s="21">
        <v>0.23886830102622578</v>
      </c>
    </row>
    <row r="683" spans="1:18">
      <c r="A683" t="s">
        <v>1159</v>
      </c>
      <c r="B683" t="s">
        <v>86</v>
      </c>
      <c r="C683" t="s">
        <v>101</v>
      </c>
      <c r="D683">
        <v>2</v>
      </c>
      <c r="E683" t="s">
        <v>132</v>
      </c>
      <c r="F683" t="s">
        <v>145</v>
      </c>
      <c r="G683" t="s">
        <v>146</v>
      </c>
      <c r="H683" s="16">
        <v>324282</v>
      </c>
      <c r="I683" s="16">
        <v>0</v>
      </c>
      <c r="J683" s="16">
        <v>283338</v>
      </c>
      <c r="K683" s="16">
        <v>120805</v>
      </c>
      <c r="L683" s="16">
        <v>27168</v>
      </c>
      <c r="M683" s="16">
        <v>203477</v>
      </c>
      <c r="N683" s="16">
        <v>5235</v>
      </c>
      <c r="O683">
        <v>2</v>
      </c>
      <c r="P683">
        <v>0</v>
      </c>
      <c r="Q683" s="20">
        <v>0</v>
      </c>
      <c r="R683" s="21">
        <v>2.5727723526491938E-2</v>
      </c>
    </row>
    <row r="684" spans="1:18">
      <c r="A684" t="s">
        <v>1160</v>
      </c>
      <c r="B684" t="s">
        <v>83</v>
      </c>
      <c r="C684" t="s">
        <v>104</v>
      </c>
      <c r="D684">
        <v>2</v>
      </c>
      <c r="E684" t="s">
        <v>132</v>
      </c>
      <c r="F684" t="s">
        <v>210</v>
      </c>
      <c r="G684" t="s">
        <v>211</v>
      </c>
      <c r="H684" s="16">
        <v>323831</v>
      </c>
      <c r="I684" s="16">
        <v>370</v>
      </c>
      <c r="J684" s="16">
        <v>313730</v>
      </c>
      <c r="K684" s="16">
        <v>310691</v>
      </c>
      <c r="L684" s="16">
        <v>305517</v>
      </c>
      <c r="M684" s="16">
        <v>13140</v>
      </c>
      <c r="N684" s="16">
        <v>1071</v>
      </c>
      <c r="O684">
        <v>2</v>
      </c>
      <c r="P684">
        <v>0</v>
      </c>
      <c r="Q684" s="20">
        <v>1.1425712794636709E-3</v>
      </c>
      <c r="R684" s="21">
        <v>8.1506849315068491E-2</v>
      </c>
    </row>
    <row r="685" spans="1:18">
      <c r="A685" t="s">
        <v>1161</v>
      </c>
      <c r="B685" t="s">
        <v>74</v>
      </c>
      <c r="C685" t="s">
        <v>104</v>
      </c>
      <c r="D685">
        <v>2</v>
      </c>
      <c r="E685" t="s">
        <v>132</v>
      </c>
      <c r="F685" t="s">
        <v>939</v>
      </c>
      <c r="G685" t="s">
        <v>169</v>
      </c>
      <c r="H685" s="16">
        <v>321735</v>
      </c>
      <c r="I685" s="16">
        <v>144447</v>
      </c>
      <c r="J685" s="16">
        <v>10197</v>
      </c>
      <c r="K685" s="16">
        <v>288534</v>
      </c>
      <c r="L685" s="16">
        <v>259601</v>
      </c>
      <c r="M685" s="16">
        <v>33201</v>
      </c>
      <c r="N685" s="16">
        <v>-2526</v>
      </c>
      <c r="O685">
        <v>0</v>
      </c>
      <c r="P685">
        <v>4</v>
      </c>
      <c r="Q685" s="20">
        <v>0.44896265560165977</v>
      </c>
      <c r="R685" s="21">
        <v>-7.6082045721514419E-2</v>
      </c>
    </row>
    <row r="686" spans="1:18">
      <c r="A686" t="s">
        <v>1162</v>
      </c>
      <c r="B686" t="s">
        <v>74</v>
      </c>
      <c r="C686" t="s">
        <v>104</v>
      </c>
      <c r="D686">
        <v>2</v>
      </c>
      <c r="E686" t="s">
        <v>132</v>
      </c>
      <c r="F686" t="s">
        <v>137</v>
      </c>
      <c r="G686" t="s">
        <v>138</v>
      </c>
      <c r="H686" s="16">
        <v>318594</v>
      </c>
      <c r="I686" s="16">
        <v>129551</v>
      </c>
      <c r="J686" s="16">
        <v>32939</v>
      </c>
      <c r="K686" s="16">
        <v>252018</v>
      </c>
      <c r="L686" s="16">
        <v>246964</v>
      </c>
      <c r="M686" s="16">
        <v>66576</v>
      </c>
      <c r="N686" s="16">
        <v>1814</v>
      </c>
      <c r="O686">
        <v>0</v>
      </c>
      <c r="P686">
        <v>12</v>
      </c>
      <c r="Q686" s="20">
        <v>0.4066335210330389</v>
      </c>
      <c r="R686" s="21">
        <v>2.7247055996154769E-2</v>
      </c>
    </row>
    <row r="687" spans="1:18">
      <c r="A687" t="s">
        <v>1163</v>
      </c>
      <c r="B687" t="s">
        <v>74</v>
      </c>
      <c r="C687" t="s">
        <v>104</v>
      </c>
      <c r="D687">
        <v>2</v>
      </c>
      <c r="E687" t="s">
        <v>132</v>
      </c>
      <c r="F687" t="s">
        <v>1164</v>
      </c>
      <c r="G687" t="s">
        <v>179</v>
      </c>
      <c r="H687" s="16">
        <v>316584</v>
      </c>
      <c r="I687" s="16">
        <v>187566</v>
      </c>
      <c r="J687" s="16">
        <v>0</v>
      </c>
      <c r="K687" s="16">
        <v>285155</v>
      </c>
      <c r="L687" s="16">
        <v>241811</v>
      </c>
      <c r="M687" s="16">
        <v>31429</v>
      </c>
      <c r="N687" s="16">
        <v>559</v>
      </c>
      <c r="O687">
        <v>0</v>
      </c>
      <c r="P687">
        <v>12</v>
      </c>
      <c r="Q687" s="20">
        <v>0.59246834963232509</v>
      </c>
      <c r="R687" s="21">
        <v>1.7786121098348658E-2</v>
      </c>
    </row>
    <row r="688" spans="1:18">
      <c r="A688" t="s">
        <v>1165</v>
      </c>
      <c r="B688" t="s">
        <v>89</v>
      </c>
      <c r="C688" t="s">
        <v>162</v>
      </c>
      <c r="D688">
        <v>3</v>
      </c>
      <c r="E688" t="s">
        <v>143</v>
      </c>
      <c r="F688" t="s">
        <v>133</v>
      </c>
      <c r="G688" t="s">
        <v>134</v>
      </c>
      <c r="H688" s="16">
        <v>313643</v>
      </c>
      <c r="I688" s="16">
        <v>0</v>
      </c>
      <c r="J688" s="16">
        <v>277906</v>
      </c>
      <c r="K688" s="16">
        <v>223344</v>
      </c>
      <c r="L688" s="16">
        <v>187735</v>
      </c>
      <c r="M688" s="16">
        <v>90299</v>
      </c>
      <c r="N688" s="16">
        <v>11231</v>
      </c>
      <c r="O688">
        <v>1</v>
      </c>
      <c r="P688">
        <v>0</v>
      </c>
      <c r="Q688" s="20">
        <v>0</v>
      </c>
      <c r="R688" s="21">
        <v>0.12437568522353515</v>
      </c>
    </row>
    <row r="689" spans="1:18">
      <c r="A689" t="s">
        <v>1166</v>
      </c>
      <c r="B689" t="s">
        <v>86</v>
      </c>
      <c r="C689" t="s">
        <v>101</v>
      </c>
      <c r="D689">
        <v>2</v>
      </c>
      <c r="E689" t="s">
        <v>132</v>
      </c>
      <c r="F689" t="s">
        <v>133</v>
      </c>
      <c r="G689" t="s">
        <v>134</v>
      </c>
      <c r="H689" s="16">
        <v>313564</v>
      </c>
      <c r="I689" s="16">
        <v>0</v>
      </c>
      <c r="J689" s="16">
        <v>41210</v>
      </c>
      <c r="K689" s="16">
        <v>211832</v>
      </c>
      <c r="L689" s="16">
        <v>186509</v>
      </c>
      <c r="M689" s="16">
        <v>101732</v>
      </c>
      <c r="N689" s="16">
        <v>14035</v>
      </c>
      <c r="O689">
        <v>4</v>
      </c>
      <c r="P689">
        <v>0</v>
      </c>
      <c r="Q689" s="20">
        <v>0</v>
      </c>
      <c r="R689" s="21">
        <v>0.13796052372901349</v>
      </c>
    </row>
    <row r="690" spans="1:18">
      <c r="A690" t="s">
        <v>1167</v>
      </c>
      <c r="B690" t="s">
        <v>74</v>
      </c>
      <c r="C690" t="s">
        <v>104</v>
      </c>
      <c r="D690">
        <v>2</v>
      </c>
      <c r="E690" t="s">
        <v>132</v>
      </c>
      <c r="F690" t="s">
        <v>1168</v>
      </c>
      <c r="G690" t="s">
        <v>153</v>
      </c>
      <c r="H690" s="16">
        <v>311237</v>
      </c>
      <c r="I690" s="16">
        <v>206357</v>
      </c>
      <c r="J690" s="16">
        <v>6355</v>
      </c>
      <c r="K690" s="16">
        <v>275279</v>
      </c>
      <c r="L690" s="16">
        <v>265111</v>
      </c>
      <c r="M690" s="16">
        <v>35958</v>
      </c>
      <c r="N690" s="16">
        <v>293</v>
      </c>
      <c r="O690">
        <v>0</v>
      </c>
      <c r="P690">
        <v>4</v>
      </c>
      <c r="Q690" s="20">
        <v>0.66302206999810431</v>
      </c>
      <c r="R690" s="21">
        <v>8.1483953501307084E-3</v>
      </c>
    </row>
    <row r="691" spans="1:18">
      <c r="A691" t="s">
        <v>1169</v>
      </c>
      <c r="B691" t="s">
        <v>74</v>
      </c>
      <c r="C691" t="s">
        <v>104</v>
      </c>
      <c r="D691">
        <v>2</v>
      </c>
      <c r="E691" t="s">
        <v>132</v>
      </c>
      <c r="F691" t="s">
        <v>285</v>
      </c>
      <c r="G691" t="s">
        <v>286</v>
      </c>
      <c r="H691" s="16">
        <v>308899</v>
      </c>
      <c r="I691" s="16">
        <v>112940</v>
      </c>
      <c r="J691" s="16">
        <v>23584</v>
      </c>
      <c r="K691" s="16">
        <v>241409</v>
      </c>
      <c r="L691" s="16">
        <v>232005</v>
      </c>
      <c r="M691" s="16">
        <v>67490</v>
      </c>
      <c r="N691" s="16">
        <v>2228</v>
      </c>
      <c r="O691">
        <v>0</v>
      </c>
      <c r="P691">
        <v>2</v>
      </c>
      <c r="Q691" s="20">
        <v>0.36562112535165214</v>
      </c>
      <c r="R691" s="21">
        <v>3.301229811823974E-2</v>
      </c>
    </row>
    <row r="692" spans="1:18">
      <c r="A692" t="s">
        <v>1170</v>
      </c>
      <c r="B692" t="s">
        <v>83</v>
      </c>
      <c r="C692" t="s">
        <v>101</v>
      </c>
      <c r="D692">
        <v>2</v>
      </c>
      <c r="E692" t="s">
        <v>132</v>
      </c>
      <c r="F692" t="s">
        <v>133</v>
      </c>
      <c r="G692" t="s">
        <v>134</v>
      </c>
      <c r="H692" s="16">
        <v>307150</v>
      </c>
      <c r="I692" s="16">
        <v>0</v>
      </c>
      <c r="J692" s="16">
        <v>176499</v>
      </c>
      <c r="K692" s="16">
        <v>313585</v>
      </c>
      <c r="L692" s="16">
        <v>171975</v>
      </c>
      <c r="M692" s="16">
        <v>-6435</v>
      </c>
      <c r="N692" s="16">
        <v>-32514</v>
      </c>
      <c r="O692">
        <v>5</v>
      </c>
      <c r="P692">
        <v>0</v>
      </c>
      <c r="Q692" s="20">
        <v>0</v>
      </c>
      <c r="R692" s="21">
        <v>5.0526806526806523</v>
      </c>
    </row>
    <row r="693" spans="1:18">
      <c r="A693" t="s">
        <v>1171</v>
      </c>
      <c r="B693" t="s">
        <v>74</v>
      </c>
      <c r="C693" t="s">
        <v>104</v>
      </c>
      <c r="D693">
        <v>2</v>
      </c>
      <c r="E693" t="s">
        <v>132</v>
      </c>
      <c r="F693" t="s">
        <v>1172</v>
      </c>
      <c r="G693" t="s">
        <v>169</v>
      </c>
      <c r="H693" s="16">
        <v>307124</v>
      </c>
      <c r="I693" s="16">
        <v>139964</v>
      </c>
      <c r="J693" s="16">
        <v>8812</v>
      </c>
      <c r="K693" s="16">
        <v>252748</v>
      </c>
      <c r="L693" s="16">
        <v>230196</v>
      </c>
      <c r="M693" s="16">
        <v>54376</v>
      </c>
      <c r="N693" s="16">
        <v>-4121</v>
      </c>
      <c r="O693">
        <v>0</v>
      </c>
      <c r="P693">
        <v>4</v>
      </c>
      <c r="Q693" s="20">
        <v>0.45572472356442351</v>
      </c>
      <c r="R693" s="21">
        <v>-7.5787111961159337E-2</v>
      </c>
    </row>
    <row r="694" spans="1:18">
      <c r="A694" t="s">
        <v>1173</v>
      </c>
      <c r="B694" t="s">
        <v>74</v>
      </c>
      <c r="C694" t="s">
        <v>104</v>
      </c>
      <c r="D694">
        <v>2</v>
      </c>
      <c r="E694" t="s">
        <v>132</v>
      </c>
      <c r="F694" t="s">
        <v>1174</v>
      </c>
      <c r="G694" t="s">
        <v>286</v>
      </c>
      <c r="H694" s="16">
        <v>305596</v>
      </c>
      <c r="I694" s="16">
        <v>194060</v>
      </c>
      <c r="J694" s="16">
        <v>2684</v>
      </c>
      <c r="K694" s="16">
        <v>263101</v>
      </c>
      <c r="L694" s="16">
        <v>252512</v>
      </c>
      <c r="M694" s="16">
        <v>42494</v>
      </c>
      <c r="N694" s="16">
        <v>-667</v>
      </c>
      <c r="O694">
        <v>0</v>
      </c>
      <c r="P694">
        <v>5</v>
      </c>
      <c r="Q694" s="20">
        <v>0.63502140080367542</v>
      </c>
      <c r="R694" s="21">
        <v>-1.5696333600037651E-2</v>
      </c>
    </row>
    <row r="695" spans="1:18">
      <c r="A695" t="s">
        <v>1175</v>
      </c>
      <c r="B695" t="s">
        <v>89</v>
      </c>
      <c r="C695" t="s">
        <v>162</v>
      </c>
      <c r="D695">
        <v>3</v>
      </c>
      <c r="E695" t="s">
        <v>143</v>
      </c>
      <c r="F695" t="s">
        <v>163</v>
      </c>
      <c r="G695" t="s">
        <v>134</v>
      </c>
      <c r="H695" s="16">
        <v>303537</v>
      </c>
      <c r="I695" s="16">
        <v>0</v>
      </c>
      <c r="J695" s="16">
        <v>5810</v>
      </c>
      <c r="K695" s="16">
        <v>285027</v>
      </c>
      <c r="L695" s="16">
        <v>271125</v>
      </c>
      <c r="M695" s="16">
        <v>18509</v>
      </c>
      <c r="N695" s="16">
        <v>4736</v>
      </c>
      <c r="O695">
        <v>1</v>
      </c>
      <c r="P695">
        <v>0</v>
      </c>
      <c r="Q695" s="20">
        <v>0</v>
      </c>
      <c r="R695" s="21">
        <v>0.25587552001728886</v>
      </c>
    </row>
    <row r="696" spans="1:18">
      <c r="A696" t="s">
        <v>1176</v>
      </c>
      <c r="B696" t="s">
        <v>74</v>
      </c>
      <c r="C696" t="s">
        <v>104</v>
      </c>
      <c r="D696">
        <v>2</v>
      </c>
      <c r="E696" t="s">
        <v>132</v>
      </c>
      <c r="F696" t="s">
        <v>1177</v>
      </c>
      <c r="G696" t="s">
        <v>169</v>
      </c>
      <c r="H696" s="16">
        <v>302580</v>
      </c>
      <c r="I696" s="16">
        <v>127758</v>
      </c>
      <c r="J696" s="16">
        <v>4730</v>
      </c>
      <c r="K696" s="16">
        <v>277261</v>
      </c>
      <c r="L696" s="16">
        <v>268803</v>
      </c>
      <c r="M696" s="16">
        <v>25319</v>
      </c>
      <c r="N696" s="16">
        <v>317</v>
      </c>
      <c r="O696">
        <v>0</v>
      </c>
      <c r="P696">
        <v>9</v>
      </c>
      <c r="Q696" s="20">
        <v>0.42222883204441802</v>
      </c>
      <c r="R696" s="21">
        <v>1.2520241715707571E-2</v>
      </c>
    </row>
    <row r="697" spans="1:18">
      <c r="A697" t="s">
        <v>1178</v>
      </c>
      <c r="B697" t="s">
        <v>74</v>
      </c>
      <c r="C697" t="s">
        <v>104</v>
      </c>
      <c r="D697">
        <v>2</v>
      </c>
      <c r="E697" t="s">
        <v>132</v>
      </c>
      <c r="F697" t="s">
        <v>1179</v>
      </c>
      <c r="G697" t="s">
        <v>206</v>
      </c>
      <c r="H697" s="16">
        <v>302467</v>
      </c>
      <c r="I697" s="16">
        <v>206994</v>
      </c>
      <c r="J697" s="16">
        <v>9362</v>
      </c>
      <c r="K697" s="16">
        <v>265874</v>
      </c>
      <c r="L697" s="16">
        <v>161157</v>
      </c>
      <c r="M697" s="16">
        <v>36593</v>
      </c>
      <c r="N697" s="16">
        <v>1341</v>
      </c>
      <c r="O697">
        <v>0</v>
      </c>
      <c r="P697">
        <v>11</v>
      </c>
      <c r="Q697" s="20">
        <v>0.68435234256960265</v>
      </c>
      <c r="R697" s="21">
        <v>3.6646353127647364E-2</v>
      </c>
    </row>
    <row r="698" spans="1:18">
      <c r="A698" t="s">
        <v>1180</v>
      </c>
      <c r="B698" t="s">
        <v>74</v>
      </c>
      <c r="C698" t="s">
        <v>104</v>
      </c>
      <c r="D698">
        <v>2</v>
      </c>
      <c r="E698" t="s">
        <v>132</v>
      </c>
      <c r="F698" t="s">
        <v>137</v>
      </c>
      <c r="G698" t="s">
        <v>138</v>
      </c>
      <c r="H698" s="16">
        <v>302424</v>
      </c>
      <c r="I698" s="16">
        <v>153006</v>
      </c>
      <c r="J698" s="16">
        <v>23328</v>
      </c>
      <c r="K698" s="16">
        <v>248812</v>
      </c>
      <c r="L698" s="16">
        <v>242179</v>
      </c>
      <c r="M698" s="16">
        <v>53612</v>
      </c>
      <c r="N698" s="16">
        <v>2527</v>
      </c>
      <c r="O698">
        <v>0</v>
      </c>
      <c r="P698">
        <v>8</v>
      </c>
      <c r="Q698" s="20">
        <v>0.5059320688834219</v>
      </c>
      <c r="R698" s="21">
        <v>4.713496978288443E-2</v>
      </c>
    </row>
    <row r="699" spans="1:18">
      <c r="A699" t="s">
        <v>1181</v>
      </c>
      <c r="B699" t="s">
        <v>74</v>
      </c>
      <c r="C699" t="s">
        <v>104</v>
      </c>
      <c r="D699">
        <v>2</v>
      </c>
      <c r="E699" t="s">
        <v>132</v>
      </c>
      <c r="F699" t="s">
        <v>1182</v>
      </c>
      <c r="G699" t="s">
        <v>153</v>
      </c>
      <c r="H699" s="16">
        <v>301387</v>
      </c>
      <c r="I699" s="16">
        <v>194182</v>
      </c>
      <c r="J699" s="16">
        <v>12203</v>
      </c>
      <c r="K699" s="16">
        <v>267496</v>
      </c>
      <c r="L699" s="16">
        <v>177283</v>
      </c>
      <c r="M699" s="16">
        <v>33891</v>
      </c>
      <c r="N699" s="16">
        <v>-325</v>
      </c>
      <c r="O699">
        <v>0</v>
      </c>
      <c r="P699">
        <v>14</v>
      </c>
      <c r="Q699" s="20">
        <v>0.64429454488747029</v>
      </c>
      <c r="R699" s="21">
        <v>-9.5895665515918684E-3</v>
      </c>
    </row>
    <row r="700" spans="1:18">
      <c r="A700" t="s">
        <v>1183</v>
      </c>
      <c r="B700" t="s">
        <v>89</v>
      </c>
      <c r="C700" t="s">
        <v>162</v>
      </c>
      <c r="D700">
        <v>3</v>
      </c>
      <c r="E700" t="s">
        <v>143</v>
      </c>
      <c r="F700" t="s">
        <v>133</v>
      </c>
      <c r="G700" t="s">
        <v>134</v>
      </c>
      <c r="H700" s="16">
        <v>299784</v>
      </c>
      <c r="I700" s="16">
        <v>0</v>
      </c>
      <c r="J700" s="16">
        <v>20367</v>
      </c>
      <c r="K700" s="16">
        <v>231694</v>
      </c>
      <c r="L700" s="16">
        <v>229364</v>
      </c>
      <c r="M700" s="16">
        <v>68090</v>
      </c>
      <c r="N700" s="16">
        <v>9075</v>
      </c>
      <c r="O700">
        <v>1</v>
      </c>
      <c r="P700">
        <v>0</v>
      </c>
      <c r="Q700" s="20">
        <v>0</v>
      </c>
      <c r="R700" s="21">
        <v>0.1332794830371567</v>
      </c>
    </row>
    <row r="701" spans="1:18">
      <c r="A701" t="s">
        <v>1184</v>
      </c>
      <c r="B701" t="s">
        <v>74</v>
      </c>
      <c r="C701" t="s">
        <v>104</v>
      </c>
      <c r="D701">
        <v>2</v>
      </c>
      <c r="E701" t="s">
        <v>132</v>
      </c>
      <c r="F701" t="s">
        <v>168</v>
      </c>
      <c r="G701" t="s">
        <v>169</v>
      </c>
      <c r="H701" s="16">
        <v>295543</v>
      </c>
      <c r="I701" s="16">
        <v>85519</v>
      </c>
      <c r="J701" s="16">
        <v>22643</v>
      </c>
      <c r="K701" s="16">
        <v>205165</v>
      </c>
      <c r="L701" s="16">
        <v>191202</v>
      </c>
      <c r="M701" s="16">
        <v>90377</v>
      </c>
      <c r="N701" s="16">
        <v>4772</v>
      </c>
      <c r="O701">
        <v>0</v>
      </c>
      <c r="P701">
        <v>0</v>
      </c>
      <c r="Q701" s="20">
        <v>0.28936229245828865</v>
      </c>
      <c r="R701" s="21">
        <v>5.2801044513537738E-2</v>
      </c>
    </row>
    <row r="702" spans="1:18">
      <c r="A702" t="s">
        <v>1185</v>
      </c>
      <c r="B702" t="s">
        <v>74</v>
      </c>
      <c r="C702" t="s">
        <v>104</v>
      </c>
      <c r="D702">
        <v>2</v>
      </c>
      <c r="E702" t="s">
        <v>132</v>
      </c>
      <c r="F702" t="s">
        <v>1186</v>
      </c>
      <c r="G702" t="s">
        <v>134</v>
      </c>
      <c r="H702" s="16">
        <v>293113</v>
      </c>
      <c r="I702" s="16">
        <v>83868</v>
      </c>
      <c r="J702" s="16">
        <v>22012</v>
      </c>
      <c r="K702" s="16">
        <v>243673</v>
      </c>
      <c r="L702" s="16">
        <v>205153</v>
      </c>
      <c r="M702" s="16">
        <v>49440</v>
      </c>
      <c r="N702" s="16">
        <v>2520</v>
      </c>
      <c r="O702">
        <v>0</v>
      </c>
      <c r="P702">
        <v>7</v>
      </c>
      <c r="Q702" s="20">
        <v>0.28612855792817105</v>
      </c>
      <c r="R702" s="21">
        <v>5.0970873786407765E-2</v>
      </c>
    </row>
    <row r="703" spans="1:18">
      <c r="A703" t="s">
        <v>1187</v>
      </c>
      <c r="B703" t="s">
        <v>74</v>
      </c>
      <c r="C703" t="s">
        <v>104</v>
      </c>
      <c r="D703">
        <v>2</v>
      </c>
      <c r="E703" t="s">
        <v>132</v>
      </c>
      <c r="F703" t="s">
        <v>137</v>
      </c>
      <c r="G703" t="s">
        <v>138</v>
      </c>
      <c r="H703" s="16">
        <v>292898</v>
      </c>
      <c r="I703" s="16">
        <v>125496</v>
      </c>
      <c r="J703" s="16">
        <v>67961</v>
      </c>
      <c r="K703" s="16">
        <v>159770</v>
      </c>
      <c r="L703" s="16">
        <v>151232</v>
      </c>
      <c r="M703" s="16">
        <v>133127</v>
      </c>
      <c r="N703" s="16">
        <v>4740</v>
      </c>
      <c r="O703">
        <v>0</v>
      </c>
      <c r="P703">
        <v>5</v>
      </c>
      <c r="Q703" s="20">
        <v>0.42846315099454418</v>
      </c>
      <c r="R703" s="21">
        <v>3.56050988905331E-2</v>
      </c>
    </row>
    <row r="704" spans="1:18">
      <c r="A704" t="s">
        <v>1188</v>
      </c>
      <c r="B704" t="s">
        <v>74</v>
      </c>
      <c r="C704" t="s">
        <v>104</v>
      </c>
      <c r="D704">
        <v>2</v>
      </c>
      <c r="E704" t="s">
        <v>132</v>
      </c>
      <c r="F704" t="s">
        <v>1189</v>
      </c>
      <c r="G704" t="s">
        <v>169</v>
      </c>
      <c r="H704" s="16">
        <v>288716</v>
      </c>
      <c r="I704" s="16">
        <v>79438</v>
      </c>
      <c r="J704" s="16">
        <v>4648</v>
      </c>
      <c r="K704" s="16">
        <v>246072</v>
      </c>
      <c r="L704" s="16">
        <v>240666</v>
      </c>
      <c r="M704" s="16">
        <v>42644</v>
      </c>
      <c r="N704" s="16">
        <v>4792</v>
      </c>
      <c r="O704">
        <v>0</v>
      </c>
      <c r="P704">
        <v>6</v>
      </c>
      <c r="Q704" s="20">
        <v>0.27514235442441709</v>
      </c>
      <c r="R704" s="21">
        <v>0.11237219773004409</v>
      </c>
    </row>
    <row r="705" spans="1:18">
      <c r="A705" t="s">
        <v>1190</v>
      </c>
      <c r="B705" t="s">
        <v>74</v>
      </c>
      <c r="C705" t="s">
        <v>104</v>
      </c>
      <c r="D705">
        <v>2</v>
      </c>
      <c r="E705" t="s">
        <v>132</v>
      </c>
      <c r="F705" t="s">
        <v>1191</v>
      </c>
      <c r="G705" t="s">
        <v>169</v>
      </c>
      <c r="H705" s="16">
        <v>282660</v>
      </c>
      <c r="I705" s="16">
        <v>88682</v>
      </c>
      <c r="J705" s="16">
        <v>5662</v>
      </c>
      <c r="K705" s="16">
        <v>236822</v>
      </c>
      <c r="L705" s="16">
        <v>231867</v>
      </c>
      <c r="M705" s="16">
        <v>45838</v>
      </c>
      <c r="N705" s="16">
        <v>4861</v>
      </c>
      <c r="O705">
        <v>0</v>
      </c>
      <c r="P705">
        <v>2</v>
      </c>
      <c r="Q705" s="20">
        <v>0.3137408901153329</v>
      </c>
      <c r="R705" s="21">
        <v>0.10604738426632924</v>
      </c>
    </row>
    <row r="706" spans="1:18">
      <c r="A706" t="s">
        <v>1192</v>
      </c>
      <c r="B706" t="s">
        <v>83</v>
      </c>
      <c r="C706" t="s">
        <v>101</v>
      </c>
      <c r="D706">
        <v>2</v>
      </c>
      <c r="E706" t="s">
        <v>132</v>
      </c>
      <c r="F706" t="s">
        <v>530</v>
      </c>
      <c r="G706" t="s">
        <v>134</v>
      </c>
      <c r="H706" s="16">
        <v>281533</v>
      </c>
      <c r="I706" s="16">
        <v>1334</v>
      </c>
      <c r="J706" s="16">
        <v>67</v>
      </c>
      <c r="K706" s="16">
        <v>258222</v>
      </c>
      <c r="L706" s="16">
        <v>130001</v>
      </c>
      <c r="M706" s="16">
        <v>23312</v>
      </c>
      <c r="N706" s="16">
        <v>9946</v>
      </c>
      <c r="O706">
        <v>2</v>
      </c>
      <c r="P706">
        <v>0</v>
      </c>
      <c r="Q706" s="20">
        <v>4.7383432848014263E-3</v>
      </c>
      <c r="R706" s="21">
        <v>0.42664722031571722</v>
      </c>
    </row>
    <row r="707" spans="1:18">
      <c r="A707" t="s">
        <v>1193</v>
      </c>
      <c r="B707" t="s">
        <v>74</v>
      </c>
      <c r="C707" t="s">
        <v>104</v>
      </c>
      <c r="D707">
        <v>2</v>
      </c>
      <c r="E707" t="s">
        <v>132</v>
      </c>
      <c r="F707" t="s">
        <v>168</v>
      </c>
      <c r="G707" t="s">
        <v>169</v>
      </c>
      <c r="H707" s="16">
        <v>280266</v>
      </c>
      <c r="I707" s="16">
        <v>108471</v>
      </c>
      <c r="J707" s="16">
        <v>11723</v>
      </c>
      <c r="K707" s="16">
        <v>197173</v>
      </c>
      <c r="L707" s="16">
        <v>188662</v>
      </c>
      <c r="M707" s="16">
        <v>83093</v>
      </c>
      <c r="N707" s="16">
        <v>3008</v>
      </c>
      <c r="O707">
        <v>0</v>
      </c>
      <c r="P707">
        <v>4</v>
      </c>
      <c r="Q707" s="20">
        <v>0.38702875125773373</v>
      </c>
      <c r="R707" s="21">
        <v>3.6200401959250478E-2</v>
      </c>
    </row>
    <row r="708" spans="1:18">
      <c r="A708" t="s">
        <v>1194</v>
      </c>
      <c r="B708" t="s">
        <v>74</v>
      </c>
      <c r="C708" t="s">
        <v>104</v>
      </c>
      <c r="D708">
        <v>2</v>
      </c>
      <c r="E708" t="s">
        <v>132</v>
      </c>
      <c r="F708" t="s">
        <v>145</v>
      </c>
      <c r="G708" t="s">
        <v>146</v>
      </c>
      <c r="H708" s="16">
        <v>279597</v>
      </c>
      <c r="I708" s="16">
        <v>84150</v>
      </c>
      <c r="J708" s="16">
        <v>11461</v>
      </c>
      <c r="K708" s="16">
        <v>224787</v>
      </c>
      <c r="L708" s="16">
        <v>209516</v>
      </c>
      <c r="M708" s="16">
        <v>54810</v>
      </c>
      <c r="N708" s="16">
        <v>1375</v>
      </c>
      <c r="O708">
        <v>0</v>
      </c>
      <c r="P708">
        <v>7</v>
      </c>
      <c r="Q708" s="20">
        <v>0.30096889451603559</v>
      </c>
      <c r="R708" s="21">
        <v>2.5086663017697502E-2</v>
      </c>
    </row>
    <row r="709" spans="1:18">
      <c r="A709" t="s">
        <v>1195</v>
      </c>
      <c r="B709" t="s">
        <v>74</v>
      </c>
      <c r="C709" t="s">
        <v>104</v>
      </c>
      <c r="D709">
        <v>2</v>
      </c>
      <c r="E709" t="s">
        <v>132</v>
      </c>
      <c r="F709" t="s">
        <v>411</v>
      </c>
      <c r="G709" t="s">
        <v>134</v>
      </c>
      <c r="H709" s="16">
        <v>278960</v>
      </c>
      <c r="I709" s="16">
        <v>157082</v>
      </c>
      <c r="J709" s="16">
        <v>105331</v>
      </c>
      <c r="K709" s="16">
        <v>124494</v>
      </c>
      <c r="L709" s="16">
        <v>107071</v>
      </c>
      <c r="M709" s="16">
        <v>154466</v>
      </c>
      <c r="N709" s="16">
        <v>3592</v>
      </c>
      <c r="O709">
        <v>0</v>
      </c>
      <c r="P709">
        <v>19</v>
      </c>
      <c r="Q709" s="20">
        <v>0.56309865213650701</v>
      </c>
      <c r="R709" s="21">
        <v>2.3254308391490685E-2</v>
      </c>
    </row>
    <row r="710" spans="1:18">
      <c r="A710" t="s">
        <v>1196</v>
      </c>
      <c r="B710" t="s">
        <v>89</v>
      </c>
      <c r="C710" t="s">
        <v>162</v>
      </c>
      <c r="D710">
        <v>3</v>
      </c>
      <c r="E710" t="s">
        <v>143</v>
      </c>
      <c r="F710" t="s">
        <v>368</v>
      </c>
      <c r="G710" t="s">
        <v>206</v>
      </c>
      <c r="H710" s="16">
        <v>276139</v>
      </c>
      <c r="I710" s="16">
        <v>0</v>
      </c>
      <c r="J710" s="16">
        <v>746</v>
      </c>
      <c r="K710" s="16">
        <v>262403</v>
      </c>
      <c r="L710" s="16">
        <v>257618</v>
      </c>
      <c r="M710" s="16">
        <v>13735</v>
      </c>
      <c r="N710" s="16">
        <v>3944</v>
      </c>
      <c r="O710">
        <v>1</v>
      </c>
      <c r="P710">
        <v>0</v>
      </c>
      <c r="Q710" s="20">
        <v>0</v>
      </c>
      <c r="R710" s="21">
        <v>0.28714961776483439</v>
      </c>
    </row>
    <row r="711" spans="1:18">
      <c r="A711" t="s">
        <v>1197</v>
      </c>
      <c r="B711" t="s">
        <v>74</v>
      </c>
      <c r="C711" t="s">
        <v>104</v>
      </c>
      <c r="D711">
        <v>2</v>
      </c>
      <c r="E711" t="s">
        <v>132</v>
      </c>
      <c r="F711" t="s">
        <v>133</v>
      </c>
      <c r="G711" t="s">
        <v>134</v>
      </c>
      <c r="H711" s="16">
        <v>274055</v>
      </c>
      <c r="I711" s="16">
        <v>174611</v>
      </c>
      <c r="J711" s="16">
        <v>51750</v>
      </c>
      <c r="K711" s="16">
        <v>203523</v>
      </c>
      <c r="L711" s="16">
        <v>182302</v>
      </c>
      <c r="M711" s="16">
        <v>70531</v>
      </c>
      <c r="N711" s="16">
        <v>3262</v>
      </c>
      <c r="O711">
        <v>0</v>
      </c>
      <c r="P711">
        <v>20</v>
      </c>
      <c r="Q711" s="20">
        <v>0.63713853058692593</v>
      </c>
      <c r="R711" s="21">
        <v>4.624916703293587E-2</v>
      </c>
    </row>
    <row r="712" spans="1:18">
      <c r="A712" t="s">
        <v>1198</v>
      </c>
      <c r="B712" t="s">
        <v>74</v>
      </c>
      <c r="C712" t="s">
        <v>104</v>
      </c>
      <c r="D712">
        <v>2</v>
      </c>
      <c r="E712" t="s">
        <v>132</v>
      </c>
      <c r="F712" t="s">
        <v>1199</v>
      </c>
      <c r="G712" t="s">
        <v>169</v>
      </c>
      <c r="H712" s="16">
        <v>273931</v>
      </c>
      <c r="I712" s="16">
        <v>94719</v>
      </c>
      <c r="J712" s="16">
        <v>4163</v>
      </c>
      <c r="K712" s="16">
        <v>243270</v>
      </c>
      <c r="L712" s="16">
        <v>234019</v>
      </c>
      <c r="M712" s="16">
        <v>30661</v>
      </c>
      <c r="N712" s="16">
        <v>4826</v>
      </c>
      <c r="O712">
        <v>0</v>
      </c>
      <c r="P712">
        <v>13</v>
      </c>
      <c r="Q712" s="20">
        <v>0.34577685621561632</v>
      </c>
      <c r="R712" s="21">
        <v>0.15739864975049739</v>
      </c>
    </row>
    <row r="713" spans="1:18">
      <c r="A713" t="s">
        <v>1200</v>
      </c>
      <c r="B713" t="s">
        <v>74</v>
      </c>
      <c r="C713" t="s">
        <v>104</v>
      </c>
      <c r="D713">
        <v>2</v>
      </c>
      <c r="E713" t="s">
        <v>132</v>
      </c>
      <c r="F713" t="s">
        <v>137</v>
      </c>
      <c r="G713" t="s">
        <v>138</v>
      </c>
      <c r="H713" s="16">
        <v>273536</v>
      </c>
      <c r="I713" s="16">
        <v>123460</v>
      </c>
      <c r="J713" s="16">
        <v>16648</v>
      </c>
      <c r="K713" s="16">
        <v>231904</v>
      </c>
      <c r="L713" s="16">
        <v>226426</v>
      </c>
      <c r="M713" s="16">
        <v>41632</v>
      </c>
      <c r="N713" s="16">
        <v>4438</v>
      </c>
      <c r="O713">
        <v>0</v>
      </c>
      <c r="P713">
        <v>1</v>
      </c>
      <c r="Q713" s="20">
        <v>0.45134826860084232</v>
      </c>
      <c r="R713" s="21">
        <v>0.10660069177555727</v>
      </c>
    </row>
    <row r="714" spans="1:18">
      <c r="A714" t="s">
        <v>1201</v>
      </c>
      <c r="B714" t="s">
        <v>83</v>
      </c>
      <c r="C714" t="s">
        <v>101</v>
      </c>
      <c r="D714">
        <v>2</v>
      </c>
      <c r="E714" t="s">
        <v>132</v>
      </c>
      <c r="F714" t="s">
        <v>1202</v>
      </c>
      <c r="G714" t="s">
        <v>153</v>
      </c>
      <c r="H714" s="16">
        <v>273336</v>
      </c>
      <c r="I714" s="16">
        <v>220576</v>
      </c>
      <c r="J714" s="16">
        <v>0</v>
      </c>
      <c r="K714" s="16">
        <v>245528</v>
      </c>
      <c r="L714" s="16">
        <v>205094</v>
      </c>
      <c r="M714" s="16">
        <v>27809</v>
      </c>
      <c r="N714" s="16">
        <v>-19163</v>
      </c>
      <c r="O714">
        <v>2</v>
      </c>
      <c r="P714">
        <v>0</v>
      </c>
      <c r="Q714" s="20">
        <v>0.80697749290250831</v>
      </c>
      <c r="R714" s="21">
        <v>-0.68909345895213781</v>
      </c>
    </row>
    <row r="715" spans="1:18">
      <c r="A715" t="s">
        <v>1203</v>
      </c>
      <c r="B715" t="s">
        <v>89</v>
      </c>
      <c r="C715" t="s">
        <v>162</v>
      </c>
      <c r="D715">
        <v>2</v>
      </c>
      <c r="E715" t="s">
        <v>132</v>
      </c>
      <c r="F715" t="s">
        <v>133</v>
      </c>
      <c r="G715" t="s">
        <v>134</v>
      </c>
      <c r="H715" s="16">
        <v>271996</v>
      </c>
      <c r="I715" s="16">
        <v>0</v>
      </c>
      <c r="J715" s="16">
        <v>217707</v>
      </c>
      <c r="K715" s="16">
        <v>241918</v>
      </c>
      <c r="L715" s="16">
        <v>125515</v>
      </c>
      <c r="M715" s="16">
        <v>30079</v>
      </c>
      <c r="N715" s="16">
        <v>7368</v>
      </c>
      <c r="O715">
        <v>1</v>
      </c>
      <c r="P715">
        <v>0</v>
      </c>
      <c r="Q715" s="20">
        <v>0</v>
      </c>
      <c r="R715" s="21">
        <v>0.2449549519598391</v>
      </c>
    </row>
    <row r="716" spans="1:18">
      <c r="A716" t="s">
        <v>1204</v>
      </c>
      <c r="B716" t="s">
        <v>83</v>
      </c>
      <c r="C716" t="s">
        <v>101</v>
      </c>
      <c r="D716">
        <v>2</v>
      </c>
      <c r="E716" t="s">
        <v>132</v>
      </c>
      <c r="F716" t="s">
        <v>133</v>
      </c>
      <c r="G716" t="s">
        <v>134</v>
      </c>
      <c r="H716" s="16">
        <v>270058</v>
      </c>
      <c r="I716" s="16">
        <v>209533</v>
      </c>
      <c r="J716" s="16">
        <v>7435</v>
      </c>
      <c r="K716" s="16">
        <v>230499</v>
      </c>
      <c r="L716" s="16">
        <v>217912</v>
      </c>
      <c r="M716" s="16">
        <v>39559</v>
      </c>
      <c r="N716" s="16">
        <v>1118</v>
      </c>
      <c r="O716">
        <v>2</v>
      </c>
      <c r="P716">
        <v>0</v>
      </c>
      <c r="Q716" s="20">
        <v>0.77588147731228108</v>
      </c>
      <c r="R716" s="21">
        <v>2.8261583963194215E-2</v>
      </c>
    </row>
    <row r="717" spans="1:18">
      <c r="A717" t="s">
        <v>1205</v>
      </c>
      <c r="B717" t="s">
        <v>83</v>
      </c>
      <c r="C717" t="s">
        <v>101</v>
      </c>
      <c r="D717">
        <v>2</v>
      </c>
      <c r="E717" t="s">
        <v>132</v>
      </c>
      <c r="F717" t="s">
        <v>133</v>
      </c>
      <c r="G717" t="s">
        <v>134</v>
      </c>
      <c r="H717" s="16">
        <v>268484</v>
      </c>
      <c r="I717" s="16">
        <v>29466</v>
      </c>
      <c r="J717" s="16">
        <v>0</v>
      </c>
      <c r="K717" s="16">
        <v>141609</v>
      </c>
      <c r="L717" s="16">
        <v>0</v>
      </c>
      <c r="M717" s="16">
        <v>126874</v>
      </c>
      <c r="N717" s="16">
        <v>11208</v>
      </c>
      <c r="O717">
        <v>1</v>
      </c>
      <c r="P717">
        <v>0</v>
      </c>
      <c r="Q717" s="20">
        <v>0.1097495567706083</v>
      </c>
      <c r="R717" s="21">
        <v>8.8339612528965744E-2</v>
      </c>
    </row>
    <row r="718" spans="1:18">
      <c r="A718" t="s">
        <v>1206</v>
      </c>
      <c r="B718" t="s">
        <v>74</v>
      </c>
      <c r="C718" t="s">
        <v>104</v>
      </c>
      <c r="D718">
        <v>2</v>
      </c>
      <c r="E718" t="s">
        <v>132</v>
      </c>
      <c r="F718" t="s">
        <v>1207</v>
      </c>
      <c r="G718" t="s">
        <v>206</v>
      </c>
      <c r="H718" s="16">
        <v>267384</v>
      </c>
      <c r="I718" s="16">
        <v>131257</v>
      </c>
      <c r="J718" s="16">
        <v>5515</v>
      </c>
      <c r="K718" s="16">
        <v>223991</v>
      </c>
      <c r="L718" s="16">
        <v>189250</v>
      </c>
      <c r="M718" s="16">
        <v>43393</v>
      </c>
      <c r="N718" s="16">
        <v>1668</v>
      </c>
      <c r="O718">
        <v>0</v>
      </c>
      <c r="P718">
        <v>5</v>
      </c>
      <c r="Q718" s="20">
        <v>0.49089324716512583</v>
      </c>
      <c r="R718" s="21">
        <v>3.8439379623441572E-2</v>
      </c>
    </row>
    <row r="719" spans="1:18">
      <c r="A719" t="s">
        <v>1208</v>
      </c>
      <c r="B719" t="s">
        <v>74</v>
      </c>
      <c r="C719" t="s">
        <v>104</v>
      </c>
      <c r="D719">
        <v>2</v>
      </c>
      <c r="E719" t="s">
        <v>132</v>
      </c>
      <c r="F719" t="s">
        <v>1209</v>
      </c>
      <c r="G719" t="s">
        <v>169</v>
      </c>
      <c r="H719" s="16">
        <v>265258</v>
      </c>
      <c r="I719" s="16">
        <v>127869</v>
      </c>
      <c r="J719" s="16">
        <v>8998</v>
      </c>
      <c r="K719" s="16">
        <v>208729</v>
      </c>
      <c r="L719" s="16">
        <v>138049</v>
      </c>
      <c r="M719" s="16">
        <v>56529</v>
      </c>
      <c r="N719" s="16">
        <v>3947</v>
      </c>
      <c r="O719">
        <v>0</v>
      </c>
      <c r="P719">
        <v>0</v>
      </c>
      <c r="Q719" s="20">
        <v>0.4820552066290178</v>
      </c>
      <c r="R719" s="21">
        <v>6.9822568946912203E-2</v>
      </c>
    </row>
    <row r="720" spans="1:18">
      <c r="A720" t="s">
        <v>1210</v>
      </c>
      <c r="B720" t="s">
        <v>89</v>
      </c>
      <c r="C720" t="s">
        <v>162</v>
      </c>
      <c r="D720">
        <v>2</v>
      </c>
      <c r="E720" t="s">
        <v>132</v>
      </c>
      <c r="F720" t="s">
        <v>133</v>
      </c>
      <c r="G720" t="s">
        <v>134</v>
      </c>
      <c r="H720" s="16">
        <v>259578</v>
      </c>
      <c r="I720" s="16">
        <v>0</v>
      </c>
      <c r="J720" s="16">
        <v>2269</v>
      </c>
      <c r="K720" s="16">
        <v>227474</v>
      </c>
      <c r="L720" s="16">
        <v>51474</v>
      </c>
      <c r="M720" s="16">
        <v>32104</v>
      </c>
      <c r="N720" s="16">
        <v>23216</v>
      </c>
      <c r="O720">
        <v>1</v>
      </c>
      <c r="P720">
        <v>0</v>
      </c>
      <c r="Q720" s="20">
        <v>0</v>
      </c>
      <c r="R720" s="21">
        <v>0.72314976326937452</v>
      </c>
    </row>
    <row r="721" spans="1:18">
      <c r="A721" t="s">
        <v>1211</v>
      </c>
      <c r="B721" t="s">
        <v>83</v>
      </c>
      <c r="C721" t="s">
        <v>101</v>
      </c>
      <c r="D721">
        <v>1</v>
      </c>
      <c r="E721" t="s">
        <v>136</v>
      </c>
      <c r="F721" t="s">
        <v>555</v>
      </c>
      <c r="G721" t="s">
        <v>250</v>
      </c>
      <c r="H721" s="16">
        <v>258298</v>
      </c>
      <c r="I721" s="16">
        <v>129320</v>
      </c>
      <c r="J721" s="16">
        <v>110331</v>
      </c>
      <c r="K721" s="16">
        <v>32121</v>
      </c>
      <c r="L721" s="16">
        <v>25422</v>
      </c>
      <c r="M721" s="16">
        <v>226177</v>
      </c>
      <c r="N721" s="16">
        <v>-387</v>
      </c>
      <c r="O721">
        <v>1</v>
      </c>
      <c r="P721">
        <v>0</v>
      </c>
      <c r="Q721" s="20">
        <v>0.50066202603194765</v>
      </c>
      <c r="R721" s="21">
        <v>-1.7110493109378938E-3</v>
      </c>
    </row>
    <row r="722" spans="1:18">
      <c r="A722" t="s">
        <v>1212</v>
      </c>
      <c r="B722" t="s">
        <v>74</v>
      </c>
      <c r="C722" t="s">
        <v>104</v>
      </c>
      <c r="D722">
        <v>2</v>
      </c>
      <c r="E722" t="s">
        <v>132</v>
      </c>
      <c r="F722" t="s">
        <v>1213</v>
      </c>
      <c r="G722" t="s">
        <v>134</v>
      </c>
      <c r="H722" s="16">
        <v>257638</v>
      </c>
      <c r="I722" s="16">
        <v>132261</v>
      </c>
      <c r="J722" s="16">
        <v>86986</v>
      </c>
      <c r="K722" s="16">
        <v>223361</v>
      </c>
      <c r="L722" s="16">
        <v>207939</v>
      </c>
      <c r="M722" s="16">
        <v>34277</v>
      </c>
      <c r="N722" s="16">
        <v>-2566</v>
      </c>
      <c r="O722">
        <v>0</v>
      </c>
      <c r="P722">
        <v>3</v>
      </c>
      <c r="Q722" s="20">
        <v>0.51335983045979239</v>
      </c>
      <c r="R722" s="21">
        <v>-7.4860693759663921E-2</v>
      </c>
    </row>
    <row r="723" spans="1:18">
      <c r="A723" t="s">
        <v>1214</v>
      </c>
      <c r="B723" t="s">
        <v>83</v>
      </c>
      <c r="C723" t="s">
        <v>104</v>
      </c>
      <c r="D723">
        <v>3</v>
      </c>
      <c r="E723" t="s">
        <v>143</v>
      </c>
      <c r="F723" t="s">
        <v>185</v>
      </c>
      <c r="G723" t="s">
        <v>134</v>
      </c>
      <c r="H723" s="16">
        <v>257254</v>
      </c>
      <c r="I723" s="16">
        <v>189581</v>
      </c>
      <c r="J723" s="16">
        <v>0</v>
      </c>
      <c r="K723" s="16">
        <v>61376</v>
      </c>
      <c r="L723" s="16">
        <v>0</v>
      </c>
      <c r="M723" s="16">
        <v>195878</v>
      </c>
      <c r="N723" s="16">
        <v>47935</v>
      </c>
      <c r="O723">
        <v>2</v>
      </c>
      <c r="P723">
        <v>0</v>
      </c>
      <c r="Q723" s="20">
        <v>0.73694092220140406</v>
      </c>
      <c r="R723" s="21">
        <v>0.24471865140546667</v>
      </c>
    </row>
    <row r="724" spans="1:18">
      <c r="A724" t="s">
        <v>1215</v>
      </c>
      <c r="B724" t="s">
        <v>74</v>
      </c>
      <c r="C724" t="s">
        <v>104</v>
      </c>
      <c r="D724">
        <v>2</v>
      </c>
      <c r="E724" t="s">
        <v>132</v>
      </c>
      <c r="F724" t="s">
        <v>1216</v>
      </c>
      <c r="G724" t="s">
        <v>198</v>
      </c>
      <c r="H724" s="16">
        <v>257250</v>
      </c>
      <c r="I724" s="16">
        <v>87995</v>
      </c>
      <c r="J724" s="16">
        <v>23539</v>
      </c>
      <c r="K724" s="16">
        <v>220460</v>
      </c>
      <c r="L724" s="16">
        <v>212255</v>
      </c>
      <c r="M724" s="16">
        <v>36790</v>
      </c>
      <c r="N724" s="16">
        <v>3156</v>
      </c>
      <c r="O724">
        <v>0</v>
      </c>
      <c r="P724">
        <v>11</v>
      </c>
      <c r="Q724" s="20">
        <v>0.34206025267249757</v>
      </c>
      <c r="R724" s="21">
        <v>8.5784180483827133E-2</v>
      </c>
    </row>
    <row r="725" spans="1:18">
      <c r="A725" t="s">
        <v>1217</v>
      </c>
      <c r="B725" t="s">
        <v>68</v>
      </c>
      <c r="C725" t="s">
        <v>101</v>
      </c>
      <c r="D725">
        <v>3</v>
      </c>
      <c r="E725" t="s">
        <v>143</v>
      </c>
      <c r="F725" t="s">
        <v>133</v>
      </c>
      <c r="G725" t="s">
        <v>134</v>
      </c>
      <c r="H725" s="16">
        <v>254946</v>
      </c>
      <c r="I725" s="16">
        <v>0</v>
      </c>
      <c r="J725" s="16">
        <v>8155</v>
      </c>
      <c r="K725" s="16">
        <v>50341</v>
      </c>
      <c r="L725" s="16">
        <v>0</v>
      </c>
      <c r="M725" s="16">
        <v>204605</v>
      </c>
      <c r="N725" s="16">
        <v>4000</v>
      </c>
      <c r="O725">
        <v>4</v>
      </c>
      <c r="P725">
        <v>0</v>
      </c>
      <c r="Q725" s="20">
        <v>0</v>
      </c>
      <c r="R725" s="21">
        <v>1.9549864372815914E-2</v>
      </c>
    </row>
    <row r="726" spans="1:18">
      <c r="A726" t="s">
        <v>1218</v>
      </c>
      <c r="B726" t="s">
        <v>74</v>
      </c>
      <c r="C726" t="s">
        <v>104</v>
      </c>
      <c r="D726">
        <v>2</v>
      </c>
      <c r="E726" t="s">
        <v>132</v>
      </c>
      <c r="F726" t="s">
        <v>1219</v>
      </c>
      <c r="G726" t="s">
        <v>169</v>
      </c>
      <c r="H726" s="16">
        <v>254323</v>
      </c>
      <c r="I726" s="16">
        <v>168817</v>
      </c>
      <c r="J726" s="16">
        <v>5638</v>
      </c>
      <c r="K726" s="16">
        <v>209068</v>
      </c>
      <c r="L726" s="16">
        <v>128450</v>
      </c>
      <c r="M726" s="16">
        <v>45255</v>
      </c>
      <c r="N726" s="16">
        <v>2141</v>
      </c>
      <c r="O726">
        <v>0</v>
      </c>
      <c r="P726">
        <v>7</v>
      </c>
      <c r="Q726" s="20">
        <v>0.66378974768306442</v>
      </c>
      <c r="R726" s="21">
        <v>4.7309689537067726E-2</v>
      </c>
    </row>
    <row r="727" spans="1:18">
      <c r="A727" t="s">
        <v>1220</v>
      </c>
      <c r="B727" t="s">
        <v>89</v>
      </c>
      <c r="C727" t="s">
        <v>162</v>
      </c>
      <c r="D727">
        <v>3</v>
      </c>
      <c r="E727" t="s">
        <v>143</v>
      </c>
      <c r="F727" t="s">
        <v>210</v>
      </c>
      <c r="G727" t="s">
        <v>211</v>
      </c>
      <c r="H727" s="16">
        <v>253487</v>
      </c>
      <c r="I727" s="16">
        <v>0</v>
      </c>
      <c r="J727" s="16">
        <v>0</v>
      </c>
      <c r="K727" s="16">
        <v>236535</v>
      </c>
      <c r="L727" s="16">
        <v>226704</v>
      </c>
      <c r="M727" s="16">
        <v>16953</v>
      </c>
      <c r="N727" s="16">
        <v>4122</v>
      </c>
      <c r="O727">
        <v>1</v>
      </c>
      <c r="P727">
        <v>0</v>
      </c>
      <c r="Q727" s="20">
        <v>0</v>
      </c>
      <c r="R727" s="21">
        <v>0.24314280658290569</v>
      </c>
    </row>
    <row r="728" spans="1:18">
      <c r="A728" t="s">
        <v>1221</v>
      </c>
      <c r="B728" t="s">
        <v>74</v>
      </c>
      <c r="C728" t="s">
        <v>104</v>
      </c>
      <c r="D728">
        <v>2</v>
      </c>
      <c r="E728" t="s">
        <v>132</v>
      </c>
      <c r="F728" t="s">
        <v>571</v>
      </c>
      <c r="G728" t="s">
        <v>572</v>
      </c>
      <c r="H728" s="16">
        <v>252687</v>
      </c>
      <c r="I728" s="16">
        <v>131461</v>
      </c>
      <c r="J728" s="16">
        <v>13478</v>
      </c>
      <c r="K728" s="16">
        <v>223187</v>
      </c>
      <c r="L728" s="16">
        <v>212632</v>
      </c>
      <c r="M728" s="16">
        <v>29500</v>
      </c>
      <c r="N728" s="16">
        <v>-5000</v>
      </c>
      <c r="O728">
        <v>0</v>
      </c>
      <c r="P728">
        <v>5</v>
      </c>
      <c r="Q728" s="20">
        <v>0.52025232797888299</v>
      </c>
      <c r="R728" s="21">
        <v>-0.16949152542372881</v>
      </c>
    </row>
    <row r="729" spans="1:18">
      <c r="A729" t="s">
        <v>1222</v>
      </c>
      <c r="B729" t="s">
        <v>74</v>
      </c>
      <c r="C729" t="s">
        <v>104</v>
      </c>
      <c r="D729">
        <v>2</v>
      </c>
      <c r="E729" t="s">
        <v>132</v>
      </c>
      <c r="F729" t="s">
        <v>1223</v>
      </c>
      <c r="G729" t="s">
        <v>206</v>
      </c>
      <c r="H729" s="16">
        <v>248599</v>
      </c>
      <c r="I729" s="16">
        <v>168713</v>
      </c>
      <c r="J729" s="16">
        <v>6138</v>
      </c>
      <c r="K729" s="16">
        <v>212091</v>
      </c>
      <c r="L729" s="16">
        <v>145750</v>
      </c>
      <c r="M729" s="16">
        <v>36507</v>
      </c>
      <c r="N729" s="16">
        <v>3400</v>
      </c>
      <c r="O729">
        <v>0</v>
      </c>
      <c r="P729">
        <v>5</v>
      </c>
      <c r="Q729" s="20">
        <v>0.67865518364916999</v>
      </c>
      <c r="R729" s="21">
        <v>9.3132823842002901E-2</v>
      </c>
    </row>
    <row r="730" spans="1:18">
      <c r="A730" t="s">
        <v>1224</v>
      </c>
      <c r="B730" t="s">
        <v>83</v>
      </c>
      <c r="C730" t="s">
        <v>104</v>
      </c>
      <c r="D730">
        <v>2</v>
      </c>
      <c r="E730" t="s">
        <v>132</v>
      </c>
      <c r="F730" t="s">
        <v>1225</v>
      </c>
      <c r="G730" t="s">
        <v>134</v>
      </c>
      <c r="H730" s="16">
        <v>248498</v>
      </c>
      <c r="I730" s="16">
        <v>126012</v>
      </c>
      <c r="J730" s="16">
        <v>80287</v>
      </c>
      <c r="K730" s="16">
        <v>212564</v>
      </c>
      <c r="L730" s="16">
        <v>207421</v>
      </c>
      <c r="M730" s="16">
        <v>35934</v>
      </c>
      <c r="N730" s="16">
        <v>-1236</v>
      </c>
      <c r="O730">
        <v>4</v>
      </c>
      <c r="P730">
        <v>0</v>
      </c>
      <c r="Q730" s="20">
        <v>0.50709462450402021</v>
      </c>
      <c r="R730" s="21">
        <v>-3.4396393387877776E-2</v>
      </c>
    </row>
    <row r="731" spans="1:18">
      <c r="A731" t="s">
        <v>1226</v>
      </c>
      <c r="B731" t="s">
        <v>74</v>
      </c>
      <c r="C731" t="s">
        <v>104</v>
      </c>
      <c r="D731">
        <v>2</v>
      </c>
      <c r="E731" t="s">
        <v>132</v>
      </c>
      <c r="F731" t="s">
        <v>178</v>
      </c>
      <c r="G731" t="s">
        <v>179</v>
      </c>
      <c r="H731" s="16">
        <v>247060</v>
      </c>
      <c r="I731" s="16">
        <v>105286</v>
      </c>
      <c r="J731" s="16">
        <v>14059</v>
      </c>
      <c r="K731" s="16">
        <v>163384</v>
      </c>
      <c r="L731" s="16">
        <v>151697</v>
      </c>
      <c r="M731" s="16">
        <v>83676</v>
      </c>
      <c r="N731" s="16">
        <v>3850</v>
      </c>
      <c r="O731">
        <v>0</v>
      </c>
      <c r="P731">
        <v>0</v>
      </c>
      <c r="Q731" s="20">
        <v>0.426155589735287</v>
      </c>
      <c r="R731" s="21">
        <v>4.6010803575696736E-2</v>
      </c>
    </row>
    <row r="732" spans="1:18">
      <c r="A732" t="s">
        <v>1227</v>
      </c>
      <c r="B732" t="s">
        <v>77</v>
      </c>
      <c r="C732" t="s">
        <v>101</v>
      </c>
      <c r="D732">
        <v>2</v>
      </c>
      <c r="E732" t="s">
        <v>132</v>
      </c>
      <c r="F732" t="s">
        <v>404</v>
      </c>
      <c r="G732" t="s">
        <v>405</v>
      </c>
      <c r="H732" s="16">
        <v>246440</v>
      </c>
      <c r="I732" s="16">
        <v>0</v>
      </c>
      <c r="J732" s="16">
        <v>170597</v>
      </c>
      <c r="K732" s="16">
        <v>98193</v>
      </c>
      <c r="L732" s="16">
        <v>0</v>
      </c>
      <c r="M732" s="16">
        <v>148246</v>
      </c>
      <c r="N732" s="16">
        <v>747</v>
      </c>
      <c r="O732">
        <v>0</v>
      </c>
      <c r="P732">
        <v>0</v>
      </c>
      <c r="Q732" s="20">
        <v>0</v>
      </c>
      <c r="R732" s="21">
        <v>5.0389217921562807E-3</v>
      </c>
    </row>
    <row r="733" spans="1:18">
      <c r="A733" t="s">
        <v>1228</v>
      </c>
      <c r="B733" t="s">
        <v>74</v>
      </c>
      <c r="C733" t="s">
        <v>104</v>
      </c>
      <c r="D733">
        <v>2</v>
      </c>
      <c r="E733" t="s">
        <v>132</v>
      </c>
      <c r="F733" t="s">
        <v>630</v>
      </c>
      <c r="G733" t="s">
        <v>405</v>
      </c>
      <c r="H733" s="16">
        <v>245863</v>
      </c>
      <c r="I733" s="16">
        <v>173543</v>
      </c>
      <c r="J733" s="16">
        <v>9470</v>
      </c>
      <c r="K733" s="16">
        <v>194960</v>
      </c>
      <c r="L733" s="16">
        <v>188982</v>
      </c>
      <c r="M733" s="16">
        <v>50902</v>
      </c>
      <c r="N733" s="16">
        <v>-1835</v>
      </c>
      <c r="O733">
        <v>0</v>
      </c>
      <c r="P733">
        <v>10</v>
      </c>
      <c r="Q733" s="20">
        <v>0.70585244628105892</v>
      </c>
      <c r="R733" s="21">
        <v>-3.6049664060351261E-2</v>
      </c>
    </row>
    <row r="734" spans="1:18">
      <c r="A734" t="s">
        <v>1229</v>
      </c>
      <c r="B734" t="s">
        <v>86</v>
      </c>
      <c r="C734" t="s">
        <v>101</v>
      </c>
      <c r="D734">
        <v>2</v>
      </c>
      <c r="E734" t="s">
        <v>132</v>
      </c>
      <c r="F734" t="s">
        <v>145</v>
      </c>
      <c r="G734" t="s">
        <v>146</v>
      </c>
      <c r="H734" s="16">
        <v>244828</v>
      </c>
      <c r="I734" s="16">
        <v>0</v>
      </c>
      <c r="J734" s="16">
        <v>57609</v>
      </c>
      <c r="K734" s="16">
        <v>198719</v>
      </c>
      <c r="L734" s="16">
        <v>85319</v>
      </c>
      <c r="M734" s="16">
        <v>46109</v>
      </c>
      <c r="N734" s="16">
        <v>-367</v>
      </c>
      <c r="O734">
        <v>3</v>
      </c>
      <c r="P734">
        <v>0</v>
      </c>
      <c r="Q734" s="20">
        <v>0</v>
      </c>
      <c r="R734" s="21">
        <v>-7.959400550868594E-3</v>
      </c>
    </row>
    <row r="735" spans="1:18">
      <c r="A735" t="s">
        <v>1230</v>
      </c>
      <c r="B735" t="s">
        <v>86</v>
      </c>
      <c r="C735" t="s">
        <v>101</v>
      </c>
      <c r="D735">
        <v>2</v>
      </c>
      <c r="E735" t="s">
        <v>132</v>
      </c>
      <c r="F735" t="s">
        <v>133</v>
      </c>
      <c r="G735" t="s">
        <v>134</v>
      </c>
      <c r="H735" s="16">
        <v>244156</v>
      </c>
      <c r="I735" s="16">
        <v>0</v>
      </c>
      <c r="J735" s="16">
        <v>128821</v>
      </c>
      <c r="K735" s="16">
        <v>102153</v>
      </c>
      <c r="L735" s="16">
        <v>0</v>
      </c>
      <c r="M735" s="16">
        <v>142003</v>
      </c>
      <c r="N735" s="16">
        <v>-5785</v>
      </c>
      <c r="O735">
        <v>2</v>
      </c>
      <c r="P735">
        <v>8</v>
      </c>
      <c r="Q735" s="20">
        <v>0</v>
      </c>
      <c r="R735" s="21">
        <v>-4.0738575945578615E-2</v>
      </c>
    </row>
    <row r="736" spans="1:18">
      <c r="A736" t="s">
        <v>1231</v>
      </c>
      <c r="B736" t="s">
        <v>74</v>
      </c>
      <c r="C736" t="s">
        <v>104</v>
      </c>
      <c r="D736">
        <v>2</v>
      </c>
      <c r="E736" t="s">
        <v>132</v>
      </c>
      <c r="F736" t="s">
        <v>1232</v>
      </c>
      <c r="G736" t="s">
        <v>311</v>
      </c>
      <c r="H736" s="16">
        <v>243868</v>
      </c>
      <c r="I736" s="16">
        <v>126891</v>
      </c>
      <c r="J736" s="16">
        <v>9789</v>
      </c>
      <c r="K736" s="16">
        <v>207573</v>
      </c>
      <c r="L736" s="16">
        <v>184734</v>
      </c>
      <c r="M736" s="16">
        <v>36295</v>
      </c>
      <c r="N736" s="16">
        <v>1415</v>
      </c>
      <c r="O736">
        <v>0</v>
      </c>
      <c r="P736">
        <v>5</v>
      </c>
      <c r="Q736" s="20">
        <v>0.5203265701116998</v>
      </c>
      <c r="R736" s="21">
        <v>3.8986086237773797E-2</v>
      </c>
    </row>
    <row r="737" spans="1:18">
      <c r="A737" t="s">
        <v>1233</v>
      </c>
      <c r="B737" t="s">
        <v>74</v>
      </c>
      <c r="C737" t="s">
        <v>104</v>
      </c>
      <c r="D737">
        <v>2</v>
      </c>
      <c r="E737" t="s">
        <v>132</v>
      </c>
      <c r="F737" t="s">
        <v>1234</v>
      </c>
      <c r="G737" t="s">
        <v>286</v>
      </c>
      <c r="H737" s="16">
        <v>240845</v>
      </c>
      <c r="I737" s="16">
        <v>59968</v>
      </c>
      <c r="J737" s="16">
        <v>12021</v>
      </c>
      <c r="K737" s="16">
        <v>203480</v>
      </c>
      <c r="L737" s="16">
        <v>176780</v>
      </c>
      <c r="M737" s="16">
        <v>37365</v>
      </c>
      <c r="N737" s="16">
        <v>2296</v>
      </c>
      <c r="O737">
        <v>0</v>
      </c>
      <c r="P737">
        <v>5</v>
      </c>
      <c r="Q737" s="20">
        <v>0.24899001432456558</v>
      </c>
      <c r="R737" s="21">
        <v>6.1447879031178911E-2</v>
      </c>
    </row>
    <row r="738" spans="1:18">
      <c r="A738" t="s">
        <v>1235</v>
      </c>
      <c r="B738" t="s">
        <v>74</v>
      </c>
      <c r="C738" t="s">
        <v>104</v>
      </c>
      <c r="D738">
        <v>2</v>
      </c>
      <c r="E738" t="s">
        <v>132</v>
      </c>
      <c r="F738" t="s">
        <v>1236</v>
      </c>
      <c r="G738" t="s">
        <v>134</v>
      </c>
      <c r="H738" s="16">
        <v>240608</v>
      </c>
      <c r="I738" s="16">
        <v>108997</v>
      </c>
      <c r="J738" s="16">
        <v>125027</v>
      </c>
      <c r="K738" s="16">
        <v>203904</v>
      </c>
      <c r="L738" s="16">
        <v>198522</v>
      </c>
      <c r="M738" s="16">
        <v>36704</v>
      </c>
      <c r="N738" s="16">
        <v>2507</v>
      </c>
      <c r="O738">
        <v>0</v>
      </c>
      <c r="P738">
        <v>6</v>
      </c>
      <c r="Q738" s="20">
        <v>0.45300655007314805</v>
      </c>
      <c r="R738" s="21">
        <v>6.8303182214472541E-2</v>
      </c>
    </row>
    <row r="739" spans="1:18">
      <c r="A739" t="s">
        <v>1237</v>
      </c>
      <c r="B739" t="s">
        <v>89</v>
      </c>
      <c r="C739" t="s">
        <v>162</v>
      </c>
      <c r="D739">
        <v>2</v>
      </c>
      <c r="E739" t="s">
        <v>132</v>
      </c>
      <c r="F739" t="s">
        <v>133</v>
      </c>
      <c r="G739" t="s">
        <v>134</v>
      </c>
      <c r="H739" s="16">
        <v>239069</v>
      </c>
      <c r="I739" s="16">
        <v>-11013</v>
      </c>
      <c r="J739" s="16">
        <v>144717</v>
      </c>
      <c r="K739" s="16">
        <v>8271</v>
      </c>
      <c r="L739" s="16">
        <v>0</v>
      </c>
      <c r="M739" s="16">
        <v>230798</v>
      </c>
      <c r="N739" s="16">
        <v>-210931</v>
      </c>
      <c r="O739">
        <v>1</v>
      </c>
      <c r="P739">
        <v>0</v>
      </c>
      <c r="Q739" s="20">
        <v>-4.6066198461532024E-2</v>
      </c>
      <c r="R739" s="21">
        <v>-0.91392039792372548</v>
      </c>
    </row>
    <row r="740" spans="1:18">
      <c r="A740" t="s">
        <v>1238</v>
      </c>
      <c r="B740" t="s">
        <v>74</v>
      </c>
      <c r="C740" t="s">
        <v>104</v>
      </c>
      <c r="D740">
        <v>2</v>
      </c>
      <c r="E740" t="s">
        <v>132</v>
      </c>
      <c r="F740" t="s">
        <v>939</v>
      </c>
      <c r="G740" t="s">
        <v>169</v>
      </c>
      <c r="H740" s="16">
        <v>238567</v>
      </c>
      <c r="I740" s="16">
        <v>138235</v>
      </c>
      <c r="J740" s="16">
        <v>4249</v>
      </c>
      <c r="K740" s="16">
        <v>208029</v>
      </c>
      <c r="L740" s="16">
        <v>190222</v>
      </c>
      <c r="M740" s="16">
        <v>30538</v>
      </c>
      <c r="N740" s="16">
        <v>3281</v>
      </c>
      <c r="O740">
        <v>0</v>
      </c>
      <c r="P740">
        <v>4</v>
      </c>
      <c r="Q740" s="20">
        <v>0.57943889976400764</v>
      </c>
      <c r="R740" s="21">
        <v>0.10743991093064378</v>
      </c>
    </row>
    <row r="741" spans="1:18">
      <c r="A741" t="s">
        <v>1239</v>
      </c>
      <c r="B741" t="s">
        <v>74</v>
      </c>
      <c r="C741" t="s">
        <v>104</v>
      </c>
      <c r="D741">
        <v>2</v>
      </c>
      <c r="E741" t="s">
        <v>132</v>
      </c>
      <c r="F741" t="s">
        <v>986</v>
      </c>
      <c r="G741" t="s">
        <v>987</v>
      </c>
      <c r="H741" s="16">
        <v>236693</v>
      </c>
      <c r="I741" s="16">
        <v>71875</v>
      </c>
      <c r="J741" s="16">
        <v>12255</v>
      </c>
      <c r="K741" s="16">
        <v>194445</v>
      </c>
      <c r="L741" s="16">
        <v>181765</v>
      </c>
      <c r="M741" s="16">
        <v>42248</v>
      </c>
      <c r="N741" s="16">
        <v>3904</v>
      </c>
      <c r="O741">
        <v>0</v>
      </c>
      <c r="P741">
        <v>2</v>
      </c>
      <c r="Q741" s="20">
        <v>0.30366339519968905</v>
      </c>
      <c r="R741" s="21">
        <v>9.2406741147509935E-2</v>
      </c>
    </row>
    <row r="742" spans="1:18">
      <c r="A742" t="s">
        <v>1240</v>
      </c>
      <c r="B742" t="s">
        <v>74</v>
      </c>
      <c r="C742" t="s">
        <v>104</v>
      </c>
      <c r="D742">
        <v>2</v>
      </c>
      <c r="E742" t="s">
        <v>132</v>
      </c>
      <c r="F742" t="s">
        <v>1241</v>
      </c>
      <c r="G742" t="s">
        <v>134</v>
      </c>
      <c r="H742" s="16">
        <v>236594</v>
      </c>
      <c r="I742" s="16">
        <v>45045</v>
      </c>
      <c r="J742" s="16">
        <v>13069</v>
      </c>
      <c r="K742" s="16">
        <v>188503</v>
      </c>
      <c r="L742" s="16">
        <v>175382</v>
      </c>
      <c r="M742" s="16">
        <v>48092</v>
      </c>
      <c r="N742" s="16">
        <v>3001</v>
      </c>
      <c r="O742">
        <v>0</v>
      </c>
      <c r="P742">
        <v>3</v>
      </c>
      <c r="Q742" s="20">
        <v>0.19038944351927775</v>
      </c>
      <c r="R742" s="21">
        <v>6.2401230973966562E-2</v>
      </c>
    </row>
    <row r="743" spans="1:18">
      <c r="A743" t="s">
        <v>1242</v>
      </c>
      <c r="B743" t="s">
        <v>74</v>
      </c>
      <c r="C743" t="s">
        <v>104</v>
      </c>
      <c r="D743">
        <v>2</v>
      </c>
      <c r="E743" t="s">
        <v>132</v>
      </c>
      <c r="F743" t="s">
        <v>456</v>
      </c>
      <c r="G743" t="s">
        <v>169</v>
      </c>
      <c r="H743" s="16">
        <v>235463</v>
      </c>
      <c r="I743" s="16">
        <v>112144</v>
      </c>
      <c r="J743" s="16">
        <v>4913</v>
      </c>
      <c r="K743" s="16">
        <v>191517</v>
      </c>
      <c r="L743" s="16">
        <v>185525</v>
      </c>
      <c r="M743" s="16">
        <v>43946</v>
      </c>
      <c r="N743" s="16">
        <v>5679</v>
      </c>
      <c r="O743">
        <v>0</v>
      </c>
      <c r="P743">
        <v>4</v>
      </c>
      <c r="Q743" s="20">
        <v>0.47627015709474524</v>
      </c>
      <c r="R743" s="21">
        <v>0.12922677831884585</v>
      </c>
    </row>
    <row r="744" spans="1:18">
      <c r="A744" t="s">
        <v>1243</v>
      </c>
      <c r="B744" t="s">
        <v>89</v>
      </c>
      <c r="C744" t="s">
        <v>162</v>
      </c>
      <c r="D744">
        <v>2</v>
      </c>
      <c r="E744" t="s">
        <v>132</v>
      </c>
      <c r="F744" t="s">
        <v>133</v>
      </c>
      <c r="G744" t="s">
        <v>134</v>
      </c>
      <c r="H744" s="16">
        <v>233622</v>
      </c>
      <c r="I744" s="16">
        <v>0</v>
      </c>
      <c r="J744" s="16">
        <v>1622</v>
      </c>
      <c r="K744" s="16">
        <v>190865</v>
      </c>
      <c r="L744" s="16">
        <v>127416</v>
      </c>
      <c r="M744" s="16">
        <v>42756</v>
      </c>
      <c r="N744" s="16">
        <v>16445</v>
      </c>
      <c r="O744">
        <v>1</v>
      </c>
      <c r="P744">
        <v>0</v>
      </c>
      <c r="Q744" s="20">
        <v>0</v>
      </c>
      <c r="R744" s="21">
        <v>0.38462438020394796</v>
      </c>
    </row>
    <row r="745" spans="1:18">
      <c r="A745" t="s">
        <v>1244</v>
      </c>
      <c r="B745" t="s">
        <v>74</v>
      </c>
      <c r="C745" t="s">
        <v>101</v>
      </c>
      <c r="D745">
        <v>2</v>
      </c>
      <c r="E745" t="s">
        <v>132</v>
      </c>
      <c r="F745" t="s">
        <v>210</v>
      </c>
      <c r="G745" t="s">
        <v>211</v>
      </c>
      <c r="H745" s="16">
        <v>231905</v>
      </c>
      <c r="I745" s="16">
        <v>45433</v>
      </c>
      <c r="J745" s="16">
        <v>152815</v>
      </c>
      <c r="K745" s="16">
        <v>204428</v>
      </c>
      <c r="L745" s="16">
        <v>190449</v>
      </c>
      <c r="M745" s="16">
        <v>27476</v>
      </c>
      <c r="N745" s="16">
        <v>1573</v>
      </c>
      <c r="O745">
        <v>0</v>
      </c>
      <c r="P745">
        <v>2</v>
      </c>
      <c r="Q745" s="20">
        <v>0.19591211918673596</v>
      </c>
      <c r="R745" s="21">
        <v>5.7249963604600378E-2</v>
      </c>
    </row>
    <row r="746" spans="1:18">
      <c r="A746" t="s">
        <v>1245</v>
      </c>
      <c r="B746" t="s">
        <v>89</v>
      </c>
      <c r="C746" t="s">
        <v>162</v>
      </c>
      <c r="D746">
        <v>2</v>
      </c>
      <c r="E746" t="s">
        <v>132</v>
      </c>
      <c r="F746" t="s">
        <v>133</v>
      </c>
      <c r="G746" t="s">
        <v>134</v>
      </c>
      <c r="H746" s="16">
        <v>231821</v>
      </c>
      <c r="I746" s="16">
        <v>71072</v>
      </c>
      <c r="J746" s="16">
        <v>149346</v>
      </c>
      <c r="K746" s="16">
        <v>202938</v>
      </c>
      <c r="L746" s="16">
        <v>34836</v>
      </c>
      <c r="M746" s="16">
        <v>28882</v>
      </c>
      <c r="N746" s="16">
        <v>1821</v>
      </c>
      <c r="O746">
        <v>1</v>
      </c>
      <c r="P746">
        <v>0</v>
      </c>
      <c r="Q746" s="20">
        <v>0.30658137097156857</v>
      </c>
      <c r="R746" s="21">
        <v>6.3049650301225682E-2</v>
      </c>
    </row>
    <row r="747" spans="1:18">
      <c r="A747" t="s">
        <v>1246</v>
      </c>
      <c r="B747" t="s">
        <v>74</v>
      </c>
      <c r="C747" t="s">
        <v>104</v>
      </c>
      <c r="D747">
        <v>2</v>
      </c>
      <c r="E747" t="s">
        <v>132</v>
      </c>
      <c r="F747" t="s">
        <v>133</v>
      </c>
      <c r="G747" t="s">
        <v>134</v>
      </c>
      <c r="H747" s="16">
        <v>231372</v>
      </c>
      <c r="I747" s="16">
        <v>189648</v>
      </c>
      <c r="J747" s="16">
        <v>41118</v>
      </c>
      <c r="K747" s="16">
        <v>6683</v>
      </c>
      <c r="L747" s="16">
        <v>0</v>
      </c>
      <c r="M747" s="16">
        <v>224689</v>
      </c>
      <c r="N747" s="16">
        <v>12676</v>
      </c>
      <c r="O747">
        <v>0</v>
      </c>
      <c r="P747">
        <v>0</v>
      </c>
      <c r="Q747" s="20">
        <v>0.81966702971837557</v>
      </c>
      <c r="R747" s="21">
        <v>5.64157568906355E-2</v>
      </c>
    </row>
    <row r="748" spans="1:18">
      <c r="A748" t="s">
        <v>1247</v>
      </c>
      <c r="B748" t="s">
        <v>86</v>
      </c>
      <c r="C748" t="s">
        <v>101</v>
      </c>
      <c r="D748">
        <v>3</v>
      </c>
      <c r="E748" t="s">
        <v>143</v>
      </c>
      <c r="F748" t="s">
        <v>133</v>
      </c>
      <c r="G748" t="s">
        <v>134</v>
      </c>
      <c r="H748" s="16">
        <v>228176</v>
      </c>
      <c r="I748" s="16">
        <v>0</v>
      </c>
      <c r="J748" s="16">
        <v>168728</v>
      </c>
      <c r="K748" s="16">
        <v>30958</v>
      </c>
      <c r="L748" s="16">
        <v>943</v>
      </c>
      <c r="M748" s="16">
        <v>197218</v>
      </c>
      <c r="N748" s="16">
        <v>30391</v>
      </c>
      <c r="O748">
        <v>3</v>
      </c>
      <c r="P748">
        <v>0</v>
      </c>
      <c r="Q748" s="20">
        <v>0</v>
      </c>
      <c r="R748" s="21">
        <v>0.15409851027796651</v>
      </c>
    </row>
    <row r="749" spans="1:18">
      <c r="A749" t="s">
        <v>1248</v>
      </c>
      <c r="B749" t="s">
        <v>89</v>
      </c>
      <c r="C749" t="s">
        <v>162</v>
      </c>
      <c r="D749">
        <v>2</v>
      </c>
      <c r="E749" t="s">
        <v>132</v>
      </c>
      <c r="F749" t="s">
        <v>397</v>
      </c>
      <c r="G749" t="s">
        <v>169</v>
      </c>
      <c r="H749" s="16">
        <v>226717</v>
      </c>
      <c r="I749" s="16">
        <v>15361</v>
      </c>
      <c r="J749" s="16">
        <v>3475</v>
      </c>
      <c r="K749" s="16">
        <v>216708</v>
      </c>
      <c r="L749" s="16">
        <v>8262</v>
      </c>
      <c r="M749" s="16">
        <v>10009</v>
      </c>
      <c r="N749" s="16">
        <v>-743</v>
      </c>
      <c r="O749">
        <v>1</v>
      </c>
      <c r="P749">
        <v>0</v>
      </c>
      <c r="Q749" s="20">
        <v>6.7754072257484005E-2</v>
      </c>
      <c r="R749" s="21">
        <v>-7.4233190128884005E-2</v>
      </c>
    </row>
    <row r="750" spans="1:18">
      <c r="A750" t="s">
        <v>1249</v>
      </c>
      <c r="B750" t="s">
        <v>74</v>
      </c>
      <c r="C750" t="s">
        <v>104</v>
      </c>
      <c r="D750">
        <v>2</v>
      </c>
      <c r="E750" t="s">
        <v>132</v>
      </c>
      <c r="F750" t="s">
        <v>673</v>
      </c>
      <c r="G750" t="s">
        <v>169</v>
      </c>
      <c r="H750" s="16">
        <v>226339</v>
      </c>
      <c r="I750" s="16">
        <v>66297</v>
      </c>
      <c r="J750" s="16">
        <v>4508</v>
      </c>
      <c r="K750" s="16">
        <v>186123</v>
      </c>
      <c r="L750" s="16">
        <v>177585</v>
      </c>
      <c r="M750" s="16">
        <v>40216</v>
      </c>
      <c r="N750" s="16">
        <v>4177</v>
      </c>
      <c r="O750">
        <v>0</v>
      </c>
      <c r="P750">
        <v>5</v>
      </c>
      <c r="Q750" s="20">
        <v>0.29291019223377324</v>
      </c>
      <c r="R750" s="21">
        <v>0.10386413367813806</v>
      </c>
    </row>
    <row r="751" spans="1:18">
      <c r="A751" t="s">
        <v>1250</v>
      </c>
      <c r="B751" t="s">
        <v>86</v>
      </c>
      <c r="C751" t="s">
        <v>101</v>
      </c>
      <c r="D751">
        <v>3</v>
      </c>
      <c r="E751" t="s">
        <v>143</v>
      </c>
      <c r="F751" t="s">
        <v>133</v>
      </c>
      <c r="G751" t="s">
        <v>134</v>
      </c>
      <c r="H751" s="16">
        <v>220941</v>
      </c>
      <c r="I751" s="16">
        <v>0</v>
      </c>
      <c r="J751" s="16">
        <v>118464</v>
      </c>
      <c r="K751" s="16">
        <v>88247</v>
      </c>
      <c r="L751" s="16">
        <v>3650</v>
      </c>
      <c r="M751" s="16">
        <v>132694</v>
      </c>
      <c r="N751" s="16">
        <v>5480</v>
      </c>
      <c r="O751">
        <v>7</v>
      </c>
      <c r="P751">
        <v>0</v>
      </c>
      <c r="Q751" s="20">
        <v>0</v>
      </c>
      <c r="R751" s="21">
        <v>4.1298024025200837E-2</v>
      </c>
    </row>
    <row r="752" spans="1:18">
      <c r="A752" t="s">
        <v>1251</v>
      </c>
      <c r="B752" t="s">
        <v>74</v>
      </c>
      <c r="C752" t="s">
        <v>104</v>
      </c>
      <c r="D752">
        <v>2</v>
      </c>
      <c r="E752" t="s">
        <v>132</v>
      </c>
      <c r="F752" t="s">
        <v>702</v>
      </c>
      <c r="G752" t="s">
        <v>169</v>
      </c>
      <c r="H752" s="16">
        <v>219823</v>
      </c>
      <c r="I752" s="16">
        <v>106594</v>
      </c>
      <c r="J752" s="16">
        <v>5720</v>
      </c>
      <c r="K752" s="16">
        <v>188500</v>
      </c>
      <c r="L752" s="16">
        <v>182238</v>
      </c>
      <c r="M752" s="16">
        <v>31323</v>
      </c>
      <c r="N752" s="16">
        <v>3910</v>
      </c>
      <c r="O752">
        <v>0</v>
      </c>
      <c r="P752">
        <v>6</v>
      </c>
      <c r="Q752" s="20">
        <v>0.484908312596953</v>
      </c>
      <c r="R752" s="21">
        <v>0.12482840085560132</v>
      </c>
    </row>
    <row r="753" spans="1:18">
      <c r="A753" t="s">
        <v>1252</v>
      </c>
      <c r="B753" t="s">
        <v>89</v>
      </c>
      <c r="C753" t="s">
        <v>101</v>
      </c>
      <c r="D753">
        <v>2</v>
      </c>
      <c r="E753" t="s">
        <v>132</v>
      </c>
      <c r="F753" t="s">
        <v>133</v>
      </c>
      <c r="G753" t="s">
        <v>134</v>
      </c>
      <c r="H753" s="16">
        <v>219609</v>
      </c>
      <c r="I753" s="16">
        <v>0</v>
      </c>
      <c r="J753" s="16">
        <v>9347</v>
      </c>
      <c r="K753" s="16">
        <v>198337</v>
      </c>
      <c r="L753" s="16">
        <v>181017</v>
      </c>
      <c r="M753" s="16">
        <v>21272</v>
      </c>
      <c r="N753" s="16">
        <v>12856</v>
      </c>
      <c r="O753">
        <v>1</v>
      </c>
      <c r="P753">
        <v>0</v>
      </c>
      <c r="Q753" s="20">
        <v>0</v>
      </c>
      <c r="R753" s="21">
        <v>0.60436254230913877</v>
      </c>
    </row>
    <row r="754" spans="1:18">
      <c r="A754" t="s">
        <v>1253</v>
      </c>
      <c r="B754" t="s">
        <v>89</v>
      </c>
      <c r="C754" t="s">
        <v>101</v>
      </c>
      <c r="D754">
        <v>2</v>
      </c>
      <c r="E754" t="s">
        <v>132</v>
      </c>
      <c r="F754" t="s">
        <v>553</v>
      </c>
      <c r="G754" t="s">
        <v>169</v>
      </c>
      <c r="H754" s="16">
        <v>218166</v>
      </c>
      <c r="I754" s="16">
        <v>0</v>
      </c>
      <c r="J754" s="16">
        <v>1629</v>
      </c>
      <c r="K754" s="16">
        <v>124240</v>
      </c>
      <c r="L754" s="16">
        <v>0</v>
      </c>
      <c r="M754" s="16">
        <v>93927</v>
      </c>
      <c r="N754" s="16">
        <v>573</v>
      </c>
      <c r="O754">
        <v>1</v>
      </c>
      <c r="P754">
        <v>0</v>
      </c>
      <c r="Q754" s="20">
        <v>0</v>
      </c>
      <c r="R754" s="21">
        <v>6.1004822894375416E-3</v>
      </c>
    </row>
    <row r="755" spans="1:18">
      <c r="A755" t="s">
        <v>1254</v>
      </c>
      <c r="B755" t="s">
        <v>83</v>
      </c>
      <c r="C755" t="s">
        <v>101</v>
      </c>
      <c r="D755">
        <v>1</v>
      </c>
      <c r="E755" t="s">
        <v>136</v>
      </c>
      <c r="F755" t="s">
        <v>944</v>
      </c>
      <c r="G755" t="s">
        <v>945</v>
      </c>
      <c r="H755" s="16">
        <v>218103</v>
      </c>
      <c r="I755" s="16">
        <v>132341</v>
      </c>
      <c r="J755" s="16">
        <v>75475</v>
      </c>
      <c r="K755" s="16">
        <v>109358</v>
      </c>
      <c r="L755" s="16">
        <v>102584</v>
      </c>
      <c r="M755" s="16">
        <v>108745</v>
      </c>
      <c r="N755" s="16">
        <v>809</v>
      </c>
      <c r="O755">
        <v>1</v>
      </c>
      <c r="P755">
        <v>0</v>
      </c>
      <c r="Q755" s="20">
        <v>0.60678211670632687</v>
      </c>
      <c r="R755" s="21">
        <v>7.4394225021840081E-3</v>
      </c>
    </row>
    <row r="756" spans="1:18">
      <c r="A756" t="s">
        <v>1255</v>
      </c>
      <c r="B756" t="s">
        <v>74</v>
      </c>
      <c r="C756" t="s">
        <v>104</v>
      </c>
      <c r="D756">
        <v>2</v>
      </c>
      <c r="E756" t="s">
        <v>132</v>
      </c>
      <c r="F756" t="s">
        <v>137</v>
      </c>
      <c r="G756" t="s">
        <v>138</v>
      </c>
      <c r="H756" s="16">
        <v>216980</v>
      </c>
      <c r="I756" s="16">
        <v>112091</v>
      </c>
      <c r="J756" s="16">
        <v>34277</v>
      </c>
      <c r="K756" s="16">
        <v>152983</v>
      </c>
      <c r="L756" s="16">
        <v>146774</v>
      </c>
      <c r="M756" s="16">
        <v>63996</v>
      </c>
      <c r="N756" s="16">
        <v>609</v>
      </c>
      <c r="O756">
        <v>0</v>
      </c>
      <c r="P756">
        <v>2</v>
      </c>
      <c r="Q756" s="20">
        <v>0.51659599963130243</v>
      </c>
      <c r="R756" s="21">
        <v>9.5162197637352341E-3</v>
      </c>
    </row>
    <row r="757" spans="1:18">
      <c r="A757" t="s">
        <v>1256</v>
      </c>
      <c r="B757" t="s">
        <v>83</v>
      </c>
      <c r="C757" t="s">
        <v>104</v>
      </c>
      <c r="D757">
        <v>3</v>
      </c>
      <c r="E757" t="s">
        <v>143</v>
      </c>
      <c r="F757" t="s">
        <v>163</v>
      </c>
      <c r="G757" t="s">
        <v>134</v>
      </c>
      <c r="H757" s="16">
        <v>212161</v>
      </c>
      <c r="I757" s="16">
        <v>0</v>
      </c>
      <c r="J757" s="16">
        <v>158481</v>
      </c>
      <c r="K757" s="16">
        <v>52413</v>
      </c>
      <c r="L757" s="16">
        <v>0</v>
      </c>
      <c r="M757" s="16">
        <v>159749</v>
      </c>
      <c r="N757" s="16">
        <v>8990</v>
      </c>
      <c r="O757">
        <v>2</v>
      </c>
      <c r="P757">
        <v>0</v>
      </c>
      <c r="Q757" s="20">
        <v>0</v>
      </c>
      <c r="R757" s="21">
        <v>5.62757826340071E-2</v>
      </c>
    </row>
    <row r="758" spans="1:18">
      <c r="A758" t="s">
        <v>1257</v>
      </c>
      <c r="B758" t="s">
        <v>74</v>
      </c>
      <c r="C758" t="s">
        <v>104</v>
      </c>
      <c r="D758">
        <v>2</v>
      </c>
      <c r="E758" t="s">
        <v>132</v>
      </c>
      <c r="F758" t="s">
        <v>291</v>
      </c>
      <c r="G758" t="s">
        <v>292</v>
      </c>
      <c r="H758" s="16">
        <v>207463</v>
      </c>
      <c r="I758" s="16">
        <v>84847</v>
      </c>
      <c r="J758" s="16">
        <v>2469</v>
      </c>
      <c r="K758" s="16">
        <v>161310</v>
      </c>
      <c r="L758" s="16">
        <v>148585</v>
      </c>
      <c r="M758" s="16">
        <v>46152</v>
      </c>
      <c r="N758" s="16">
        <v>4005</v>
      </c>
      <c r="O758">
        <v>0</v>
      </c>
      <c r="P758">
        <v>5</v>
      </c>
      <c r="Q758" s="20">
        <v>0.40897413032685348</v>
      </c>
      <c r="R758" s="21">
        <v>8.6778471138845556E-2</v>
      </c>
    </row>
    <row r="759" spans="1:18">
      <c r="A759" t="s">
        <v>1258</v>
      </c>
      <c r="B759" t="s">
        <v>74</v>
      </c>
      <c r="C759" t="s">
        <v>104</v>
      </c>
      <c r="D759">
        <v>2</v>
      </c>
      <c r="E759" t="s">
        <v>132</v>
      </c>
      <c r="F759" t="s">
        <v>1259</v>
      </c>
      <c r="G759" t="s">
        <v>206</v>
      </c>
      <c r="H759" s="16">
        <v>207391</v>
      </c>
      <c r="I759" s="16">
        <v>146038</v>
      </c>
      <c r="J759" s="16">
        <v>5426</v>
      </c>
      <c r="K759" s="16">
        <v>187591</v>
      </c>
      <c r="L759" s="16">
        <v>135600</v>
      </c>
      <c r="M759" s="16">
        <v>19800</v>
      </c>
      <c r="N759" s="16">
        <v>-513</v>
      </c>
      <c r="O759">
        <v>0</v>
      </c>
      <c r="P759">
        <v>7</v>
      </c>
      <c r="Q759" s="20">
        <v>0.70416749039254356</v>
      </c>
      <c r="R759" s="21">
        <v>-2.5909090909090909E-2</v>
      </c>
    </row>
    <row r="760" spans="1:18">
      <c r="A760" t="s">
        <v>1260</v>
      </c>
      <c r="B760" t="s">
        <v>74</v>
      </c>
      <c r="C760" t="s">
        <v>101</v>
      </c>
      <c r="D760">
        <v>2</v>
      </c>
      <c r="E760" t="s">
        <v>132</v>
      </c>
      <c r="F760" t="s">
        <v>540</v>
      </c>
      <c r="G760" t="s">
        <v>153</v>
      </c>
      <c r="H760" s="16">
        <v>206267</v>
      </c>
      <c r="I760" s="16">
        <v>116761</v>
      </c>
      <c r="J760" s="16">
        <v>73519</v>
      </c>
      <c r="K760" s="16">
        <v>181499</v>
      </c>
      <c r="L760" s="16">
        <v>153729</v>
      </c>
      <c r="M760" s="16">
        <v>24768</v>
      </c>
      <c r="N760" s="16">
        <v>-513</v>
      </c>
      <c r="O760">
        <v>0</v>
      </c>
      <c r="P760">
        <v>1</v>
      </c>
      <c r="Q760" s="20">
        <v>0.56606728172708187</v>
      </c>
      <c r="R760" s="21">
        <v>-2.071220930232558E-2</v>
      </c>
    </row>
    <row r="761" spans="1:18">
      <c r="A761" t="s">
        <v>1261</v>
      </c>
      <c r="B761" t="s">
        <v>74</v>
      </c>
      <c r="C761" t="s">
        <v>104</v>
      </c>
      <c r="D761">
        <v>2</v>
      </c>
      <c r="E761" t="s">
        <v>132</v>
      </c>
      <c r="F761" t="s">
        <v>1262</v>
      </c>
      <c r="G761" t="s">
        <v>169</v>
      </c>
      <c r="H761" s="16">
        <v>204350</v>
      </c>
      <c r="I761" s="16">
        <v>113549</v>
      </c>
      <c r="J761" s="16">
        <v>4399</v>
      </c>
      <c r="K761" s="16">
        <v>170129</v>
      </c>
      <c r="L761" s="16">
        <v>143148</v>
      </c>
      <c r="M761" s="16">
        <v>34220</v>
      </c>
      <c r="N761" s="16">
        <v>2575</v>
      </c>
      <c r="O761">
        <v>0</v>
      </c>
      <c r="P761">
        <v>0</v>
      </c>
      <c r="Q761" s="20">
        <v>0.55565940787863954</v>
      </c>
      <c r="R761" s="21">
        <v>7.5248392752776158E-2</v>
      </c>
    </row>
    <row r="762" spans="1:18">
      <c r="A762" t="s">
        <v>1263</v>
      </c>
      <c r="B762" t="s">
        <v>89</v>
      </c>
      <c r="C762" t="s">
        <v>162</v>
      </c>
      <c r="D762">
        <v>2</v>
      </c>
      <c r="E762" t="s">
        <v>132</v>
      </c>
      <c r="F762" t="s">
        <v>163</v>
      </c>
      <c r="G762" t="s">
        <v>134</v>
      </c>
      <c r="H762" s="16">
        <v>200059</v>
      </c>
      <c r="I762" s="16">
        <v>0</v>
      </c>
      <c r="J762" s="16">
        <v>176589</v>
      </c>
      <c r="K762" s="16">
        <v>193964</v>
      </c>
      <c r="L762" s="16">
        <v>187798</v>
      </c>
      <c r="M762" s="16">
        <v>6095</v>
      </c>
      <c r="N762" s="16">
        <v>938</v>
      </c>
      <c r="O762">
        <v>1</v>
      </c>
      <c r="P762">
        <v>0</v>
      </c>
      <c r="Q762" s="20">
        <v>0</v>
      </c>
      <c r="R762" s="21">
        <v>0.15389663658736669</v>
      </c>
    </row>
    <row r="763" spans="1:18">
      <c r="A763" t="s">
        <v>1264</v>
      </c>
      <c r="B763" t="s">
        <v>89</v>
      </c>
      <c r="C763" t="s">
        <v>162</v>
      </c>
      <c r="D763">
        <v>2</v>
      </c>
      <c r="E763" t="s">
        <v>132</v>
      </c>
      <c r="F763" t="s">
        <v>152</v>
      </c>
      <c r="G763" t="s">
        <v>153</v>
      </c>
      <c r="H763" s="16">
        <v>199921</v>
      </c>
      <c r="I763" s="16">
        <v>0</v>
      </c>
      <c r="J763" s="16">
        <v>6912</v>
      </c>
      <c r="K763" s="16">
        <v>179013</v>
      </c>
      <c r="L763" s="16">
        <v>5596</v>
      </c>
      <c r="M763" s="16">
        <v>20907</v>
      </c>
      <c r="N763" s="16">
        <v>11507</v>
      </c>
      <c r="O763">
        <v>1</v>
      </c>
      <c r="P763">
        <v>0</v>
      </c>
      <c r="Q763" s="20">
        <v>0</v>
      </c>
      <c r="R763" s="21">
        <v>0.5503898215908547</v>
      </c>
    </row>
    <row r="764" spans="1:18">
      <c r="A764" t="s">
        <v>1265</v>
      </c>
      <c r="B764" t="s">
        <v>68</v>
      </c>
      <c r="C764" t="s">
        <v>101</v>
      </c>
      <c r="D764">
        <v>3</v>
      </c>
      <c r="E764" t="s">
        <v>143</v>
      </c>
      <c r="F764" t="s">
        <v>133</v>
      </c>
      <c r="G764" t="s">
        <v>134</v>
      </c>
      <c r="H764" s="16">
        <v>197601</v>
      </c>
      <c r="I764" s="16">
        <v>42411</v>
      </c>
      <c r="J764" s="16">
        <v>53499</v>
      </c>
      <c r="K764" s="16">
        <v>48387</v>
      </c>
      <c r="L764" s="16">
        <v>43051</v>
      </c>
      <c r="M764" s="16">
        <v>149214</v>
      </c>
      <c r="N764" s="16">
        <v>2830</v>
      </c>
      <c r="O764">
        <v>2</v>
      </c>
      <c r="P764">
        <v>0</v>
      </c>
      <c r="Q764" s="20">
        <v>0.21462948062003734</v>
      </c>
      <c r="R764" s="21">
        <v>1.8966048762180492E-2</v>
      </c>
    </row>
    <row r="765" spans="1:18">
      <c r="A765" t="s">
        <v>1266</v>
      </c>
      <c r="B765" t="s">
        <v>74</v>
      </c>
      <c r="C765" t="s">
        <v>104</v>
      </c>
      <c r="D765">
        <v>2</v>
      </c>
      <c r="E765" t="s">
        <v>132</v>
      </c>
      <c r="F765" t="s">
        <v>1267</v>
      </c>
      <c r="G765" t="s">
        <v>311</v>
      </c>
      <c r="H765" s="16">
        <v>196834</v>
      </c>
      <c r="I765" s="16">
        <v>98570</v>
      </c>
      <c r="J765" s="16">
        <v>8153</v>
      </c>
      <c r="K765" s="16">
        <v>155397</v>
      </c>
      <c r="L765" s="16">
        <v>135066</v>
      </c>
      <c r="M765" s="16">
        <v>41437</v>
      </c>
      <c r="N765" s="16">
        <v>3677</v>
      </c>
      <c r="O765">
        <v>0</v>
      </c>
      <c r="P765">
        <v>3</v>
      </c>
      <c r="Q765" s="20">
        <v>0.50077730473393822</v>
      </c>
      <c r="R765" s="21">
        <v>8.8737118999927603E-2</v>
      </c>
    </row>
    <row r="766" spans="1:18">
      <c r="A766" t="s">
        <v>1268</v>
      </c>
      <c r="B766" t="s">
        <v>89</v>
      </c>
      <c r="C766" t="s">
        <v>162</v>
      </c>
      <c r="D766">
        <v>3</v>
      </c>
      <c r="E766" t="s">
        <v>143</v>
      </c>
      <c r="F766" t="s">
        <v>133</v>
      </c>
      <c r="G766" t="s">
        <v>134</v>
      </c>
      <c r="H766" s="16">
        <v>192020</v>
      </c>
      <c r="I766" s="16">
        <v>51606</v>
      </c>
      <c r="J766" s="16">
        <v>106757</v>
      </c>
      <c r="K766" s="16">
        <v>172049</v>
      </c>
      <c r="L766" s="16">
        <v>0</v>
      </c>
      <c r="M766" s="16">
        <v>19971</v>
      </c>
      <c r="N766" s="16">
        <v>-3174</v>
      </c>
      <c r="O766">
        <v>1</v>
      </c>
      <c r="P766">
        <v>0</v>
      </c>
      <c r="Q766" s="20">
        <v>0.26875325486928447</v>
      </c>
      <c r="R766" s="21">
        <v>-0.15893044915126933</v>
      </c>
    </row>
    <row r="767" spans="1:18">
      <c r="A767" t="s">
        <v>1269</v>
      </c>
      <c r="B767" t="s">
        <v>74</v>
      </c>
      <c r="C767" t="s">
        <v>104</v>
      </c>
      <c r="D767">
        <v>2</v>
      </c>
      <c r="E767" t="s">
        <v>132</v>
      </c>
      <c r="F767" t="s">
        <v>1270</v>
      </c>
      <c r="G767" t="s">
        <v>169</v>
      </c>
      <c r="H767" s="16">
        <v>190467</v>
      </c>
      <c r="I767" s="16">
        <v>47468</v>
      </c>
      <c r="J767" s="16">
        <v>4238</v>
      </c>
      <c r="K767" s="16">
        <v>161836</v>
      </c>
      <c r="L767" s="16">
        <v>159044</v>
      </c>
      <c r="M767" s="16">
        <v>28630</v>
      </c>
      <c r="N767" s="16">
        <v>3586</v>
      </c>
      <c r="O767">
        <v>0</v>
      </c>
      <c r="P767">
        <v>1</v>
      </c>
      <c r="Q767" s="20">
        <v>0.24921902481794747</v>
      </c>
      <c r="R767" s="21">
        <v>0.12525323087670276</v>
      </c>
    </row>
    <row r="768" spans="1:18">
      <c r="A768" t="s">
        <v>1271</v>
      </c>
      <c r="B768" t="s">
        <v>74</v>
      </c>
      <c r="C768" t="s">
        <v>104</v>
      </c>
      <c r="D768">
        <v>2</v>
      </c>
      <c r="E768" t="s">
        <v>132</v>
      </c>
      <c r="F768" t="s">
        <v>133</v>
      </c>
      <c r="G768" t="s">
        <v>134</v>
      </c>
      <c r="H768" s="16">
        <v>190193</v>
      </c>
      <c r="I768" s="16">
        <v>79646</v>
      </c>
      <c r="J768" s="16">
        <v>100355</v>
      </c>
      <c r="K768" s="16">
        <v>20568</v>
      </c>
      <c r="L768" s="16">
        <v>0</v>
      </c>
      <c r="M768" s="16">
        <v>169625</v>
      </c>
      <c r="N768" s="16">
        <v>15316</v>
      </c>
      <c r="O768">
        <v>0</v>
      </c>
      <c r="P768">
        <v>0</v>
      </c>
      <c r="Q768" s="20">
        <v>0.41876409752199084</v>
      </c>
      <c r="R768" s="21">
        <v>9.0293294030950627E-2</v>
      </c>
    </row>
    <row r="769" spans="1:18">
      <c r="A769" t="s">
        <v>1272</v>
      </c>
      <c r="B769" t="s">
        <v>74</v>
      </c>
      <c r="C769" t="s">
        <v>104</v>
      </c>
      <c r="D769">
        <v>2</v>
      </c>
      <c r="E769" t="s">
        <v>132</v>
      </c>
      <c r="F769" t="s">
        <v>1273</v>
      </c>
      <c r="G769" t="s">
        <v>134</v>
      </c>
      <c r="H769" s="16">
        <v>185907</v>
      </c>
      <c r="I769" s="16">
        <v>70087</v>
      </c>
      <c r="J769" s="16">
        <v>99383</v>
      </c>
      <c r="K769" s="16">
        <v>170298</v>
      </c>
      <c r="L769" s="16">
        <v>165546</v>
      </c>
      <c r="M769" s="16">
        <v>15609</v>
      </c>
      <c r="N769" s="16">
        <v>-52</v>
      </c>
      <c r="O769">
        <v>0</v>
      </c>
      <c r="P769">
        <v>8</v>
      </c>
      <c r="Q769" s="20">
        <v>0.37700032812104978</v>
      </c>
      <c r="R769" s="21">
        <v>-3.3314113652380037E-3</v>
      </c>
    </row>
    <row r="770" spans="1:18">
      <c r="A770" t="s">
        <v>1274</v>
      </c>
      <c r="B770" t="s">
        <v>74</v>
      </c>
      <c r="C770" t="s">
        <v>104</v>
      </c>
      <c r="D770">
        <v>2</v>
      </c>
      <c r="E770" t="s">
        <v>132</v>
      </c>
      <c r="F770" t="s">
        <v>317</v>
      </c>
      <c r="G770" t="s">
        <v>153</v>
      </c>
      <c r="H770" s="16">
        <v>185706</v>
      </c>
      <c r="I770" s="16">
        <v>99288</v>
      </c>
      <c r="J770" s="16">
        <v>16275</v>
      </c>
      <c r="K770" s="16">
        <v>164030</v>
      </c>
      <c r="L770" s="16">
        <v>157994</v>
      </c>
      <c r="M770" s="16">
        <v>21677</v>
      </c>
      <c r="N770" s="16">
        <v>-9978</v>
      </c>
      <c r="O770">
        <v>0</v>
      </c>
      <c r="P770">
        <v>6</v>
      </c>
      <c r="Q770" s="20">
        <v>0.534651545992052</v>
      </c>
      <c r="R770" s="21">
        <v>-0.4603035475388661</v>
      </c>
    </row>
    <row r="771" spans="1:18">
      <c r="A771" t="s">
        <v>1275</v>
      </c>
      <c r="B771" t="s">
        <v>83</v>
      </c>
      <c r="C771" t="s">
        <v>101</v>
      </c>
      <c r="D771">
        <v>2</v>
      </c>
      <c r="E771" t="s">
        <v>132</v>
      </c>
      <c r="F771" t="s">
        <v>1276</v>
      </c>
      <c r="G771" t="s">
        <v>153</v>
      </c>
      <c r="H771" s="16">
        <v>180024</v>
      </c>
      <c r="I771" s="16">
        <v>163348</v>
      </c>
      <c r="J771" s="16">
        <v>8024</v>
      </c>
      <c r="K771" s="16">
        <v>154507</v>
      </c>
      <c r="L771" s="16">
        <v>141453</v>
      </c>
      <c r="M771" s="16">
        <v>25516</v>
      </c>
      <c r="N771" s="16">
        <v>1290</v>
      </c>
      <c r="O771">
        <v>2</v>
      </c>
      <c r="P771">
        <v>0</v>
      </c>
      <c r="Q771" s="20">
        <v>0.90736790650135535</v>
      </c>
      <c r="R771" s="21">
        <v>5.0556513560119143E-2</v>
      </c>
    </row>
    <row r="772" spans="1:18">
      <c r="A772" t="s">
        <v>1277</v>
      </c>
      <c r="B772" t="s">
        <v>83</v>
      </c>
      <c r="C772" t="s">
        <v>101</v>
      </c>
      <c r="D772">
        <v>2</v>
      </c>
      <c r="E772" t="s">
        <v>132</v>
      </c>
      <c r="F772" t="s">
        <v>1140</v>
      </c>
      <c r="G772" t="s">
        <v>206</v>
      </c>
      <c r="H772" s="16">
        <v>179977</v>
      </c>
      <c r="I772" s="16">
        <v>60128</v>
      </c>
      <c r="J772" s="16">
        <v>21873</v>
      </c>
      <c r="K772" s="16">
        <v>134205</v>
      </c>
      <c r="L772" s="16">
        <v>128012</v>
      </c>
      <c r="M772" s="16">
        <v>45772</v>
      </c>
      <c r="N772" s="16">
        <v>7868</v>
      </c>
      <c r="O772">
        <v>2</v>
      </c>
      <c r="P772">
        <v>0</v>
      </c>
      <c r="Q772" s="20">
        <v>0.33408713335592882</v>
      </c>
      <c r="R772" s="21">
        <v>0.17189548195403304</v>
      </c>
    </row>
    <row r="773" spans="1:18">
      <c r="A773" t="s">
        <v>1278</v>
      </c>
      <c r="B773" t="s">
        <v>74</v>
      </c>
      <c r="C773" t="s">
        <v>104</v>
      </c>
      <c r="D773">
        <v>2</v>
      </c>
      <c r="E773" t="s">
        <v>132</v>
      </c>
      <c r="F773" t="s">
        <v>1279</v>
      </c>
      <c r="G773" t="s">
        <v>843</v>
      </c>
      <c r="H773" s="16">
        <v>179139</v>
      </c>
      <c r="I773" s="16">
        <v>114553</v>
      </c>
      <c r="J773" s="16">
        <v>16941</v>
      </c>
      <c r="K773" s="16">
        <v>141717</v>
      </c>
      <c r="L773" s="16">
        <v>130110</v>
      </c>
      <c r="M773" s="16">
        <v>37421</v>
      </c>
      <c r="N773" s="16">
        <v>3711</v>
      </c>
      <c r="O773">
        <v>0</v>
      </c>
      <c r="P773">
        <v>10</v>
      </c>
      <c r="Q773" s="20">
        <v>0.63946432658438424</v>
      </c>
      <c r="R773" s="21">
        <v>9.9168915849389375E-2</v>
      </c>
    </row>
    <row r="774" spans="1:18">
      <c r="A774" t="s">
        <v>1280</v>
      </c>
      <c r="B774" t="s">
        <v>89</v>
      </c>
      <c r="C774" t="s">
        <v>162</v>
      </c>
      <c r="D774">
        <v>2</v>
      </c>
      <c r="E774" t="s">
        <v>132</v>
      </c>
      <c r="F774" t="s">
        <v>1281</v>
      </c>
      <c r="G774" t="s">
        <v>134</v>
      </c>
      <c r="H774" s="16">
        <v>177465</v>
      </c>
      <c r="I774" s="16">
        <v>99231</v>
      </c>
      <c r="J774" s="16">
        <v>1561</v>
      </c>
      <c r="K774" s="16">
        <v>156860</v>
      </c>
      <c r="L774" s="16">
        <v>42875</v>
      </c>
      <c r="M774" s="16">
        <v>20605</v>
      </c>
      <c r="N774" s="16">
        <v>-653</v>
      </c>
      <c r="O774">
        <v>1</v>
      </c>
      <c r="P774">
        <v>0</v>
      </c>
      <c r="Q774" s="20">
        <v>0.55915814385935259</v>
      </c>
      <c r="R774" s="21">
        <v>-3.1691337054113082E-2</v>
      </c>
    </row>
    <row r="775" spans="1:18">
      <c r="A775" t="s">
        <v>1282</v>
      </c>
      <c r="B775" t="s">
        <v>74</v>
      </c>
      <c r="C775" t="s">
        <v>104</v>
      </c>
      <c r="D775">
        <v>2</v>
      </c>
      <c r="E775" t="s">
        <v>132</v>
      </c>
      <c r="F775" t="s">
        <v>944</v>
      </c>
      <c r="G775" t="s">
        <v>945</v>
      </c>
      <c r="H775" s="16">
        <v>177424</v>
      </c>
      <c r="I775" s="16">
        <v>83618</v>
      </c>
      <c r="J775" s="16">
        <v>10680</v>
      </c>
      <c r="K775" s="16">
        <v>153477</v>
      </c>
      <c r="L775" s="16">
        <v>144462</v>
      </c>
      <c r="M775" s="16">
        <v>23947</v>
      </c>
      <c r="N775" s="16">
        <v>-406</v>
      </c>
      <c r="O775">
        <v>0</v>
      </c>
      <c r="P775">
        <v>6</v>
      </c>
      <c r="Q775" s="20">
        <v>0.47128911533952567</v>
      </c>
      <c r="R775" s="21">
        <v>-1.6954106986261326E-2</v>
      </c>
    </row>
    <row r="776" spans="1:18">
      <c r="A776" t="s">
        <v>1283</v>
      </c>
      <c r="B776" t="s">
        <v>74</v>
      </c>
      <c r="C776" t="s">
        <v>104</v>
      </c>
      <c r="D776">
        <v>2</v>
      </c>
      <c r="E776" t="s">
        <v>132</v>
      </c>
      <c r="F776" t="s">
        <v>205</v>
      </c>
      <c r="G776" t="s">
        <v>206</v>
      </c>
      <c r="H776" s="16">
        <v>177348</v>
      </c>
      <c r="I776" s="16">
        <v>92498</v>
      </c>
      <c r="J776" s="16">
        <v>1968</v>
      </c>
      <c r="K776" s="16">
        <v>160877</v>
      </c>
      <c r="L776" s="16">
        <v>157942</v>
      </c>
      <c r="M776" s="16">
        <v>16472</v>
      </c>
      <c r="N776" s="16">
        <v>1447</v>
      </c>
      <c r="O776">
        <v>0</v>
      </c>
      <c r="P776">
        <v>6</v>
      </c>
      <c r="Q776" s="20">
        <v>0.52156212644067035</v>
      </c>
      <c r="R776" s="21">
        <v>8.7846041767848465E-2</v>
      </c>
    </row>
    <row r="777" spans="1:18">
      <c r="A777" t="s">
        <v>1284</v>
      </c>
      <c r="B777" t="s">
        <v>74</v>
      </c>
      <c r="C777" t="s">
        <v>104</v>
      </c>
      <c r="D777">
        <v>2</v>
      </c>
      <c r="E777" t="s">
        <v>132</v>
      </c>
      <c r="F777" t="s">
        <v>1285</v>
      </c>
      <c r="G777" t="s">
        <v>134</v>
      </c>
      <c r="H777" s="16">
        <v>173520</v>
      </c>
      <c r="I777" s="16">
        <v>89497</v>
      </c>
      <c r="J777" s="16">
        <v>22431</v>
      </c>
      <c r="K777" s="16">
        <v>157309</v>
      </c>
      <c r="L777" s="16">
        <v>137562</v>
      </c>
      <c r="M777" s="16">
        <v>16210</v>
      </c>
      <c r="N777" s="16">
        <v>-286</v>
      </c>
      <c r="O777">
        <v>0</v>
      </c>
      <c r="P777">
        <v>5</v>
      </c>
      <c r="Q777" s="20">
        <v>0.51577339787920706</v>
      </c>
      <c r="R777" s="21">
        <v>-1.7643429981492906E-2</v>
      </c>
    </row>
    <row r="778" spans="1:18">
      <c r="A778" t="s">
        <v>1286</v>
      </c>
      <c r="B778" t="s">
        <v>74</v>
      </c>
      <c r="C778" t="s">
        <v>104</v>
      </c>
      <c r="D778">
        <v>2</v>
      </c>
      <c r="E778" t="s">
        <v>132</v>
      </c>
      <c r="F778" t="s">
        <v>561</v>
      </c>
      <c r="G778" t="s">
        <v>211</v>
      </c>
      <c r="H778" s="16">
        <v>173390</v>
      </c>
      <c r="I778" s="16">
        <v>27939</v>
      </c>
      <c r="J778" s="16">
        <v>1670</v>
      </c>
      <c r="K778" s="16">
        <v>157147</v>
      </c>
      <c r="L778" s="16">
        <v>146175</v>
      </c>
      <c r="M778" s="16">
        <v>16243</v>
      </c>
      <c r="N778" s="16">
        <v>2581</v>
      </c>
      <c r="O778">
        <v>0</v>
      </c>
      <c r="P778">
        <v>3</v>
      </c>
      <c r="Q778" s="20">
        <v>0.16113386008420325</v>
      </c>
      <c r="R778" s="21">
        <v>0.15889921812473065</v>
      </c>
    </row>
    <row r="779" spans="1:18">
      <c r="A779" t="s">
        <v>1287</v>
      </c>
      <c r="B779" t="s">
        <v>74</v>
      </c>
      <c r="C779" t="s">
        <v>104</v>
      </c>
      <c r="D779">
        <v>2</v>
      </c>
      <c r="E779" t="s">
        <v>132</v>
      </c>
      <c r="F779" t="s">
        <v>295</v>
      </c>
      <c r="G779" t="s">
        <v>292</v>
      </c>
      <c r="H779" s="16">
        <v>173303</v>
      </c>
      <c r="I779" s="16">
        <v>123024</v>
      </c>
      <c r="J779" s="16">
        <v>4400</v>
      </c>
      <c r="K779" s="16">
        <v>148871</v>
      </c>
      <c r="L779" s="16">
        <v>144762</v>
      </c>
      <c r="M779" s="16">
        <v>24432</v>
      </c>
      <c r="N779" s="16">
        <v>1392</v>
      </c>
      <c r="O779">
        <v>0</v>
      </c>
      <c r="P779">
        <v>3</v>
      </c>
      <c r="Q779" s="20">
        <v>0.7098780748169391</v>
      </c>
      <c r="R779" s="21">
        <v>5.6974459724950882E-2</v>
      </c>
    </row>
    <row r="780" spans="1:18">
      <c r="A780" t="s">
        <v>1288</v>
      </c>
      <c r="B780" t="s">
        <v>83</v>
      </c>
      <c r="C780" t="s">
        <v>101</v>
      </c>
      <c r="D780">
        <v>2</v>
      </c>
      <c r="E780" t="s">
        <v>132</v>
      </c>
      <c r="F780" t="s">
        <v>724</v>
      </c>
      <c r="G780" t="s">
        <v>134</v>
      </c>
      <c r="H780" s="16">
        <v>173299</v>
      </c>
      <c r="I780" s="16">
        <v>153367</v>
      </c>
      <c r="J780" s="16">
        <v>6948</v>
      </c>
      <c r="K780" s="16">
        <v>147199</v>
      </c>
      <c r="L780" s="16">
        <v>145212</v>
      </c>
      <c r="M780" s="16">
        <v>26101</v>
      </c>
      <c r="N780" s="16">
        <v>323</v>
      </c>
      <c r="O780">
        <v>2</v>
      </c>
      <c r="P780">
        <v>0</v>
      </c>
      <c r="Q780" s="20">
        <v>0.88498491047265126</v>
      </c>
      <c r="R780" s="21">
        <v>1.2375004789088541E-2</v>
      </c>
    </row>
    <row r="781" spans="1:18">
      <c r="A781" t="s">
        <v>1289</v>
      </c>
      <c r="B781" t="s">
        <v>74</v>
      </c>
      <c r="C781" t="s">
        <v>104</v>
      </c>
      <c r="D781">
        <v>2</v>
      </c>
      <c r="E781" t="s">
        <v>132</v>
      </c>
      <c r="F781" t="s">
        <v>1290</v>
      </c>
      <c r="G781" t="s">
        <v>206</v>
      </c>
      <c r="H781" s="16">
        <v>172499</v>
      </c>
      <c r="I781" s="16">
        <v>109767</v>
      </c>
      <c r="J781" s="16">
        <v>5647</v>
      </c>
      <c r="K781" s="16">
        <v>146857</v>
      </c>
      <c r="L781" s="16">
        <v>114979</v>
      </c>
      <c r="M781" s="16">
        <v>25643</v>
      </c>
      <c r="N781" s="16">
        <v>780</v>
      </c>
      <c r="O781">
        <v>0</v>
      </c>
      <c r="P781">
        <v>3</v>
      </c>
      <c r="Q781" s="20">
        <v>0.63633412367607933</v>
      </c>
      <c r="R781" s="21">
        <v>3.0417657840346293E-2</v>
      </c>
    </row>
    <row r="782" spans="1:18">
      <c r="A782" t="s">
        <v>1291</v>
      </c>
      <c r="B782" t="s">
        <v>89</v>
      </c>
      <c r="C782" t="s">
        <v>162</v>
      </c>
      <c r="D782">
        <v>2</v>
      </c>
      <c r="E782" t="s">
        <v>132</v>
      </c>
      <c r="F782" t="s">
        <v>133</v>
      </c>
      <c r="G782" t="s">
        <v>134</v>
      </c>
      <c r="H782" s="16">
        <v>171606</v>
      </c>
      <c r="I782" s="16">
        <v>0</v>
      </c>
      <c r="J782" s="16">
        <v>39888</v>
      </c>
      <c r="K782" s="16">
        <v>133592</v>
      </c>
      <c r="L782" s="16">
        <v>123494</v>
      </c>
      <c r="M782" s="16">
        <v>38014</v>
      </c>
      <c r="N782" s="16">
        <v>-2291</v>
      </c>
      <c r="O782">
        <v>1</v>
      </c>
      <c r="P782">
        <v>0</v>
      </c>
      <c r="Q782" s="20">
        <v>0</v>
      </c>
      <c r="R782" s="21">
        <v>-6.0267269953175148E-2</v>
      </c>
    </row>
    <row r="783" spans="1:18">
      <c r="A783" t="s">
        <v>1292</v>
      </c>
      <c r="B783" t="s">
        <v>74</v>
      </c>
      <c r="C783" t="s">
        <v>104</v>
      </c>
      <c r="D783">
        <v>2</v>
      </c>
      <c r="E783" t="s">
        <v>132</v>
      </c>
      <c r="F783" t="s">
        <v>133</v>
      </c>
      <c r="G783" t="s">
        <v>134</v>
      </c>
      <c r="H783" s="16">
        <v>170226</v>
      </c>
      <c r="I783" s="16">
        <v>42149</v>
      </c>
      <c r="J783" s="16">
        <v>12</v>
      </c>
      <c r="K783" s="16">
        <v>83450</v>
      </c>
      <c r="L783" s="16">
        <v>0</v>
      </c>
      <c r="M783" s="16">
        <v>86777</v>
      </c>
      <c r="N783" s="16">
        <v>8471</v>
      </c>
      <c r="O783">
        <v>0</v>
      </c>
      <c r="P783">
        <v>0</v>
      </c>
      <c r="Q783" s="20">
        <v>0.24760612362388823</v>
      </c>
      <c r="R783" s="21">
        <v>9.7618032427947504E-2</v>
      </c>
    </row>
    <row r="784" spans="1:18">
      <c r="A784" t="s">
        <v>1293</v>
      </c>
      <c r="B784" t="s">
        <v>74</v>
      </c>
      <c r="C784" t="s">
        <v>104</v>
      </c>
      <c r="D784">
        <v>2</v>
      </c>
      <c r="E784" t="s">
        <v>132</v>
      </c>
      <c r="F784" t="s">
        <v>1294</v>
      </c>
      <c r="G784" t="s">
        <v>134</v>
      </c>
      <c r="H784" s="16">
        <v>169216</v>
      </c>
      <c r="I784" s="16">
        <v>69470</v>
      </c>
      <c r="J784" s="16">
        <v>94932</v>
      </c>
      <c r="K784" s="16">
        <v>12679</v>
      </c>
      <c r="L784" s="16">
        <v>0</v>
      </c>
      <c r="M784" s="16">
        <v>156537</v>
      </c>
      <c r="N784" s="16">
        <v>9987</v>
      </c>
      <c r="O784">
        <v>0</v>
      </c>
      <c r="P784">
        <v>0</v>
      </c>
      <c r="Q784" s="20">
        <v>0.41054037443267777</v>
      </c>
      <c r="R784" s="21">
        <v>6.3799612871078409E-2</v>
      </c>
    </row>
    <row r="785" spans="1:18">
      <c r="A785" t="s">
        <v>1295</v>
      </c>
      <c r="B785" t="s">
        <v>89</v>
      </c>
      <c r="C785" t="s">
        <v>104</v>
      </c>
      <c r="D785">
        <v>3</v>
      </c>
      <c r="E785" t="s">
        <v>143</v>
      </c>
      <c r="F785" t="s">
        <v>133</v>
      </c>
      <c r="G785" t="s">
        <v>134</v>
      </c>
      <c r="H785" s="16">
        <v>167872</v>
      </c>
      <c r="I785" s="16">
        <v>0</v>
      </c>
      <c r="J785" s="16">
        <v>9748</v>
      </c>
      <c r="K785" s="16">
        <v>151664</v>
      </c>
      <c r="L785" s="16">
        <v>72427</v>
      </c>
      <c r="M785" s="16">
        <v>16207</v>
      </c>
      <c r="N785" s="16">
        <v>1377</v>
      </c>
      <c r="O785">
        <v>1</v>
      </c>
      <c r="P785">
        <v>0</v>
      </c>
      <c r="Q785" s="20">
        <v>0</v>
      </c>
      <c r="R785" s="21">
        <v>8.4963287468377863E-2</v>
      </c>
    </row>
    <row r="786" spans="1:18">
      <c r="A786" t="s">
        <v>1296</v>
      </c>
      <c r="B786" t="s">
        <v>74</v>
      </c>
      <c r="C786" t="s">
        <v>104</v>
      </c>
      <c r="D786">
        <v>2</v>
      </c>
      <c r="E786" t="s">
        <v>132</v>
      </c>
      <c r="F786" t="s">
        <v>1297</v>
      </c>
      <c r="G786" t="s">
        <v>169</v>
      </c>
      <c r="H786" s="16">
        <v>165725</v>
      </c>
      <c r="I786" s="16">
        <v>64282</v>
      </c>
      <c r="J786" s="16">
        <v>4223</v>
      </c>
      <c r="K786" s="16">
        <v>135175</v>
      </c>
      <c r="L786" s="16">
        <v>122932</v>
      </c>
      <c r="M786" s="16">
        <v>30550</v>
      </c>
      <c r="N786" s="16">
        <v>1616</v>
      </c>
      <c r="O786">
        <v>0</v>
      </c>
      <c r="P786">
        <v>1</v>
      </c>
      <c r="Q786" s="20">
        <v>0.38788354201236991</v>
      </c>
      <c r="R786" s="21">
        <v>5.2896890343698856E-2</v>
      </c>
    </row>
    <row r="787" spans="1:18">
      <c r="A787" t="s">
        <v>1298</v>
      </c>
      <c r="B787" t="s">
        <v>74</v>
      </c>
      <c r="C787" t="s">
        <v>104</v>
      </c>
      <c r="D787">
        <v>2</v>
      </c>
      <c r="E787" t="s">
        <v>132</v>
      </c>
      <c r="F787" t="s">
        <v>178</v>
      </c>
      <c r="G787" t="s">
        <v>179</v>
      </c>
      <c r="H787" s="16">
        <v>165105</v>
      </c>
      <c r="I787" s="16">
        <v>103080</v>
      </c>
      <c r="J787" s="16">
        <v>4466</v>
      </c>
      <c r="K787" s="16">
        <v>141837</v>
      </c>
      <c r="L787" s="16">
        <v>136416</v>
      </c>
      <c r="M787" s="16">
        <v>23268</v>
      </c>
      <c r="N787" s="16">
        <v>-654</v>
      </c>
      <c r="O787">
        <v>0</v>
      </c>
      <c r="P787">
        <v>3</v>
      </c>
      <c r="Q787" s="20">
        <v>0.62432997183610428</v>
      </c>
      <c r="R787" s="21">
        <v>-2.810727178958226E-2</v>
      </c>
    </row>
    <row r="788" spans="1:18">
      <c r="A788" t="s">
        <v>1299</v>
      </c>
      <c r="B788" t="s">
        <v>89</v>
      </c>
      <c r="C788" t="s">
        <v>101</v>
      </c>
      <c r="D788">
        <v>2</v>
      </c>
      <c r="E788" t="s">
        <v>132</v>
      </c>
      <c r="F788" t="s">
        <v>133</v>
      </c>
      <c r="G788" t="s">
        <v>134</v>
      </c>
      <c r="H788" s="16">
        <v>164527</v>
      </c>
      <c r="I788" s="16">
        <v>2018</v>
      </c>
      <c r="J788" s="16">
        <v>0</v>
      </c>
      <c r="K788" s="16">
        <v>157466</v>
      </c>
      <c r="L788" s="16">
        <v>113583</v>
      </c>
      <c r="M788" s="16">
        <v>7061</v>
      </c>
      <c r="N788" s="16">
        <v>-340</v>
      </c>
      <c r="O788">
        <v>1</v>
      </c>
      <c r="P788">
        <v>0</v>
      </c>
      <c r="Q788" s="20">
        <v>1.2265464027180949E-2</v>
      </c>
      <c r="R788" s="21">
        <v>-4.8151819855544543E-2</v>
      </c>
    </row>
    <row r="789" spans="1:18">
      <c r="A789" t="s">
        <v>1300</v>
      </c>
      <c r="B789" t="s">
        <v>74</v>
      </c>
      <c r="C789" t="s">
        <v>104</v>
      </c>
      <c r="D789">
        <v>2</v>
      </c>
      <c r="E789" t="s">
        <v>132</v>
      </c>
      <c r="F789" t="s">
        <v>1301</v>
      </c>
      <c r="G789" t="s">
        <v>134</v>
      </c>
      <c r="H789" s="16">
        <v>161052</v>
      </c>
      <c r="I789" s="16">
        <v>126152</v>
      </c>
      <c r="J789" s="16">
        <v>30053</v>
      </c>
      <c r="K789" s="16">
        <v>6519</v>
      </c>
      <c r="L789" s="16">
        <v>2313</v>
      </c>
      <c r="M789" s="16">
        <v>154532</v>
      </c>
      <c r="N789" s="16">
        <v>11395</v>
      </c>
      <c r="O789">
        <v>0</v>
      </c>
      <c r="P789">
        <v>0</v>
      </c>
      <c r="Q789" s="20">
        <v>0.78329980379008024</v>
      </c>
      <c r="R789" s="21">
        <v>7.3738772551963344E-2</v>
      </c>
    </row>
    <row r="790" spans="1:18">
      <c r="A790" t="s">
        <v>1302</v>
      </c>
      <c r="B790" t="s">
        <v>74</v>
      </c>
      <c r="C790" t="s">
        <v>104</v>
      </c>
      <c r="D790">
        <v>2</v>
      </c>
      <c r="E790" t="s">
        <v>132</v>
      </c>
      <c r="F790" t="s">
        <v>411</v>
      </c>
      <c r="G790" t="s">
        <v>134</v>
      </c>
      <c r="H790" s="16">
        <v>159469</v>
      </c>
      <c r="I790" s="16">
        <v>89133</v>
      </c>
      <c r="J790" s="16">
        <v>56439</v>
      </c>
      <c r="K790" s="16">
        <v>18077</v>
      </c>
      <c r="L790" s="16">
        <v>0</v>
      </c>
      <c r="M790" s="16">
        <v>141391</v>
      </c>
      <c r="N790" s="16">
        <v>7437</v>
      </c>
      <c r="O790">
        <v>0</v>
      </c>
      <c r="P790">
        <v>0</v>
      </c>
      <c r="Q790" s="20">
        <v>0.55893621957872686</v>
      </c>
      <c r="R790" s="21">
        <v>5.2598821707180797E-2</v>
      </c>
    </row>
    <row r="791" spans="1:18">
      <c r="A791" t="s">
        <v>1303</v>
      </c>
      <c r="B791" t="s">
        <v>74</v>
      </c>
      <c r="C791" t="s">
        <v>104</v>
      </c>
      <c r="D791">
        <v>2</v>
      </c>
      <c r="E791" t="s">
        <v>132</v>
      </c>
      <c r="F791" t="s">
        <v>172</v>
      </c>
      <c r="G791" t="s">
        <v>173</v>
      </c>
      <c r="H791" s="16">
        <v>159453</v>
      </c>
      <c r="I791" s="16">
        <v>120724</v>
      </c>
      <c r="J791" s="16">
        <v>8829</v>
      </c>
      <c r="K791" s="16">
        <v>136897</v>
      </c>
      <c r="L791" s="16">
        <v>132004</v>
      </c>
      <c r="M791" s="16">
        <v>22556</v>
      </c>
      <c r="N791" s="16">
        <v>569</v>
      </c>
      <c r="O791">
        <v>0</v>
      </c>
      <c r="P791">
        <v>3</v>
      </c>
      <c r="Q791" s="20">
        <v>0.75711338137256745</v>
      </c>
      <c r="R791" s="21">
        <v>2.5226103919134598E-2</v>
      </c>
    </row>
    <row r="792" spans="1:18">
      <c r="A792" t="s">
        <v>1304</v>
      </c>
      <c r="B792" t="s">
        <v>74</v>
      </c>
      <c r="C792" t="s">
        <v>104</v>
      </c>
      <c r="D792">
        <v>2</v>
      </c>
      <c r="E792" t="s">
        <v>132</v>
      </c>
      <c r="F792" t="s">
        <v>1108</v>
      </c>
      <c r="G792" t="s">
        <v>198</v>
      </c>
      <c r="H792" s="16">
        <v>158067</v>
      </c>
      <c r="I792" s="16">
        <v>105653</v>
      </c>
      <c r="J792" s="16">
        <v>13102</v>
      </c>
      <c r="K792" s="16">
        <v>122514</v>
      </c>
      <c r="L792" s="16">
        <v>116483</v>
      </c>
      <c r="M792" s="16">
        <v>35553</v>
      </c>
      <c r="N792" s="16">
        <v>606</v>
      </c>
      <c r="O792">
        <v>0</v>
      </c>
      <c r="P792">
        <v>5</v>
      </c>
      <c r="Q792" s="20">
        <v>0.66840643524581345</v>
      </c>
      <c r="R792" s="21">
        <v>1.7044975107585857E-2</v>
      </c>
    </row>
    <row r="793" spans="1:18">
      <c r="A793" t="s">
        <v>1305</v>
      </c>
      <c r="B793" t="s">
        <v>89</v>
      </c>
      <c r="C793" t="s">
        <v>162</v>
      </c>
      <c r="D793">
        <v>2</v>
      </c>
      <c r="E793" t="s">
        <v>132</v>
      </c>
      <c r="F793" t="s">
        <v>163</v>
      </c>
      <c r="G793" t="s">
        <v>134</v>
      </c>
      <c r="H793" s="16">
        <v>156161</v>
      </c>
      <c r="I793" s="16">
        <v>110756</v>
      </c>
      <c r="J793" s="16">
        <v>6405</v>
      </c>
      <c r="K793" s="16">
        <v>131435</v>
      </c>
      <c r="L793" s="16">
        <v>937</v>
      </c>
      <c r="M793" s="16">
        <v>24727</v>
      </c>
      <c r="N793" s="16">
        <v>-4133</v>
      </c>
      <c r="O793">
        <v>1</v>
      </c>
      <c r="P793">
        <v>0</v>
      </c>
      <c r="Q793" s="20">
        <v>0.70924238446218968</v>
      </c>
      <c r="R793" s="21">
        <v>-0.16714522586646177</v>
      </c>
    </row>
    <row r="794" spans="1:18">
      <c r="A794" t="s">
        <v>1306</v>
      </c>
      <c r="B794" t="s">
        <v>74</v>
      </c>
      <c r="C794" t="s">
        <v>104</v>
      </c>
      <c r="D794">
        <v>2</v>
      </c>
      <c r="E794" t="s">
        <v>132</v>
      </c>
      <c r="F794" t="s">
        <v>1108</v>
      </c>
      <c r="G794" t="s">
        <v>198</v>
      </c>
      <c r="H794" s="16">
        <v>155768</v>
      </c>
      <c r="I794" s="16">
        <v>104949</v>
      </c>
      <c r="J794" s="16">
        <v>4830</v>
      </c>
      <c r="K794" s="16">
        <v>134262</v>
      </c>
      <c r="L794" s="16">
        <v>98797</v>
      </c>
      <c r="M794" s="16">
        <v>21506</v>
      </c>
      <c r="N794" s="16">
        <v>399</v>
      </c>
      <c r="O794">
        <v>0</v>
      </c>
      <c r="P794">
        <v>3</v>
      </c>
      <c r="Q794" s="20">
        <v>0.6737519901391813</v>
      </c>
      <c r="R794" s="21">
        <v>1.855296196410304E-2</v>
      </c>
    </row>
    <row r="795" spans="1:18">
      <c r="A795" t="s">
        <v>1307</v>
      </c>
      <c r="B795" t="s">
        <v>74</v>
      </c>
      <c r="C795" t="s">
        <v>104</v>
      </c>
      <c r="D795">
        <v>2</v>
      </c>
      <c r="E795" t="s">
        <v>132</v>
      </c>
      <c r="F795" t="s">
        <v>1308</v>
      </c>
      <c r="G795" t="s">
        <v>169</v>
      </c>
      <c r="H795" s="16">
        <v>155133</v>
      </c>
      <c r="I795" s="16">
        <v>50832</v>
      </c>
      <c r="J795" s="16">
        <v>5561</v>
      </c>
      <c r="K795" s="16">
        <v>116552</v>
      </c>
      <c r="L795" s="16">
        <v>112894</v>
      </c>
      <c r="M795" s="16">
        <v>38581</v>
      </c>
      <c r="N795" s="16">
        <v>3360</v>
      </c>
      <c r="O795">
        <v>0</v>
      </c>
      <c r="P795">
        <v>2</v>
      </c>
      <c r="Q795" s="20">
        <v>0.32766722747577887</v>
      </c>
      <c r="R795" s="21">
        <v>8.7089500012959745E-2</v>
      </c>
    </row>
    <row r="796" spans="1:18">
      <c r="A796" t="s">
        <v>1309</v>
      </c>
      <c r="B796" t="s">
        <v>83</v>
      </c>
      <c r="C796" t="s">
        <v>104</v>
      </c>
      <c r="D796">
        <v>2</v>
      </c>
      <c r="E796" t="s">
        <v>132</v>
      </c>
      <c r="F796" t="s">
        <v>152</v>
      </c>
      <c r="G796" t="s">
        <v>153</v>
      </c>
      <c r="H796" s="16">
        <v>154672</v>
      </c>
      <c r="I796" s="16">
        <v>30573</v>
      </c>
      <c r="J796" s="16">
        <v>1927</v>
      </c>
      <c r="K796" s="16">
        <v>113728</v>
      </c>
      <c r="L796" s="16">
        <v>81204</v>
      </c>
      <c r="M796" s="16">
        <v>40944</v>
      </c>
      <c r="N796" s="16">
        <v>16854</v>
      </c>
      <c r="O796">
        <v>2</v>
      </c>
      <c r="P796">
        <v>0</v>
      </c>
      <c r="Q796" s="20">
        <v>0.19766344263990898</v>
      </c>
      <c r="R796" s="21">
        <v>0.41163540445486518</v>
      </c>
    </row>
    <row r="797" spans="1:18">
      <c r="A797" t="s">
        <v>1310</v>
      </c>
      <c r="B797" t="s">
        <v>74</v>
      </c>
      <c r="C797" t="s">
        <v>104</v>
      </c>
      <c r="D797">
        <v>2</v>
      </c>
      <c r="E797" t="s">
        <v>132</v>
      </c>
      <c r="F797" t="s">
        <v>525</v>
      </c>
      <c r="G797" t="s">
        <v>206</v>
      </c>
      <c r="H797" s="16">
        <v>153110</v>
      </c>
      <c r="I797" s="16">
        <v>102195</v>
      </c>
      <c r="J797" s="16">
        <v>4954</v>
      </c>
      <c r="K797" s="16">
        <v>133526</v>
      </c>
      <c r="L797" s="16">
        <v>84518</v>
      </c>
      <c r="M797" s="16">
        <v>19584</v>
      </c>
      <c r="N797" s="16">
        <v>1767</v>
      </c>
      <c r="O797">
        <v>0</v>
      </c>
      <c r="P797">
        <v>8</v>
      </c>
      <c r="Q797" s="20">
        <v>0.66746130233165701</v>
      </c>
      <c r="R797" s="21">
        <v>9.0226715686274508E-2</v>
      </c>
    </row>
    <row r="798" spans="1:18">
      <c r="A798" t="s">
        <v>1311</v>
      </c>
      <c r="B798" t="s">
        <v>74</v>
      </c>
      <c r="C798" t="s">
        <v>101</v>
      </c>
      <c r="D798">
        <v>2</v>
      </c>
      <c r="E798" t="s">
        <v>132</v>
      </c>
      <c r="F798" t="s">
        <v>152</v>
      </c>
      <c r="G798" t="s">
        <v>153</v>
      </c>
      <c r="H798" s="16">
        <v>151248</v>
      </c>
      <c r="I798" s="16">
        <v>76651</v>
      </c>
      <c r="J798" s="16">
        <v>49275</v>
      </c>
      <c r="K798" s="16">
        <v>129572</v>
      </c>
      <c r="L798" s="16">
        <v>113642</v>
      </c>
      <c r="M798" s="16">
        <v>21676</v>
      </c>
      <c r="N798" s="16">
        <v>1083</v>
      </c>
      <c r="O798">
        <v>0</v>
      </c>
      <c r="P798">
        <v>2</v>
      </c>
      <c r="Q798" s="20">
        <v>0.50679017243203217</v>
      </c>
      <c r="R798" s="21">
        <v>4.9963092821553791E-2</v>
      </c>
    </row>
    <row r="799" spans="1:18">
      <c r="A799" t="s">
        <v>1312</v>
      </c>
      <c r="B799" t="s">
        <v>74</v>
      </c>
      <c r="C799" t="s">
        <v>104</v>
      </c>
      <c r="D799">
        <v>2</v>
      </c>
      <c r="E799" t="s">
        <v>132</v>
      </c>
      <c r="F799" t="s">
        <v>210</v>
      </c>
      <c r="G799" t="s">
        <v>211</v>
      </c>
      <c r="H799" s="16">
        <v>149240</v>
      </c>
      <c r="I799" s="16">
        <v>57422</v>
      </c>
      <c r="J799" s="16">
        <v>53929</v>
      </c>
      <c r="K799" s="16">
        <v>120254</v>
      </c>
      <c r="L799" s="16">
        <v>116464</v>
      </c>
      <c r="M799" s="16">
        <v>28985</v>
      </c>
      <c r="N799" s="16">
        <v>201</v>
      </c>
      <c r="O799">
        <v>0</v>
      </c>
      <c r="P799">
        <v>4</v>
      </c>
      <c r="Q799" s="20">
        <v>0.38476279817743231</v>
      </c>
      <c r="R799" s="21">
        <v>6.9346213558737274E-3</v>
      </c>
    </row>
    <row r="800" spans="1:18">
      <c r="A800" t="s">
        <v>1313</v>
      </c>
      <c r="B800" t="s">
        <v>74</v>
      </c>
      <c r="C800" t="s">
        <v>104</v>
      </c>
      <c r="D800">
        <v>2</v>
      </c>
      <c r="E800" t="s">
        <v>132</v>
      </c>
      <c r="F800" t="s">
        <v>133</v>
      </c>
      <c r="G800" t="s">
        <v>134</v>
      </c>
      <c r="H800" s="16">
        <v>148834</v>
      </c>
      <c r="I800" s="16">
        <v>99024</v>
      </c>
      <c r="J800" s="16">
        <v>34512</v>
      </c>
      <c r="K800" s="16">
        <v>116453</v>
      </c>
      <c r="L800" s="16">
        <v>110555</v>
      </c>
      <c r="M800" s="16">
        <v>32380</v>
      </c>
      <c r="N800" s="16">
        <v>-5493</v>
      </c>
      <c r="O800">
        <v>0</v>
      </c>
      <c r="P800">
        <v>6</v>
      </c>
      <c r="Q800" s="20">
        <v>0.66533184621793406</v>
      </c>
      <c r="R800" s="21">
        <v>-0.16964175416924027</v>
      </c>
    </row>
    <row r="801" spans="1:18">
      <c r="A801" t="s">
        <v>1314</v>
      </c>
      <c r="B801" t="s">
        <v>74</v>
      </c>
      <c r="C801" t="s">
        <v>104</v>
      </c>
      <c r="D801">
        <v>2</v>
      </c>
      <c r="E801" t="s">
        <v>132</v>
      </c>
      <c r="F801" t="s">
        <v>133</v>
      </c>
      <c r="G801" t="s">
        <v>134</v>
      </c>
      <c r="H801" s="16">
        <v>148687</v>
      </c>
      <c r="I801" s="16">
        <v>4560</v>
      </c>
      <c r="J801" s="16">
        <v>143645</v>
      </c>
      <c r="K801" s="16">
        <v>131829</v>
      </c>
      <c r="L801" s="16">
        <v>130691</v>
      </c>
      <c r="M801" s="16">
        <v>16858</v>
      </c>
      <c r="N801" s="16">
        <v>2015</v>
      </c>
      <c r="O801">
        <v>0</v>
      </c>
      <c r="P801">
        <v>0</v>
      </c>
      <c r="Q801" s="20">
        <v>3.0668451175960239E-2</v>
      </c>
      <c r="R801" s="21">
        <v>0.11952782061929054</v>
      </c>
    </row>
    <row r="802" spans="1:18">
      <c r="A802" t="s">
        <v>1315</v>
      </c>
      <c r="B802" t="s">
        <v>74</v>
      </c>
      <c r="C802" t="s">
        <v>104</v>
      </c>
      <c r="D802">
        <v>2</v>
      </c>
      <c r="E802" t="s">
        <v>132</v>
      </c>
      <c r="F802" t="s">
        <v>1316</v>
      </c>
      <c r="G802" t="s">
        <v>206</v>
      </c>
      <c r="H802" s="16">
        <v>146990</v>
      </c>
      <c r="I802" s="16">
        <v>82584</v>
      </c>
      <c r="J802" s="16">
        <v>4534</v>
      </c>
      <c r="K802" s="16">
        <v>132935</v>
      </c>
      <c r="L802" s="16">
        <v>100770</v>
      </c>
      <c r="M802" s="16">
        <v>14054</v>
      </c>
      <c r="N802" s="16">
        <v>-667</v>
      </c>
      <c r="O802">
        <v>0</v>
      </c>
      <c r="P802">
        <v>3</v>
      </c>
      <c r="Q802" s="20">
        <v>0.56183413837676033</v>
      </c>
      <c r="R802" s="21">
        <v>-4.74597979222997E-2</v>
      </c>
    </row>
    <row r="803" spans="1:18">
      <c r="A803" t="s">
        <v>1317</v>
      </c>
      <c r="B803" t="s">
        <v>89</v>
      </c>
      <c r="C803" t="s">
        <v>162</v>
      </c>
      <c r="D803">
        <v>2</v>
      </c>
      <c r="E803" t="s">
        <v>132</v>
      </c>
      <c r="F803" t="s">
        <v>1318</v>
      </c>
      <c r="G803" t="s">
        <v>206</v>
      </c>
      <c r="H803" s="16">
        <v>145935</v>
      </c>
      <c r="I803" s="16">
        <v>0</v>
      </c>
      <c r="J803" s="16">
        <v>1902</v>
      </c>
      <c r="K803" s="16">
        <v>137868</v>
      </c>
      <c r="L803" s="16">
        <v>13078</v>
      </c>
      <c r="M803" s="16">
        <v>8067</v>
      </c>
      <c r="N803" s="16">
        <v>347</v>
      </c>
      <c r="O803">
        <v>1</v>
      </c>
      <c r="P803">
        <v>0</v>
      </c>
      <c r="Q803" s="20">
        <v>0</v>
      </c>
      <c r="R803" s="21">
        <v>4.3014751456551384E-2</v>
      </c>
    </row>
    <row r="804" spans="1:18">
      <c r="A804" t="s">
        <v>1319</v>
      </c>
      <c r="B804" t="s">
        <v>74</v>
      </c>
      <c r="C804" t="s">
        <v>104</v>
      </c>
      <c r="D804">
        <v>2</v>
      </c>
      <c r="E804" t="s">
        <v>132</v>
      </c>
      <c r="F804" t="s">
        <v>322</v>
      </c>
      <c r="G804" t="s">
        <v>311</v>
      </c>
      <c r="H804" s="16">
        <v>145754</v>
      </c>
      <c r="I804" s="16">
        <v>79079</v>
      </c>
      <c r="J804" s="16">
        <v>9468</v>
      </c>
      <c r="K804" s="16">
        <v>107636</v>
      </c>
      <c r="L804" s="16">
        <v>102841</v>
      </c>
      <c r="M804" s="16">
        <v>38118</v>
      </c>
      <c r="N804" s="16">
        <v>2265</v>
      </c>
      <c r="O804">
        <v>0</v>
      </c>
      <c r="P804">
        <v>4</v>
      </c>
      <c r="Q804" s="20">
        <v>0.54255114782441649</v>
      </c>
      <c r="R804" s="21">
        <v>5.942074610420274E-2</v>
      </c>
    </row>
    <row r="805" spans="1:18">
      <c r="A805" t="s">
        <v>1320</v>
      </c>
      <c r="B805" t="s">
        <v>74</v>
      </c>
      <c r="C805" t="s">
        <v>104</v>
      </c>
      <c r="D805">
        <v>2</v>
      </c>
      <c r="E805" t="s">
        <v>132</v>
      </c>
      <c r="F805" t="s">
        <v>1321</v>
      </c>
      <c r="G805" t="s">
        <v>134</v>
      </c>
      <c r="H805" s="16">
        <v>145359</v>
      </c>
      <c r="I805" s="16">
        <v>44426</v>
      </c>
      <c r="J805" s="16">
        <v>3112</v>
      </c>
      <c r="K805" s="16">
        <v>121399</v>
      </c>
      <c r="L805" s="16">
        <v>119385</v>
      </c>
      <c r="M805" s="16">
        <v>23961</v>
      </c>
      <c r="N805" s="16">
        <v>1528</v>
      </c>
      <c r="O805">
        <v>0</v>
      </c>
      <c r="P805">
        <v>1</v>
      </c>
      <c r="Q805" s="20">
        <v>0.30562951038463393</v>
      </c>
      <c r="R805" s="21">
        <v>6.3770293393430988E-2</v>
      </c>
    </row>
    <row r="806" spans="1:18">
      <c r="A806" t="s">
        <v>1322</v>
      </c>
      <c r="B806" t="s">
        <v>89</v>
      </c>
      <c r="C806" t="s">
        <v>162</v>
      </c>
      <c r="D806">
        <v>3</v>
      </c>
      <c r="E806" t="s">
        <v>143</v>
      </c>
      <c r="F806" t="s">
        <v>133</v>
      </c>
      <c r="G806" t="s">
        <v>134</v>
      </c>
      <c r="H806" s="16">
        <v>143904</v>
      </c>
      <c r="I806" s="16">
        <v>0</v>
      </c>
      <c r="J806" s="16">
        <v>108916</v>
      </c>
      <c r="K806" s="16">
        <v>131207</v>
      </c>
      <c r="L806" s="16">
        <v>107026</v>
      </c>
      <c r="M806" s="16">
        <v>12698</v>
      </c>
      <c r="N806" s="16">
        <v>4763</v>
      </c>
      <c r="O806">
        <v>1</v>
      </c>
      <c r="P806">
        <v>0</v>
      </c>
      <c r="Q806" s="20">
        <v>0</v>
      </c>
      <c r="R806" s="21">
        <v>0.37509844069932274</v>
      </c>
    </row>
    <row r="807" spans="1:18">
      <c r="A807" t="s">
        <v>1323</v>
      </c>
      <c r="B807" t="s">
        <v>74</v>
      </c>
      <c r="C807" t="s">
        <v>104</v>
      </c>
      <c r="D807">
        <v>2</v>
      </c>
      <c r="E807" t="s">
        <v>132</v>
      </c>
      <c r="F807" t="s">
        <v>673</v>
      </c>
      <c r="G807" t="s">
        <v>169</v>
      </c>
      <c r="H807" s="16">
        <v>143478</v>
      </c>
      <c r="I807" s="16">
        <v>56530</v>
      </c>
      <c r="J807" s="16">
        <v>2607</v>
      </c>
      <c r="K807" s="16">
        <v>123131</v>
      </c>
      <c r="L807" s="16">
        <v>119496</v>
      </c>
      <c r="M807" s="16">
        <v>20348</v>
      </c>
      <c r="N807" s="16">
        <v>1601</v>
      </c>
      <c r="O807">
        <v>0</v>
      </c>
      <c r="P807">
        <v>3</v>
      </c>
      <c r="Q807" s="20">
        <v>0.3939976860563989</v>
      </c>
      <c r="R807" s="21">
        <v>7.868095144485944E-2</v>
      </c>
    </row>
    <row r="808" spans="1:18">
      <c r="A808" t="s">
        <v>1324</v>
      </c>
      <c r="B808" t="s">
        <v>89</v>
      </c>
      <c r="C808" t="s">
        <v>162</v>
      </c>
      <c r="D808">
        <v>3</v>
      </c>
      <c r="E808" t="s">
        <v>143</v>
      </c>
      <c r="F808" t="s">
        <v>133</v>
      </c>
      <c r="G808" t="s">
        <v>134</v>
      </c>
      <c r="H808" s="16">
        <v>142911</v>
      </c>
      <c r="I808" s="16">
        <v>0</v>
      </c>
      <c r="J808" s="16">
        <v>0</v>
      </c>
      <c r="K808" s="16">
        <v>127670</v>
      </c>
      <c r="L808" s="16">
        <v>125575</v>
      </c>
      <c r="M808" s="16">
        <v>15241</v>
      </c>
      <c r="N808" s="16">
        <v>4916</v>
      </c>
      <c r="O808">
        <v>1</v>
      </c>
      <c r="P808">
        <v>0</v>
      </c>
      <c r="Q808" s="20">
        <v>0</v>
      </c>
      <c r="R808" s="21">
        <v>0.32255101371301098</v>
      </c>
    </row>
    <row r="809" spans="1:18">
      <c r="A809" t="s">
        <v>1325</v>
      </c>
      <c r="B809" t="s">
        <v>89</v>
      </c>
      <c r="C809" t="s">
        <v>162</v>
      </c>
      <c r="D809">
        <v>2</v>
      </c>
      <c r="E809" t="s">
        <v>132</v>
      </c>
      <c r="F809" t="s">
        <v>163</v>
      </c>
      <c r="G809" t="s">
        <v>134</v>
      </c>
      <c r="H809" s="16">
        <v>141946</v>
      </c>
      <c r="I809" s="16">
        <v>0</v>
      </c>
      <c r="J809" s="16">
        <v>48623</v>
      </c>
      <c r="K809" s="16">
        <v>115334</v>
      </c>
      <c r="L809" s="16">
        <v>37206</v>
      </c>
      <c r="M809" s="16">
        <v>26612</v>
      </c>
      <c r="N809" s="16">
        <v>7996</v>
      </c>
      <c r="O809">
        <v>1</v>
      </c>
      <c r="P809">
        <v>0</v>
      </c>
      <c r="Q809" s="20">
        <v>0</v>
      </c>
      <c r="R809" s="21">
        <v>0.30046595520817676</v>
      </c>
    </row>
    <row r="810" spans="1:18">
      <c r="A810" t="s">
        <v>1326</v>
      </c>
      <c r="B810" t="s">
        <v>74</v>
      </c>
      <c r="C810" t="s">
        <v>104</v>
      </c>
      <c r="D810">
        <v>2</v>
      </c>
      <c r="E810" t="s">
        <v>132</v>
      </c>
      <c r="F810" t="s">
        <v>133</v>
      </c>
      <c r="G810" t="s">
        <v>134</v>
      </c>
      <c r="H810" s="16">
        <v>141922</v>
      </c>
      <c r="I810" s="16">
        <v>102011</v>
      </c>
      <c r="J810" s="16">
        <v>33011</v>
      </c>
      <c r="K810" s="16">
        <v>15016</v>
      </c>
      <c r="L810" s="16">
        <v>0</v>
      </c>
      <c r="M810" s="16">
        <v>126906</v>
      </c>
      <c r="N810" s="16">
        <v>10069</v>
      </c>
      <c r="O810">
        <v>0</v>
      </c>
      <c r="P810">
        <v>0</v>
      </c>
      <c r="Q810" s="20">
        <v>0.71878214794041795</v>
      </c>
      <c r="R810" s="21">
        <v>7.9342190282571348E-2</v>
      </c>
    </row>
    <row r="811" spans="1:18">
      <c r="A811" t="s">
        <v>1327</v>
      </c>
      <c r="B811" t="s">
        <v>74</v>
      </c>
      <c r="C811" t="s">
        <v>104</v>
      </c>
      <c r="D811">
        <v>2</v>
      </c>
      <c r="E811" t="s">
        <v>132</v>
      </c>
      <c r="F811" t="s">
        <v>752</v>
      </c>
      <c r="G811" t="s">
        <v>169</v>
      </c>
      <c r="H811" s="16">
        <v>140128</v>
      </c>
      <c r="I811" s="16">
        <v>75758</v>
      </c>
      <c r="J811" s="16">
        <v>3855</v>
      </c>
      <c r="K811" s="16">
        <v>122531</v>
      </c>
      <c r="L811" s="16">
        <v>107514</v>
      </c>
      <c r="M811" s="16">
        <v>17597</v>
      </c>
      <c r="N811" s="16">
        <v>1193</v>
      </c>
      <c r="O811">
        <v>0</v>
      </c>
      <c r="P811">
        <v>0</v>
      </c>
      <c r="Q811" s="20">
        <v>0.54063427723224478</v>
      </c>
      <c r="R811" s="21">
        <v>6.779564698528158E-2</v>
      </c>
    </row>
    <row r="812" spans="1:18">
      <c r="A812" t="s">
        <v>1328</v>
      </c>
      <c r="B812" t="s">
        <v>74</v>
      </c>
      <c r="C812" t="s">
        <v>104</v>
      </c>
      <c r="D812">
        <v>2</v>
      </c>
      <c r="E812" t="s">
        <v>132</v>
      </c>
      <c r="F812" t="s">
        <v>205</v>
      </c>
      <c r="G812" t="s">
        <v>206</v>
      </c>
      <c r="H812" s="16">
        <v>139803</v>
      </c>
      <c r="I812" s="16">
        <v>43133</v>
      </c>
      <c r="J812" s="16">
        <v>11048</v>
      </c>
      <c r="K812" s="16">
        <v>102566</v>
      </c>
      <c r="L812" s="16">
        <v>64583</v>
      </c>
      <c r="M812" s="16">
        <v>37237</v>
      </c>
      <c r="N812" s="16">
        <v>50</v>
      </c>
      <c r="O812">
        <v>0</v>
      </c>
      <c r="P812">
        <v>2</v>
      </c>
      <c r="Q812" s="20">
        <v>0.30852699870532108</v>
      </c>
      <c r="R812" s="21">
        <v>1.342750490103929E-3</v>
      </c>
    </row>
    <row r="813" spans="1:18">
      <c r="A813" t="s">
        <v>1329</v>
      </c>
      <c r="B813" t="s">
        <v>74</v>
      </c>
      <c r="C813" t="s">
        <v>104</v>
      </c>
      <c r="D813">
        <v>2</v>
      </c>
      <c r="E813" t="s">
        <v>132</v>
      </c>
      <c r="F813" t="s">
        <v>168</v>
      </c>
      <c r="G813" t="s">
        <v>169</v>
      </c>
      <c r="H813" s="16">
        <v>139599</v>
      </c>
      <c r="I813" s="16">
        <v>102504</v>
      </c>
      <c r="J813" s="16">
        <v>27555</v>
      </c>
      <c r="K813" s="16">
        <v>10733</v>
      </c>
      <c r="L813" s="16">
        <v>0</v>
      </c>
      <c r="M813" s="16">
        <v>128866</v>
      </c>
      <c r="N813" s="16">
        <v>10255</v>
      </c>
      <c r="O813">
        <v>0</v>
      </c>
      <c r="P813">
        <v>1</v>
      </c>
      <c r="Q813" s="20">
        <v>0.73427460082092277</v>
      </c>
      <c r="R813" s="21">
        <v>7.9578787267394036E-2</v>
      </c>
    </row>
    <row r="814" spans="1:18">
      <c r="A814" t="s">
        <v>1330</v>
      </c>
      <c r="B814" t="s">
        <v>74</v>
      </c>
      <c r="C814" t="s">
        <v>104</v>
      </c>
      <c r="D814">
        <v>2</v>
      </c>
      <c r="E814" t="s">
        <v>132</v>
      </c>
      <c r="F814" t="s">
        <v>1331</v>
      </c>
      <c r="G814" t="s">
        <v>134</v>
      </c>
      <c r="H814" s="16">
        <v>137647</v>
      </c>
      <c r="I814" s="16">
        <v>56397</v>
      </c>
      <c r="J814" s="16">
        <v>67689</v>
      </c>
      <c r="K814" s="16">
        <v>99057</v>
      </c>
      <c r="L814" s="16">
        <v>93957</v>
      </c>
      <c r="M814" s="16">
        <v>38590</v>
      </c>
      <c r="N814" s="16">
        <v>-288</v>
      </c>
      <c r="O814">
        <v>0</v>
      </c>
      <c r="P814">
        <v>5</v>
      </c>
      <c r="Q814" s="20">
        <v>0.40972196996665383</v>
      </c>
      <c r="R814" s="21">
        <v>-7.4630733350608963E-3</v>
      </c>
    </row>
    <row r="815" spans="1:18">
      <c r="A815" t="s">
        <v>1332</v>
      </c>
      <c r="B815" t="s">
        <v>89</v>
      </c>
      <c r="C815" t="s">
        <v>162</v>
      </c>
      <c r="D815">
        <v>3</v>
      </c>
      <c r="E815" t="s">
        <v>143</v>
      </c>
      <c r="F815" t="s">
        <v>133</v>
      </c>
      <c r="G815" t="s">
        <v>134</v>
      </c>
      <c r="H815" s="16">
        <v>137482</v>
      </c>
      <c r="I815" s="16">
        <v>0</v>
      </c>
      <c r="J815" s="16">
        <v>128728</v>
      </c>
      <c r="K815" s="16">
        <v>7569</v>
      </c>
      <c r="L815" s="16">
        <v>0</v>
      </c>
      <c r="M815" s="16">
        <v>129913</v>
      </c>
      <c r="N815" s="16">
        <v>3234</v>
      </c>
      <c r="O815">
        <v>1</v>
      </c>
      <c r="P815">
        <v>0</v>
      </c>
      <c r="Q815" s="20">
        <v>0</v>
      </c>
      <c r="R815" s="21">
        <v>2.4893582628374374E-2</v>
      </c>
    </row>
    <row r="816" spans="1:18">
      <c r="A816" t="s">
        <v>1333</v>
      </c>
      <c r="B816" t="s">
        <v>74</v>
      </c>
      <c r="C816" t="s">
        <v>104</v>
      </c>
      <c r="D816">
        <v>2</v>
      </c>
      <c r="E816" t="s">
        <v>132</v>
      </c>
      <c r="F816" t="s">
        <v>1334</v>
      </c>
      <c r="G816" t="s">
        <v>169</v>
      </c>
      <c r="H816" s="16">
        <v>137177</v>
      </c>
      <c r="I816" s="16">
        <v>48934</v>
      </c>
      <c r="J816" s="16">
        <v>8505</v>
      </c>
      <c r="K816" s="16">
        <v>102326</v>
      </c>
      <c r="L816" s="16">
        <v>97153</v>
      </c>
      <c r="M816" s="16">
        <v>34851</v>
      </c>
      <c r="N816" s="16">
        <v>122</v>
      </c>
      <c r="O816">
        <v>0</v>
      </c>
      <c r="P816">
        <v>4</v>
      </c>
      <c r="Q816" s="20">
        <v>0.35672160784971241</v>
      </c>
      <c r="R816" s="21">
        <v>3.5006169119967865E-3</v>
      </c>
    </row>
    <row r="817" spans="1:18">
      <c r="A817" t="s">
        <v>1335</v>
      </c>
      <c r="B817" t="s">
        <v>74</v>
      </c>
      <c r="C817" t="s">
        <v>104</v>
      </c>
      <c r="D817">
        <v>2</v>
      </c>
      <c r="E817" t="s">
        <v>132</v>
      </c>
      <c r="F817" t="s">
        <v>168</v>
      </c>
      <c r="G817" t="s">
        <v>169</v>
      </c>
      <c r="H817" s="16">
        <v>135283</v>
      </c>
      <c r="I817" s="16">
        <v>62730</v>
      </c>
      <c r="J817" s="16">
        <v>5774</v>
      </c>
      <c r="K817" s="16">
        <v>94043</v>
      </c>
      <c r="L817" s="16">
        <v>90756</v>
      </c>
      <c r="M817" s="16">
        <v>41239</v>
      </c>
      <c r="N817" s="16">
        <v>2833</v>
      </c>
      <c r="O817">
        <v>0</v>
      </c>
      <c r="P817">
        <v>2</v>
      </c>
      <c r="Q817" s="20">
        <v>0.4636946253409519</v>
      </c>
      <c r="R817" s="21">
        <v>6.8697107107349845E-2</v>
      </c>
    </row>
    <row r="818" spans="1:18">
      <c r="A818" t="s">
        <v>1336</v>
      </c>
      <c r="B818" t="s">
        <v>83</v>
      </c>
      <c r="C818" t="s">
        <v>104</v>
      </c>
      <c r="D818">
        <v>2</v>
      </c>
      <c r="E818" t="s">
        <v>132</v>
      </c>
      <c r="F818" t="s">
        <v>172</v>
      </c>
      <c r="G818" t="s">
        <v>173</v>
      </c>
      <c r="H818" s="16">
        <v>135180</v>
      </c>
      <c r="I818" s="16">
        <v>12644</v>
      </c>
      <c r="J818" s="16">
        <v>54431</v>
      </c>
      <c r="K818" s="16">
        <v>119318</v>
      </c>
      <c r="L818" s="16">
        <v>86496</v>
      </c>
      <c r="M818" s="16">
        <v>15861</v>
      </c>
      <c r="N818" s="16">
        <v>5453</v>
      </c>
      <c r="O818">
        <v>2</v>
      </c>
      <c r="P818">
        <v>0</v>
      </c>
      <c r="Q818" s="20">
        <v>9.3534546530551863E-2</v>
      </c>
      <c r="R818" s="21">
        <v>0.34379925603681988</v>
      </c>
    </row>
    <row r="819" spans="1:18">
      <c r="A819" t="s">
        <v>1337</v>
      </c>
      <c r="B819" t="s">
        <v>74</v>
      </c>
      <c r="C819" t="s">
        <v>104</v>
      </c>
      <c r="D819">
        <v>2</v>
      </c>
      <c r="E819" t="s">
        <v>132</v>
      </c>
      <c r="F819" t="s">
        <v>168</v>
      </c>
      <c r="G819" t="s">
        <v>169</v>
      </c>
      <c r="H819" s="16">
        <v>134839</v>
      </c>
      <c r="I819" s="16">
        <v>52448</v>
      </c>
      <c r="J819" s="16">
        <v>4743</v>
      </c>
      <c r="K819" s="16">
        <v>76559</v>
      </c>
      <c r="L819" s="16">
        <v>69734</v>
      </c>
      <c r="M819" s="16">
        <v>58280</v>
      </c>
      <c r="N819" s="16">
        <v>3974</v>
      </c>
      <c r="O819">
        <v>0</v>
      </c>
      <c r="P819">
        <v>2</v>
      </c>
      <c r="Q819" s="20">
        <v>0.38896758356261912</v>
      </c>
      <c r="R819" s="21">
        <v>6.8188057652711048E-2</v>
      </c>
    </row>
    <row r="820" spans="1:18">
      <c r="A820" t="s">
        <v>1338</v>
      </c>
      <c r="B820" t="s">
        <v>89</v>
      </c>
      <c r="C820" t="s">
        <v>162</v>
      </c>
      <c r="D820">
        <v>2</v>
      </c>
      <c r="E820" t="s">
        <v>132</v>
      </c>
      <c r="F820" t="s">
        <v>210</v>
      </c>
      <c r="G820" t="s">
        <v>211</v>
      </c>
      <c r="H820" s="16">
        <v>133814</v>
      </c>
      <c r="I820" s="16">
        <v>0</v>
      </c>
      <c r="J820" s="16">
        <v>5115</v>
      </c>
      <c r="K820" s="16">
        <v>122796</v>
      </c>
      <c r="L820" s="16">
        <v>121830</v>
      </c>
      <c r="M820" s="16">
        <v>11018</v>
      </c>
      <c r="N820" s="16">
        <v>1514</v>
      </c>
      <c r="O820">
        <v>1</v>
      </c>
      <c r="P820">
        <v>0</v>
      </c>
      <c r="Q820" s="20">
        <v>0</v>
      </c>
      <c r="R820" s="21">
        <v>0.13741150844073335</v>
      </c>
    </row>
    <row r="821" spans="1:18">
      <c r="A821" t="s">
        <v>1339</v>
      </c>
      <c r="B821" t="s">
        <v>89</v>
      </c>
      <c r="C821" t="s">
        <v>104</v>
      </c>
      <c r="D821">
        <v>2</v>
      </c>
      <c r="E821" t="s">
        <v>132</v>
      </c>
      <c r="F821" t="s">
        <v>152</v>
      </c>
      <c r="G821" t="s">
        <v>153</v>
      </c>
      <c r="H821" s="16">
        <v>133376</v>
      </c>
      <c r="I821" s="16">
        <v>0</v>
      </c>
      <c r="J821" s="16">
        <v>121733</v>
      </c>
      <c r="K821" s="16">
        <v>6074</v>
      </c>
      <c r="L821" s="16">
        <v>0</v>
      </c>
      <c r="M821" s="16">
        <v>127302</v>
      </c>
      <c r="N821" s="16">
        <v>5055</v>
      </c>
      <c r="O821">
        <v>1</v>
      </c>
      <c r="P821">
        <v>0</v>
      </c>
      <c r="Q821" s="20">
        <v>0</v>
      </c>
      <c r="R821" s="21">
        <v>3.9708724136305794E-2</v>
      </c>
    </row>
    <row r="822" spans="1:18">
      <c r="A822" t="s">
        <v>1340</v>
      </c>
      <c r="B822" t="s">
        <v>74</v>
      </c>
      <c r="C822" t="s">
        <v>101</v>
      </c>
      <c r="D822">
        <v>2</v>
      </c>
      <c r="E822" t="s">
        <v>132</v>
      </c>
      <c r="F822" t="s">
        <v>210</v>
      </c>
      <c r="G822" t="s">
        <v>211</v>
      </c>
      <c r="H822" s="16">
        <v>133305</v>
      </c>
      <c r="I822" s="16">
        <v>35008</v>
      </c>
      <c r="J822" s="16">
        <v>83684</v>
      </c>
      <c r="K822" s="16">
        <v>102601</v>
      </c>
      <c r="L822" s="16">
        <v>87959</v>
      </c>
      <c r="M822" s="16">
        <v>30704</v>
      </c>
      <c r="N822" s="16">
        <v>5374</v>
      </c>
      <c r="O822">
        <v>0</v>
      </c>
      <c r="P822">
        <v>1</v>
      </c>
      <c r="Q822" s="20">
        <v>0.262615805858745</v>
      </c>
      <c r="R822" s="21">
        <v>0.17502605523710266</v>
      </c>
    </row>
    <row r="823" spans="1:18">
      <c r="A823" t="s">
        <v>1341</v>
      </c>
      <c r="B823" t="s">
        <v>83</v>
      </c>
      <c r="C823" t="s">
        <v>101</v>
      </c>
      <c r="D823">
        <v>2</v>
      </c>
      <c r="E823" t="s">
        <v>132</v>
      </c>
      <c r="F823" t="s">
        <v>133</v>
      </c>
      <c r="G823" t="s">
        <v>134</v>
      </c>
      <c r="H823" s="16">
        <v>132611</v>
      </c>
      <c r="I823" s="16">
        <v>4235</v>
      </c>
      <c r="J823" s="16">
        <v>116825</v>
      </c>
      <c r="K823" s="16">
        <v>58405</v>
      </c>
      <c r="L823" s="16">
        <v>57037</v>
      </c>
      <c r="M823" s="16">
        <v>74206</v>
      </c>
      <c r="N823" s="16">
        <v>1626</v>
      </c>
      <c r="O823">
        <v>2</v>
      </c>
      <c r="P823">
        <v>0</v>
      </c>
      <c r="Q823" s="20">
        <v>3.1935510628831695E-2</v>
      </c>
      <c r="R823" s="21">
        <v>2.1911974772929412E-2</v>
      </c>
    </row>
    <row r="824" spans="1:18">
      <c r="A824" t="s">
        <v>1342</v>
      </c>
      <c r="B824" t="s">
        <v>89</v>
      </c>
      <c r="C824" t="s">
        <v>162</v>
      </c>
      <c r="D824">
        <v>2</v>
      </c>
      <c r="E824" t="s">
        <v>132</v>
      </c>
      <c r="F824" t="s">
        <v>402</v>
      </c>
      <c r="G824" t="s">
        <v>206</v>
      </c>
      <c r="H824" s="16">
        <v>132048</v>
      </c>
      <c r="I824" s="16">
        <v>0</v>
      </c>
      <c r="J824" s="16">
        <v>5</v>
      </c>
      <c r="K824" s="16">
        <v>123892</v>
      </c>
      <c r="L824" s="16">
        <v>120028</v>
      </c>
      <c r="M824" s="16">
        <v>8156</v>
      </c>
      <c r="N824" s="16">
        <v>2240</v>
      </c>
      <c r="O824">
        <v>1</v>
      </c>
      <c r="P824">
        <v>0</v>
      </c>
      <c r="Q824" s="20">
        <v>0</v>
      </c>
      <c r="R824" s="21">
        <v>0.27464443354585583</v>
      </c>
    </row>
    <row r="825" spans="1:18">
      <c r="A825" t="s">
        <v>1343</v>
      </c>
      <c r="B825" t="s">
        <v>89</v>
      </c>
      <c r="C825" t="s">
        <v>104</v>
      </c>
      <c r="D825">
        <v>3</v>
      </c>
      <c r="E825" t="s">
        <v>143</v>
      </c>
      <c r="F825" t="s">
        <v>133</v>
      </c>
      <c r="G825" t="s">
        <v>134</v>
      </c>
      <c r="H825" s="16">
        <v>131222</v>
      </c>
      <c r="I825" s="16">
        <v>0</v>
      </c>
      <c r="J825" s="16">
        <v>47737</v>
      </c>
      <c r="K825" s="16">
        <v>78132</v>
      </c>
      <c r="L825" s="16">
        <v>49552</v>
      </c>
      <c r="M825" s="16">
        <v>53090</v>
      </c>
      <c r="N825" s="16">
        <v>4071</v>
      </c>
      <c r="O825">
        <v>1</v>
      </c>
      <c r="P825">
        <v>0</v>
      </c>
      <c r="Q825" s="20">
        <v>0</v>
      </c>
      <c r="R825" s="21">
        <v>7.668110755321153E-2</v>
      </c>
    </row>
    <row r="826" spans="1:18">
      <c r="A826" t="s">
        <v>1344</v>
      </c>
      <c r="B826" t="s">
        <v>89</v>
      </c>
      <c r="C826" t="s">
        <v>162</v>
      </c>
      <c r="D826">
        <v>2</v>
      </c>
      <c r="E826" t="s">
        <v>132</v>
      </c>
      <c r="F826" t="s">
        <v>163</v>
      </c>
      <c r="G826" t="s">
        <v>134</v>
      </c>
      <c r="H826" s="16">
        <v>129822</v>
      </c>
      <c r="I826" s="16">
        <v>0</v>
      </c>
      <c r="J826" s="16">
        <v>1034</v>
      </c>
      <c r="K826" s="16">
        <v>113690</v>
      </c>
      <c r="L826" s="16">
        <v>1145</v>
      </c>
      <c r="M826" s="16">
        <v>16132</v>
      </c>
      <c r="N826" s="16">
        <v>-239</v>
      </c>
      <c r="O826">
        <v>1</v>
      </c>
      <c r="P826">
        <v>0</v>
      </c>
      <c r="Q826" s="20">
        <v>0</v>
      </c>
      <c r="R826" s="21">
        <v>-1.4815273989585917E-2</v>
      </c>
    </row>
    <row r="827" spans="1:18">
      <c r="A827" t="s">
        <v>1345</v>
      </c>
      <c r="B827" t="s">
        <v>74</v>
      </c>
      <c r="C827" t="s">
        <v>104</v>
      </c>
      <c r="D827">
        <v>2</v>
      </c>
      <c r="E827" t="s">
        <v>132</v>
      </c>
      <c r="F827" t="s">
        <v>1346</v>
      </c>
      <c r="G827" t="s">
        <v>206</v>
      </c>
      <c r="H827" s="16">
        <v>127042</v>
      </c>
      <c r="I827" s="16">
        <v>88518</v>
      </c>
      <c r="J827" s="16">
        <v>3871</v>
      </c>
      <c r="K827" s="16">
        <v>109973</v>
      </c>
      <c r="L827" s="16">
        <v>77564</v>
      </c>
      <c r="M827" s="16">
        <v>17069</v>
      </c>
      <c r="N827" s="16">
        <v>1083</v>
      </c>
      <c r="O827">
        <v>0</v>
      </c>
      <c r="P827">
        <v>4</v>
      </c>
      <c r="Q827" s="20">
        <v>0.69676170085483546</v>
      </c>
      <c r="R827" s="21">
        <v>6.3448356669986522E-2</v>
      </c>
    </row>
    <row r="828" spans="1:18">
      <c r="A828" t="s">
        <v>1347</v>
      </c>
      <c r="B828" t="s">
        <v>74</v>
      </c>
      <c r="C828" t="s">
        <v>104</v>
      </c>
      <c r="D828">
        <v>2</v>
      </c>
      <c r="E828" t="s">
        <v>132</v>
      </c>
      <c r="F828" t="s">
        <v>1348</v>
      </c>
      <c r="G828" t="s">
        <v>134</v>
      </c>
      <c r="H828" s="16">
        <v>126610</v>
      </c>
      <c r="I828" s="16">
        <v>86776</v>
      </c>
      <c r="J828" s="16">
        <v>34826</v>
      </c>
      <c r="K828" s="16">
        <v>3259</v>
      </c>
      <c r="L828" s="16">
        <v>0</v>
      </c>
      <c r="M828" s="16">
        <v>123351</v>
      </c>
      <c r="N828" s="16">
        <v>8043</v>
      </c>
      <c r="O828">
        <v>0</v>
      </c>
      <c r="P828">
        <v>1</v>
      </c>
      <c r="Q828" s="20">
        <v>0.68538030171392461</v>
      </c>
      <c r="R828" s="21">
        <v>6.5204173456234651E-2</v>
      </c>
    </row>
    <row r="829" spans="1:18">
      <c r="A829" t="s">
        <v>1349</v>
      </c>
      <c r="B829" t="s">
        <v>86</v>
      </c>
      <c r="C829" t="s">
        <v>101</v>
      </c>
      <c r="D829">
        <v>2</v>
      </c>
      <c r="E829" t="s">
        <v>132</v>
      </c>
      <c r="F829" t="s">
        <v>133</v>
      </c>
      <c r="G829" t="s">
        <v>134</v>
      </c>
      <c r="H829" s="16">
        <v>126171</v>
      </c>
      <c r="I829" s="16">
        <v>0</v>
      </c>
      <c r="J829" s="16">
        <v>34318</v>
      </c>
      <c r="K829" s="16">
        <v>86143</v>
      </c>
      <c r="L829" s="16">
        <v>0</v>
      </c>
      <c r="M829" s="16">
        <v>40028</v>
      </c>
      <c r="N829" s="16">
        <v>-1303</v>
      </c>
      <c r="O829">
        <v>3</v>
      </c>
      <c r="P829">
        <v>0</v>
      </c>
      <c r="Q829" s="20">
        <v>0</v>
      </c>
      <c r="R829" s="21">
        <v>-3.2552213450584594E-2</v>
      </c>
    </row>
    <row r="830" spans="1:18">
      <c r="A830" t="s">
        <v>1350</v>
      </c>
      <c r="B830" t="s">
        <v>83</v>
      </c>
      <c r="C830" t="s">
        <v>104</v>
      </c>
      <c r="D830">
        <v>2</v>
      </c>
      <c r="E830" t="s">
        <v>132</v>
      </c>
      <c r="F830" t="s">
        <v>133</v>
      </c>
      <c r="G830" t="s">
        <v>134</v>
      </c>
      <c r="H830" s="16">
        <v>124765</v>
      </c>
      <c r="I830" s="16">
        <v>16993</v>
      </c>
      <c r="J830" s="16">
        <v>0</v>
      </c>
      <c r="K830" s="16">
        <v>41298</v>
      </c>
      <c r="L830" s="16">
        <v>269</v>
      </c>
      <c r="M830" s="16">
        <v>83467</v>
      </c>
      <c r="N830" s="16">
        <v>57894</v>
      </c>
      <c r="O830">
        <v>2</v>
      </c>
      <c r="P830">
        <v>0</v>
      </c>
      <c r="Q830" s="20">
        <v>0.13620005610547831</v>
      </c>
      <c r="R830" s="21">
        <v>0.69361544083290405</v>
      </c>
    </row>
    <row r="831" spans="1:18">
      <c r="A831" t="s">
        <v>1351</v>
      </c>
      <c r="B831" t="s">
        <v>83</v>
      </c>
      <c r="C831" t="s">
        <v>101</v>
      </c>
      <c r="D831">
        <v>3</v>
      </c>
      <c r="E831" t="s">
        <v>143</v>
      </c>
      <c r="F831" t="s">
        <v>133</v>
      </c>
      <c r="G831" t="s">
        <v>134</v>
      </c>
      <c r="H831" s="16">
        <v>123609</v>
      </c>
      <c r="I831" s="16">
        <v>20025</v>
      </c>
      <c r="J831" s="16">
        <v>62180</v>
      </c>
      <c r="K831" s="16">
        <v>12822</v>
      </c>
      <c r="L831" s="16">
        <v>86</v>
      </c>
      <c r="M831" s="16">
        <v>110787</v>
      </c>
      <c r="N831" s="16">
        <v>6504</v>
      </c>
      <c r="O831">
        <v>4</v>
      </c>
      <c r="P831">
        <v>0</v>
      </c>
      <c r="Q831" s="20">
        <v>0.16200276678882605</v>
      </c>
      <c r="R831" s="21">
        <v>5.870724904546562E-2</v>
      </c>
    </row>
    <row r="832" spans="1:18">
      <c r="A832" t="s">
        <v>1352</v>
      </c>
      <c r="B832" t="s">
        <v>74</v>
      </c>
      <c r="C832" t="s">
        <v>101</v>
      </c>
      <c r="D832">
        <v>2</v>
      </c>
      <c r="E832" t="s">
        <v>132</v>
      </c>
      <c r="F832" t="s">
        <v>172</v>
      </c>
      <c r="G832" t="s">
        <v>173</v>
      </c>
      <c r="H832" s="16">
        <v>123366</v>
      </c>
      <c r="I832" s="16">
        <v>57331</v>
      </c>
      <c r="J832" s="16">
        <v>29471</v>
      </c>
      <c r="K832" s="16">
        <v>108592</v>
      </c>
      <c r="L832" s="16">
        <v>102267</v>
      </c>
      <c r="M832" s="16">
        <v>14774</v>
      </c>
      <c r="N832" s="16">
        <v>2308</v>
      </c>
      <c r="O832">
        <v>0</v>
      </c>
      <c r="P832">
        <v>2</v>
      </c>
      <c r="Q832" s="20">
        <v>0.46472285718917694</v>
      </c>
      <c r="R832" s="21">
        <v>0.1562203871666441</v>
      </c>
    </row>
    <row r="833" spans="1:18">
      <c r="A833" t="s">
        <v>1353</v>
      </c>
      <c r="B833" t="s">
        <v>74</v>
      </c>
      <c r="C833" t="s">
        <v>104</v>
      </c>
      <c r="D833">
        <v>2</v>
      </c>
      <c r="E833" t="s">
        <v>132</v>
      </c>
      <c r="F833" t="s">
        <v>530</v>
      </c>
      <c r="G833" t="s">
        <v>134</v>
      </c>
      <c r="H833" s="16">
        <v>121685</v>
      </c>
      <c r="I833" s="16">
        <v>44838</v>
      </c>
      <c r="J833" s="16">
        <v>70906</v>
      </c>
      <c r="K833" s="16">
        <v>103156</v>
      </c>
      <c r="L833" s="16">
        <v>99924</v>
      </c>
      <c r="M833" s="16">
        <v>18529</v>
      </c>
      <c r="N833" s="16">
        <v>947</v>
      </c>
      <c r="O833">
        <v>0</v>
      </c>
      <c r="P833">
        <v>4</v>
      </c>
      <c r="Q833" s="20">
        <v>0.36847598307104407</v>
      </c>
      <c r="R833" s="21">
        <v>5.1109072265097956E-2</v>
      </c>
    </row>
    <row r="834" spans="1:18">
      <c r="A834" t="s">
        <v>1354</v>
      </c>
      <c r="B834" t="s">
        <v>74</v>
      </c>
      <c r="C834" t="s">
        <v>104</v>
      </c>
      <c r="D834">
        <v>2</v>
      </c>
      <c r="E834" t="s">
        <v>132</v>
      </c>
      <c r="F834" t="s">
        <v>137</v>
      </c>
      <c r="G834" t="s">
        <v>138</v>
      </c>
      <c r="H834" s="16">
        <v>121115</v>
      </c>
      <c r="I834" s="16">
        <v>86413</v>
      </c>
      <c r="J834" s="16">
        <v>15044</v>
      </c>
      <c r="K834" s="16">
        <v>86899</v>
      </c>
      <c r="L834" s="16">
        <v>82067</v>
      </c>
      <c r="M834" s="16">
        <v>34215</v>
      </c>
      <c r="N834" s="16">
        <v>2150</v>
      </c>
      <c r="O834">
        <v>0</v>
      </c>
      <c r="P834">
        <v>1</v>
      </c>
      <c r="Q834" s="20">
        <v>0.71347892498864718</v>
      </c>
      <c r="R834" s="21">
        <v>6.2837936577524484E-2</v>
      </c>
    </row>
    <row r="835" spans="1:18">
      <c r="A835" t="s">
        <v>1355</v>
      </c>
      <c r="B835" t="s">
        <v>89</v>
      </c>
      <c r="C835" t="s">
        <v>92</v>
      </c>
      <c r="D835">
        <v>2</v>
      </c>
      <c r="E835" t="s">
        <v>132</v>
      </c>
      <c r="F835" t="s">
        <v>141</v>
      </c>
      <c r="G835" t="s">
        <v>134</v>
      </c>
      <c r="H835" s="16">
        <v>119144</v>
      </c>
      <c r="I835" s="16">
        <v>0</v>
      </c>
      <c r="J835" s="16">
        <v>12</v>
      </c>
      <c r="K835" s="16">
        <v>91957</v>
      </c>
      <c r="L835" s="16">
        <v>68852</v>
      </c>
      <c r="M835" s="16">
        <v>27186</v>
      </c>
      <c r="N835" s="16">
        <v>-22223</v>
      </c>
      <c r="O835">
        <v>1</v>
      </c>
      <c r="P835">
        <v>0</v>
      </c>
      <c r="Q835" s="20">
        <v>0</v>
      </c>
      <c r="R835" s="21">
        <v>-0.81744280144191861</v>
      </c>
    </row>
    <row r="836" spans="1:18">
      <c r="A836" t="s">
        <v>1356</v>
      </c>
      <c r="B836" t="s">
        <v>89</v>
      </c>
      <c r="C836" t="s">
        <v>101</v>
      </c>
      <c r="D836">
        <v>2</v>
      </c>
      <c r="E836" t="s">
        <v>132</v>
      </c>
      <c r="F836" t="s">
        <v>168</v>
      </c>
      <c r="G836" t="s">
        <v>169</v>
      </c>
      <c r="H836" s="16">
        <v>118864</v>
      </c>
      <c r="I836" s="16">
        <v>0</v>
      </c>
      <c r="J836" s="16">
        <v>2995</v>
      </c>
      <c r="K836" s="16">
        <v>107762</v>
      </c>
      <c r="L836" s="16">
        <v>93907</v>
      </c>
      <c r="M836" s="16">
        <v>11103</v>
      </c>
      <c r="N836" s="16">
        <v>-14104</v>
      </c>
      <c r="O836">
        <v>1</v>
      </c>
      <c r="P836">
        <v>0</v>
      </c>
      <c r="Q836" s="20">
        <v>0</v>
      </c>
      <c r="R836" s="21">
        <v>-1.2702873097361074</v>
      </c>
    </row>
    <row r="837" spans="1:18">
      <c r="A837" t="s">
        <v>1357</v>
      </c>
      <c r="B837" t="s">
        <v>74</v>
      </c>
      <c r="C837" t="s">
        <v>104</v>
      </c>
      <c r="D837">
        <v>2</v>
      </c>
      <c r="E837" t="s">
        <v>132</v>
      </c>
      <c r="F837" t="s">
        <v>1358</v>
      </c>
      <c r="G837" t="s">
        <v>843</v>
      </c>
      <c r="H837" s="16">
        <v>118803</v>
      </c>
      <c r="I837" s="16">
        <v>70417</v>
      </c>
      <c r="J837" s="16">
        <v>8717</v>
      </c>
      <c r="K837" s="16">
        <v>92572</v>
      </c>
      <c r="L837" s="16">
        <v>87300</v>
      </c>
      <c r="M837" s="16">
        <v>26231</v>
      </c>
      <c r="N837" s="16">
        <v>614</v>
      </c>
      <c r="O837">
        <v>0</v>
      </c>
      <c r="P837">
        <v>0</v>
      </c>
      <c r="Q837" s="20">
        <v>0.59272072254067654</v>
      </c>
      <c r="R837" s="21">
        <v>2.3407418703061265E-2</v>
      </c>
    </row>
    <row r="838" spans="1:18">
      <c r="A838" t="s">
        <v>1359</v>
      </c>
      <c r="B838" t="s">
        <v>74</v>
      </c>
      <c r="C838" t="s">
        <v>104</v>
      </c>
      <c r="D838">
        <v>2</v>
      </c>
      <c r="E838" t="s">
        <v>132</v>
      </c>
      <c r="F838" t="s">
        <v>1360</v>
      </c>
      <c r="G838" t="s">
        <v>311</v>
      </c>
      <c r="H838" s="16">
        <v>117781</v>
      </c>
      <c r="I838" s="16">
        <v>61829</v>
      </c>
      <c r="J838" s="16">
        <v>5519</v>
      </c>
      <c r="K838" s="16">
        <v>91804</v>
      </c>
      <c r="L838" s="16">
        <v>67216</v>
      </c>
      <c r="M838" s="16">
        <v>25977</v>
      </c>
      <c r="N838" s="16">
        <v>1734</v>
      </c>
      <c r="O838">
        <v>0</v>
      </c>
      <c r="P838">
        <v>0</v>
      </c>
      <c r="Q838" s="20">
        <v>0.52494884573912604</v>
      </c>
      <c r="R838" s="21">
        <v>6.6751356969626974E-2</v>
      </c>
    </row>
    <row r="839" spans="1:18">
      <c r="A839" t="s">
        <v>1361</v>
      </c>
      <c r="B839" t="s">
        <v>89</v>
      </c>
      <c r="C839" t="s">
        <v>104</v>
      </c>
      <c r="D839">
        <v>2</v>
      </c>
      <c r="E839" t="s">
        <v>132</v>
      </c>
      <c r="F839" t="s">
        <v>133</v>
      </c>
      <c r="G839" t="s">
        <v>134</v>
      </c>
      <c r="H839" s="16">
        <v>117084</v>
      </c>
      <c r="I839" s="16">
        <v>0</v>
      </c>
      <c r="J839" s="16">
        <v>93393</v>
      </c>
      <c r="K839" s="16">
        <v>104528</v>
      </c>
      <c r="L839" s="16">
        <v>104111</v>
      </c>
      <c r="M839" s="16">
        <v>12556</v>
      </c>
      <c r="N839" s="16">
        <v>1750</v>
      </c>
      <c r="O839">
        <v>1</v>
      </c>
      <c r="P839">
        <v>0</v>
      </c>
      <c r="Q839" s="20">
        <v>0</v>
      </c>
      <c r="R839" s="21">
        <v>0.13937559732398852</v>
      </c>
    </row>
    <row r="840" spans="1:18">
      <c r="A840" t="s">
        <v>1362</v>
      </c>
      <c r="B840" t="s">
        <v>89</v>
      </c>
      <c r="C840" t="s">
        <v>162</v>
      </c>
      <c r="D840">
        <v>2</v>
      </c>
      <c r="E840" t="s">
        <v>132</v>
      </c>
      <c r="F840" t="s">
        <v>163</v>
      </c>
      <c r="G840" t="s">
        <v>134</v>
      </c>
      <c r="H840" s="16">
        <v>117066</v>
      </c>
      <c r="I840" s="16">
        <v>0</v>
      </c>
      <c r="J840" s="16">
        <v>0</v>
      </c>
      <c r="K840" s="16">
        <v>102958</v>
      </c>
      <c r="L840" s="16">
        <v>98401</v>
      </c>
      <c r="M840" s="16">
        <v>14108</v>
      </c>
      <c r="N840" s="16">
        <v>-4078</v>
      </c>
      <c r="O840">
        <v>1</v>
      </c>
      <c r="P840">
        <v>0</v>
      </c>
      <c r="Q840" s="20">
        <v>0</v>
      </c>
      <c r="R840" s="21">
        <v>-0.28905585483413665</v>
      </c>
    </row>
    <row r="841" spans="1:18">
      <c r="A841" t="s">
        <v>1363</v>
      </c>
      <c r="B841" t="s">
        <v>74</v>
      </c>
      <c r="C841" t="s">
        <v>101</v>
      </c>
      <c r="D841">
        <v>2</v>
      </c>
      <c r="E841" t="s">
        <v>132</v>
      </c>
      <c r="F841" t="s">
        <v>210</v>
      </c>
      <c r="G841" t="s">
        <v>211</v>
      </c>
      <c r="H841" s="16">
        <v>116473</v>
      </c>
      <c r="I841" s="16">
        <v>44098</v>
      </c>
      <c r="J841" s="16">
        <v>53207</v>
      </c>
      <c r="K841" s="16">
        <v>101245</v>
      </c>
      <c r="L841" s="16">
        <v>87387</v>
      </c>
      <c r="M841" s="16">
        <v>15228</v>
      </c>
      <c r="N841" s="16">
        <v>1327</v>
      </c>
      <c r="O841">
        <v>0</v>
      </c>
      <c r="P841">
        <v>2</v>
      </c>
      <c r="Q841" s="20">
        <v>0.37861135198715584</v>
      </c>
      <c r="R841" s="21">
        <v>8.714210664565275E-2</v>
      </c>
    </row>
    <row r="842" spans="1:18">
      <c r="A842" t="s">
        <v>1364</v>
      </c>
      <c r="B842" t="s">
        <v>89</v>
      </c>
      <c r="C842" t="s">
        <v>162</v>
      </c>
      <c r="D842">
        <v>3</v>
      </c>
      <c r="E842" t="s">
        <v>143</v>
      </c>
      <c r="F842" t="s">
        <v>133</v>
      </c>
      <c r="G842" t="s">
        <v>134</v>
      </c>
      <c r="H842" s="16">
        <v>115367</v>
      </c>
      <c r="I842" s="16">
        <v>0</v>
      </c>
      <c r="J842" s="16">
        <v>53571</v>
      </c>
      <c r="K842" s="16">
        <v>92959</v>
      </c>
      <c r="L842" s="16">
        <v>90955</v>
      </c>
      <c r="M842" s="16">
        <v>22408</v>
      </c>
      <c r="N842" s="16">
        <v>2412</v>
      </c>
      <c r="O842">
        <v>1</v>
      </c>
      <c r="P842">
        <v>0</v>
      </c>
      <c r="Q842" s="20">
        <v>0</v>
      </c>
      <c r="R842" s="21">
        <v>0.1076401285255266</v>
      </c>
    </row>
    <row r="843" spans="1:18">
      <c r="A843" t="s">
        <v>1365</v>
      </c>
      <c r="B843" t="s">
        <v>83</v>
      </c>
      <c r="C843" t="s">
        <v>104</v>
      </c>
      <c r="D843">
        <v>2</v>
      </c>
      <c r="E843" t="s">
        <v>132</v>
      </c>
      <c r="F843" t="s">
        <v>152</v>
      </c>
      <c r="G843" t="s">
        <v>153</v>
      </c>
      <c r="H843" s="16">
        <v>112973</v>
      </c>
      <c r="I843" s="16">
        <v>50890</v>
      </c>
      <c r="J843" s="16">
        <v>51702</v>
      </c>
      <c r="K843" s="16">
        <v>53493</v>
      </c>
      <c r="L843" s="16">
        <v>50003</v>
      </c>
      <c r="M843" s="16">
        <v>59480</v>
      </c>
      <c r="N843" s="16">
        <v>2783</v>
      </c>
      <c r="O843">
        <v>2</v>
      </c>
      <c r="P843">
        <v>0</v>
      </c>
      <c r="Q843" s="20">
        <v>0.45046161472210172</v>
      </c>
      <c r="R843" s="21">
        <v>4.6788836583725624E-2</v>
      </c>
    </row>
    <row r="844" spans="1:18">
      <c r="A844" t="s">
        <v>1366</v>
      </c>
      <c r="B844" t="s">
        <v>89</v>
      </c>
      <c r="C844" t="s">
        <v>162</v>
      </c>
      <c r="D844">
        <v>2</v>
      </c>
      <c r="E844" t="s">
        <v>132</v>
      </c>
      <c r="F844" t="s">
        <v>240</v>
      </c>
      <c r="G844" t="s">
        <v>211</v>
      </c>
      <c r="H844" s="16">
        <v>112954</v>
      </c>
      <c r="I844" s="16">
        <v>0</v>
      </c>
      <c r="J844" s="16">
        <v>90</v>
      </c>
      <c r="K844" s="16">
        <v>115123</v>
      </c>
      <c r="L844" s="16">
        <v>12352</v>
      </c>
      <c r="M844" s="16">
        <v>-2169</v>
      </c>
      <c r="N844" s="16">
        <v>-13419</v>
      </c>
      <c r="O844">
        <v>1</v>
      </c>
      <c r="P844">
        <v>0</v>
      </c>
      <c r="Q844" s="20">
        <v>0</v>
      </c>
      <c r="R844" s="21">
        <v>6.186721991701245</v>
      </c>
    </row>
    <row r="845" spans="1:18">
      <c r="A845" t="s">
        <v>1367</v>
      </c>
      <c r="B845" t="s">
        <v>89</v>
      </c>
      <c r="C845" t="s">
        <v>162</v>
      </c>
      <c r="D845">
        <v>2</v>
      </c>
      <c r="E845" t="s">
        <v>132</v>
      </c>
      <c r="F845" t="s">
        <v>152</v>
      </c>
      <c r="G845" t="s">
        <v>153</v>
      </c>
      <c r="H845" s="16">
        <v>112953</v>
      </c>
      <c r="I845" s="16">
        <v>0</v>
      </c>
      <c r="J845" s="16">
        <v>230</v>
      </c>
      <c r="K845" s="16">
        <v>105954</v>
      </c>
      <c r="L845" s="16">
        <v>104060</v>
      </c>
      <c r="M845" s="16">
        <v>6999</v>
      </c>
      <c r="N845" s="16">
        <v>1691</v>
      </c>
      <c r="O845">
        <v>1</v>
      </c>
      <c r="P845">
        <v>0</v>
      </c>
      <c r="Q845" s="20">
        <v>0</v>
      </c>
      <c r="R845" s="21">
        <v>0.24160594370624375</v>
      </c>
    </row>
    <row r="846" spans="1:18">
      <c r="A846" t="s">
        <v>1368</v>
      </c>
      <c r="B846" t="s">
        <v>83</v>
      </c>
      <c r="C846" t="s">
        <v>104</v>
      </c>
      <c r="D846">
        <v>2</v>
      </c>
      <c r="E846" t="s">
        <v>132</v>
      </c>
      <c r="F846" t="s">
        <v>264</v>
      </c>
      <c r="G846" t="s">
        <v>265</v>
      </c>
      <c r="H846" s="16">
        <v>112887</v>
      </c>
      <c r="I846" s="16">
        <v>9611</v>
      </c>
      <c r="J846" s="16">
        <v>0</v>
      </c>
      <c r="K846" s="16">
        <v>88940</v>
      </c>
      <c r="L846" s="16">
        <v>22847</v>
      </c>
      <c r="M846" s="16">
        <v>23947</v>
      </c>
      <c r="N846" s="16">
        <v>-7461</v>
      </c>
      <c r="O846">
        <v>2</v>
      </c>
      <c r="P846">
        <v>0</v>
      </c>
      <c r="Q846" s="20">
        <v>8.5138235580713456E-2</v>
      </c>
      <c r="R846" s="21">
        <v>-0.31156303503570387</v>
      </c>
    </row>
    <row r="847" spans="1:18">
      <c r="A847" t="s">
        <v>1369</v>
      </c>
      <c r="B847" t="s">
        <v>83</v>
      </c>
      <c r="C847" t="s">
        <v>101</v>
      </c>
      <c r="D847">
        <v>3</v>
      </c>
      <c r="E847" t="s">
        <v>143</v>
      </c>
      <c r="F847" t="s">
        <v>397</v>
      </c>
      <c r="G847" t="s">
        <v>169</v>
      </c>
      <c r="H847" s="16">
        <v>112564</v>
      </c>
      <c r="I847" s="16">
        <v>43</v>
      </c>
      <c r="J847" s="16">
        <v>102119</v>
      </c>
      <c r="K847" s="16">
        <v>32427</v>
      </c>
      <c r="L847" s="16">
        <v>29554</v>
      </c>
      <c r="M847" s="16">
        <v>80137</v>
      </c>
      <c r="N847" s="16">
        <v>1769</v>
      </c>
      <c r="O847">
        <v>2</v>
      </c>
      <c r="P847">
        <v>0</v>
      </c>
      <c r="Q847" s="20">
        <v>3.8200490387690558E-4</v>
      </c>
      <c r="R847" s="21">
        <v>2.2074697081248363E-2</v>
      </c>
    </row>
    <row r="848" spans="1:18">
      <c r="A848" t="s">
        <v>1370</v>
      </c>
      <c r="B848" t="s">
        <v>83</v>
      </c>
      <c r="C848" t="s">
        <v>101</v>
      </c>
      <c r="D848">
        <v>3</v>
      </c>
      <c r="E848" t="s">
        <v>143</v>
      </c>
      <c r="F848" t="s">
        <v>163</v>
      </c>
      <c r="G848" t="s">
        <v>134</v>
      </c>
      <c r="H848" s="16">
        <v>111956</v>
      </c>
      <c r="I848" s="16">
        <v>25443</v>
      </c>
      <c r="J848" s="16">
        <v>2477</v>
      </c>
      <c r="K848" s="16">
        <v>31801</v>
      </c>
      <c r="L848" s="16">
        <v>0</v>
      </c>
      <c r="M848" s="16">
        <v>80155</v>
      </c>
      <c r="N848" s="16">
        <v>16758</v>
      </c>
      <c r="O848">
        <v>2</v>
      </c>
      <c r="P848">
        <v>0</v>
      </c>
      <c r="Q848" s="20">
        <v>0.22725892314837973</v>
      </c>
      <c r="R848" s="21">
        <v>0.20906992701640573</v>
      </c>
    </row>
    <row r="849" spans="1:18">
      <c r="A849" t="s">
        <v>1371</v>
      </c>
      <c r="B849" t="s">
        <v>74</v>
      </c>
      <c r="C849" t="s">
        <v>104</v>
      </c>
      <c r="D849">
        <v>2</v>
      </c>
      <c r="E849" t="s">
        <v>132</v>
      </c>
      <c r="F849" t="s">
        <v>404</v>
      </c>
      <c r="G849" t="s">
        <v>405</v>
      </c>
      <c r="H849" s="16">
        <v>111803</v>
      </c>
      <c r="I849" s="16">
        <v>63507</v>
      </c>
      <c r="J849" s="16">
        <v>6523</v>
      </c>
      <c r="K849" s="16">
        <v>87866</v>
      </c>
      <c r="L849" s="16">
        <v>84060</v>
      </c>
      <c r="M849" s="16">
        <v>23937</v>
      </c>
      <c r="N849" s="16">
        <v>841</v>
      </c>
      <c r="O849">
        <v>0</v>
      </c>
      <c r="P849">
        <v>3</v>
      </c>
      <c r="Q849" s="20">
        <v>0.56802590270386299</v>
      </c>
      <c r="R849" s="21">
        <v>3.5133893136149057E-2</v>
      </c>
    </row>
    <row r="850" spans="1:18">
      <c r="A850" t="s">
        <v>1372</v>
      </c>
      <c r="B850" t="s">
        <v>74</v>
      </c>
      <c r="C850" t="s">
        <v>104</v>
      </c>
      <c r="D850">
        <v>2</v>
      </c>
      <c r="E850" t="s">
        <v>132</v>
      </c>
      <c r="F850" t="s">
        <v>133</v>
      </c>
      <c r="G850" t="s">
        <v>134</v>
      </c>
      <c r="H850" s="16">
        <v>111365</v>
      </c>
      <c r="I850" s="16">
        <v>17659</v>
      </c>
      <c r="J850" s="16">
        <v>90883</v>
      </c>
      <c r="K850" s="16">
        <v>90496</v>
      </c>
      <c r="L850" s="16">
        <v>88948</v>
      </c>
      <c r="M850" s="16">
        <v>20868</v>
      </c>
      <c r="N850" s="16">
        <v>574</v>
      </c>
      <c r="O850">
        <v>0</v>
      </c>
      <c r="P850">
        <v>0</v>
      </c>
      <c r="Q850" s="20">
        <v>0.1585686705877071</v>
      </c>
      <c r="R850" s="21">
        <v>2.7506229633889209E-2</v>
      </c>
    </row>
    <row r="851" spans="1:18">
      <c r="A851" t="s">
        <v>1373</v>
      </c>
      <c r="B851" t="s">
        <v>89</v>
      </c>
      <c r="C851" t="s">
        <v>104</v>
      </c>
      <c r="D851">
        <v>2</v>
      </c>
      <c r="E851" t="s">
        <v>132</v>
      </c>
      <c r="F851" t="s">
        <v>1118</v>
      </c>
      <c r="G851" t="s">
        <v>1119</v>
      </c>
      <c r="H851" s="16">
        <v>110960</v>
      </c>
      <c r="I851" s="16">
        <v>0</v>
      </c>
      <c r="J851" s="16">
        <v>190</v>
      </c>
      <c r="K851" s="16">
        <v>86711</v>
      </c>
      <c r="L851" s="16">
        <v>21484</v>
      </c>
      <c r="M851" s="16">
        <v>24250</v>
      </c>
      <c r="N851" s="16">
        <v>-14442</v>
      </c>
      <c r="O851">
        <v>1</v>
      </c>
      <c r="P851">
        <v>0</v>
      </c>
      <c r="Q851" s="20">
        <v>0</v>
      </c>
      <c r="R851" s="21">
        <v>-0.59554639175257729</v>
      </c>
    </row>
    <row r="852" spans="1:18">
      <c r="A852" t="s">
        <v>1374</v>
      </c>
      <c r="B852" t="s">
        <v>74</v>
      </c>
      <c r="C852" t="s">
        <v>101</v>
      </c>
      <c r="D852">
        <v>2</v>
      </c>
      <c r="E852" t="s">
        <v>132</v>
      </c>
      <c r="F852" t="s">
        <v>152</v>
      </c>
      <c r="G852" t="s">
        <v>153</v>
      </c>
      <c r="H852" s="16">
        <v>110619</v>
      </c>
      <c r="I852" s="16">
        <v>30324</v>
      </c>
      <c r="J852" s="16">
        <v>65148</v>
      </c>
      <c r="K852" s="16">
        <v>99125</v>
      </c>
      <c r="L852" s="16">
        <v>88348</v>
      </c>
      <c r="M852" s="16">
        <v>11493</v>
      </c>
      <c r="N852" s="16">
        <v>851</v>
      </c>
      <c r="O852">
        <v>0</v>
      </c>
      <c r="P852">
        <v>1</v>
      </c>
      <c r="Q852" s="20">
        <v>0.27413012231171863</v>
      </c>
      <c r="R852" s="21">
        <v>7.4045070912729494E-2</v>
      </c>
    </row>
    <row r="853" spans="1:18">
      <c r="A853" t="s">
        <v>1375</v>
      </c>
      <c r="B853" t="s">
        <v>89</v>
      </c>
      <c r="C853" t="s">
        <v>104</v>
      </c>
      <c r="D853">
        <v>3</v>
      </c>
      <c r="E853" t="s">
        <v>143</v>
      </c>
      <c r="F853" t="s">
        <v>133</v>
      </c>
      <c r="G853" t="s">
        <v>134</v>
      </c>
      <c r="H853" s="16">
        <v>110323</v>
      </c>
      <c r="I853" s="16">
        <v>0</v>
      </c>
      <c r="J853" s="16">
        <v>97341</v>
      </c>
      <c r="K853" s="16">
        <v>45011</v>
      </c>
      <c r="L853" s="16">
        <v>17847</v>
      </c>
      <c r="M853" s="16">
        <v>65312</v>
      </c>
      <c r="N853" s="16">
        <v>-9392</v>
      </c>
      <c r="O853">
        <v>1</v>
      </c>
      <c r="P853">
        <v>0</v>
      </c>
      <c r="Q853" s="20">
        <v>0</v>
      </c>
      <c r="R853" s="21">
        <v>-0.14380205781479666</v>
      </c>
    </row>
    <row r="854" spans="1:18">
      <c r="A854" t="s">
        <v>1376</v>
      </c>
      <c r="B854" t="s">
        <v>83</v>
      </c>
      <c r="C854" t="s">
        <v>104</v>
      </c>
      <c r="D854">
        <v>2</v>
      </c>
      <c r="E854" t="s">
        <v>132</v>
      </c>
      <c r="F854" t="s">
        <v>133</v>
      </c>
      <c r="G854" t="s">
        <v>134</v>
      </c>
      <c r="H854" s="16">
        <v>109622</v>
      </c>
      <c r="I854" s="16">
        <v>50101</v>
      </c>
      <c r="J854" s="16">
        <v>46569</v>
      </c>
      <c r="K854" s="16">
        <v>21268</v>
      </c>
      <c r="L854" s="16">
        <v>0</v>
      </c>
      <c r="M854" s="16">
        <v>88354</v>
      </c>
      <c r="N854" s="16">
        <v>10432</v>
      </c>
      <c r="O854">
        <v>2</v>
      </c>
      <c r="P854">
        <v>0</v>
      </c>
      <c r="Q854" s="20">
        <v>0.45703417197277918</v>
      </c>
      <c r="R854" s="21">
        <v>0.11807048916857188</v>
      </c>
    </row>
    <row r="855" spans="1:18">
      <c r="A855" t="s">
        <v>1377</v>
      </c>
      <c r="B855" t="s">
        <v>86</v>
      </c>
      <c r="C855" t="s">
        <v>101</v>
      </c>
      <c r="D855">
        <v>3</v>
      </c>
      <c r="E855" t="s">
        <v>143</v>
      </c>
      <c r="F855" t="s">
        <v>133</v>
      </c>
      <c r="G855" t="s">
        <v>134</v>
      </c>
      <c r="H855" s="16">
        <v>109463</v>
      </c>
      <c r="I855" s="16">
        <v>0</v>
      </c>
      <c r="J855" s="16">
        <v>65435</v>
      </c>
      <c r="K855" s="16">
        <v>71070</v>
      </c>
      <c r="L855" s="16">
        <v>39835</v>
      </c>
      <c r="M855" s="16">
        <v>38392</v>
      </c>
      <c r="N855" s="16">
        <v>-2654</v>
      </c>
      <c r="O855">
        <v>2</v>
      </c>
      <c r="P855">
        <v>0</v>
      </c>
      <c r="Q855" s="20">
        <v>0</v>
      </c>
      <c r="R855" s="21">
        <v>-6.9128985205251098E-2</v>
      </c>
    </row>
    <row r="856" spans="1:18">
      <c r="A856" t="s">
        <v>1378</v>
      </c>
      <c r="B856" t="s">
        <v>74</v>
      </c>
      <c r="C856" t="s">
        <v>104</v>
      </c>
      <c r="D856">
        <v>2</v>
      </c>
      <c r="E856" t="s">
        <v>132</v>
      </c>
      <c r="F856" t="s">
        <v>1379</v>
      </c>
      <c r="G856" t="s">
        <v>169</v>
      </c>
      <c r="H856" s="16">
        <v>108214</v>
      </c>
      <c r="I856" s="16">
        <v>78693</v>
      </c>
      <c r="J856" s="16">
        <v>3991</v>
      </c>
      <c r="K856" s="16">
        <v>85433</v>
      </c>
      <c r="L856" s="16">
        <v>58924</v>
      </c>
      <c r="M856" s="16">
        <v>22781</v>
      </c>
      <c r="N856" s="16">
        <v>-4320</v>
      </c>
      <c r="O856">
        <v>0</v>
      </c>
      <c r="P856">
        <v>0</v>
      </c>
      <c r="Q856" s="20">
        <v>0.72719795959857325</v>
      </c>
      <c r="R856" s="21">
        <v>-0.18963171063605636</v>
      </c>
    </row>
    <row r="857" spans="1:18">
      <c r="A857" t="s">
        <v>1380</v>
      </c>
      <c r="B857" t="s">
        <v>74</v>
      </c>
      <c r="C857" t="s">
        <v>104</v>
      </c>
      <c r="D857">
        <v>2</v>
      </c>
      <c r="E857" t="s">
        <v>132</v>
      </c>
      <c r="F857" t="s">
        <v>220</v>
      </c>
      <c r="G857" t="s">
        <v>134</v>
      </c>
      <c r="H857" s="16">
        <v>107865</v>
      </c>
      <c r="I857" s="16">
        <v>75516</v>
      </c>
      <c r="J857" s="16">
        <v>26311</v>
      </c>
      <c r="K857" s="16">
        <v>19177</v>
      </c>
      <c r="L857" s="16">
        <v>6867</v>
      </c>
      <c r="M857" s="16">
        <v>88688</v>
      </c>
      <c r="N857" s="16">
        <v>6608</v>
      </c>
      <c r="O857">
        <v>0</v>
      </c>
      <c r="P857">
        <v>8</v>
      </c>
      <c r="Q857" s="20">
        <v>0.70009734390209988</v>
      </c>
      <c r="R857" s="21">
        <v>7.4508388959047447E-2</v>
      </c>
    </row>
    <row r="858" spans="1:18">
      <c r="A858" t="s">
        <v>1381</v>
      </c>
      <c r="B858" t="s">
        <v>83</v>
      </c>
      <c r="C858" t="s">
        <v>101</v>
      </c>
      <c r="D858">
        <v>2</v>
      </c>
      <c r="E858" t="s">
        <v>132</v>
      </c>
      <c r="F858" t="s">
        <v>368</v>
      </c>
      <c r="G858" t="s">
        <v>206</v>
      </c>
      <c r="H858" s="16">
        <v>107173</v>
      </c>
      <c r="I858" s="16">
        <v>78118</v>
      </c>
      <c r="J858" s="16">
        <v>26858</v>
      </c>
      <c r="K858" s="16">
        <v>45054</v>
      </c>
      <c r="L858" s="16">
        <v>42526</v>
      </c>
      <c r="M858" s="16">
        <v>62119</v>
      </c>
      <c r="N858" s="16">
        <v>-2451</v>
      </c>
      <c r="O858">
        <v>2</v>
      </c>
      <c r="P858">
        <v>0</v>
      </c>
      <c r="Q858" s="20">
        <v>0.7288962705158949</v>
      </c>
      <c r="R858" s="21">
        <v>-3.9456526988522027E-2</v>
      </c>
    </row>
    <row r="859" spans="1:18">
      <c r="A859" t="s">
        <v>1382</v>
      </c>
      <c r="B859" t="s">
        <v>74</v>
      </c>
      <c r="C859" t="s">
        <v>101</v>
      </c>
      <c r="D859">
        <v>2</v>
      </c>
      <c r="E859" t="s">
        <v>132</v>
      </c>
      <c r="F859" t="s">
        <v>152</v>
      </c>
      <c r="G859" t="s">
        <v>153</v>
      </c>
      <c r="H859" s="16">
        <v>105322</v>
      </c>
      <c r="I859" s="16">
        <v>65301</v>
      </c>
      <c r="J859" s="16">
        <v>22286</v>
      </c>
      <c r="K859" s="16">
        <v>94223</v>
      </c>
      <c r="L859" s="16">
        <v>80421</v>
      </c>
      <c r="M859" s="16">
        <v>11099</v>
      </c>
      <c r="N859" s="16">
        <v>162</v>
      </c>
      <c r="O859">
        <v>0</v>
      </c>
      <c r="P859">
        <v>2</v>
      </c>
      <c r="Q859" s="20">
        <v>0.62001291278175497</v>
      </c>
      <c r="R859" s="21">
        <v>1.4595909541400127E-2</v>
      </c>
    </row>
    <row r="860" spans="1:18">
      <c r="A860" t="s">
        <v>1383</v>
      </c>
      <c r="B860" t="s">
        <v>83</v>
      </c>
      <c r="C860" t="s">
        <v>101</v>
      </c>
      <c r="D860">
        <v>1</v>
      </c>
      <c r="E860" t="s">
        <v>136</v>
      </c>
      <c r="F860" t="s">
        <v>571</v>
      </c>
      <c r="G860" t="s">
        <v>572</v>
      </c>
      <c r="H860" s="16">
        <v>104508</v>
      </c>
      <c r="I860" s="16">
        <v>61607</v>
      </c>
      <c r="J860" s="16">
        <v>36655</v>
      </c>
      <c r="K860" s="16">
        <v>32801</v>
      </c>
      <c r="L860" s="16">
        <v>13425</v>
      </c>
      <c r="M860" s="16">
        <v>71707</v>
      </c>
      <c r="N860" s="16">
        <v>2130</v>
      </c>
      <c r="O860">
        <v>2</v>
      </c>
      <c r="P860">
        <v>0</v>
      </c>
      <c r="Q860" s="20">
        <v>0.58949554101121449</v>
      </c>
      <c r="R860" s="21">
        <v>2.9704212977812488E-2</v>
      </c>
    </row>
    <row r="861" spans="1:18">
      <c r="A861" t="s">
        <v>1384</v>
      </c>
      <c r="B861" t="s">
        <v>83</v>
      </c>
      <c r="C861" t="s">
        <v>101</v>
      </c>
      <c r="D861">
        <v>2</v>
      </c>
      <c r="E861" t="s">
        <v>132</v>
      </c>
      <c r="F861" t="s">
        <v>145</v>
      </c>
      <c r="G861" t="s">
        <v>146</v>
      </c>
      <c r="H861" s="16">
        <v>103832</v>
      </c>
      <c r="I861" s="16">
        <v>72526</v>
      </c>
      <c r="J861" s="16">
        <v>8853</v>
      </c>
      <c r="K861" s="16">
        <v>82276</v>
      </c>
      <c r="L861" s="16">
        <v>72865</v>
      </c>
      <c r="M861" s="16">
        <v>21557</v>
      </c>
      <c r="N861" s="16">
        <v>2429</v>
      </c>
      <c r="O861">
        <v>2</v>
      </c>
      <c r="P861">
        <v>0</v>
      </c>
      <c r="Q861" s="20">
        <v>0.69849372062562598</v>
      </c>
      <c r="R861" s="21">
        <v>0.11267801642158</v>
      </c>
    </row>
    <row r="862" spans="1:18">
      <c r="A862" t="s">
        <v>1385</v>
      </c>
      <c r="B862" t="s">
        <v>74</v>
      </c>
      <c r="C862" t="s">
        <v>104</v>
      </c>
      <c r="D862">
        <v>2</v>
      </c>
      <c r="E862" t="s">
        <v>132</v>
      </c>
      <c r="F862" t="s">
        <v>133</v>
      </c>
      <c r="G862" t="s">
        <v>134</v>
      </c>
      <c r="H862" s="16">
        <v>103605</v>
      </c>
      <c r="I862" s="16">
        <v>46726</v>
      </c>
      <c r="J862" s="16">
        <v>53734</v>
      </c>
      <c r="K862" s="16">
        <v>2606</v>
      </c>
      <c r="L862" s="16">
        <v>0</v>
      </c>
      <c r="M862" s="16">
        <v>100998</v>
      </c>
      <c r="N862" s="16">
        <v>4891</v>
      </c>
      <c r="O862">
        <v>0</v>
      </c>
      <c r="P862">
        <v>1</v>
      </c>
      <c r="Q862" s="20">
        <v>0.45100139954635393</v>
      </c>
      <c r="R862" s="21">
        <v>4.8426701518841958E-2</v>
      </c>
    </row>
    <row r="863" spans="1:18">
      <c r="A863" t="s">
        <v>1386</v>
      </c>
      <c r="B863" t="s">
        <v>83</v>
      </c>
      <c r="C863" t="s">
        <v>104</v>
      </c>
      <c r="D863">
        <v>2</v>
      </c>
      <c r="E863" t="s">
        <v>132</v>
      </c>
      <c r="F863" t="s">
        <v>515</v>
      </c>
      <c r="G863" t="s">
        <v>153</v>
      </c>
      <c r="H863" s="16">
        <v>103346</v>
      </c>
      <c r="I863" s="16">
        <v>90127</v>
      </c>
      <c r="J863" s="16">
        <v>7050</v>
      </c>
      <c r="K863" s="16">
        <v>61477</v>
      </c>
      <c r="L863" s="16">
        <v>57956</v>
      </c>
      <c r="M863" s="16">
        <v>41869</v>
      </c>
      <c r="N863" s="16">
        <v>5252</v>
      </c>
      <c r="O863">
        <v>2</v>
      </c>
      <c r="P863">
        <v>0</v>
      </c>
      <c r="Q863" s="20">
        <v>0.87208987285429529</v>
      </c>
      <c r="R863" s="21">
        <v>0.12543886885285055</v>
      </c>
    </row>
    <row r="864" spans="1:18">
      <c r="A864" t="s">
        <v>1387</v>
      </c>
      <c r="B864" t="s">
        <v>74</v>
      </c>
      <c r="C864" t="s">
        <v>101</v>
      </c>
      <c r="D864">
        <v>2</v>
      </c>
      <c r="E864" t="s">
        <v>132</v>
      </c>
      <c r="F864" t="s">
        <v>152</v>
      </c>
      <c r="G864" t="s">
        <v>153</v>
      </c>
      <c r="H864" s="16">
        <v>102927</v>
      </c>
      <c r="I864" s="16">
        <v>31963</v>
      </c>
      <c r="J864" s="16">
        <v>62673</v>
      </c>
      <c r="K864" s="16">
        <v>93055</v>
      </c>
      <c r="L864" s="16">
        <v>72589</v>
      </c>
      <c r="M864" s="16">
        <v>9873</v>
      </c>
      <c r="N864" s="16">
        <v>568</v>
      </c>
      <c r="O864">
        <v>0</v>
      </c>
      <c r="P864">
        <v>1</v>
      </c>
      <c r="Q864" s="20">
        <v>0.31054048014612295</v>
      </c>
      <c r="R864" s="21">
        <v>5.7530639116783147E-2</v>
      </c>
    </row>
    <row r="865" spans="1:18">
      <c r="A865" t="s">
        <v>1388</v>
      </c>
      <c r="B865" t="s">
        <v>74</v>
      </c>
      <c r="C865" t="s">
        <v>104</v>
      </c>
      <c r="D865">
        <v>2</v>
      </c>
      <c r="E865" t="s">
        <v>132</v>
      </c>
      <c r="F865" t="s">
        <v>262</v>
      </c>
      <c r="G865" t="s">
        <v>134</v>
      </c>
      <c r="H865" s="16">
        <v>102394</v>
      </c>
      <c r="I865" s="16">
        <v>48991</v>
      </c>
      <c r="J865" s="16">
        <v>52252</v>
      </c>
      <c r="K865" s="16">
        <v>61134</v>
      </c>
      <c r="L865" s="16">
        <v>58196</v>
      </c>
      <c r="M865" s="16">
        <v>41259</v>
      </c>
      <c r="N865" s="16">
        <v>2188</v>
      </c>
      <c r="O865">
        <v>0</v>
      </c>
      <c r="P865">
        <v>1</v>
      </c>
      <c r="Q865" s="20">
        <v>0.47845576889270858</v>
      </c>
      <c r="R865" s="21">
        <v>5.3030853874306214E-2</v>
      </c>
    </row>
    <row r="866" spans="1:18">
      <c r="A866" t="s">
        <v>1389</v>
      </c>
      <c r="B866" t="s">
        <v>71</v>
      </c>
      <c r="C866" t="s">
        <v>101</v>
      </c>
      <c r="D866">
        <v>3</v>
      </c>
      <c r="E866" t="s">
        <v>143</v>
      </c>
      <c r="F866" t="s">
        <v>133</v>
      </c>
      <c r="G866" t="s">
        <v>134</v>
      </c>
      <c r="H866" s="16">
        <v>101701</v>
      </c>
      <c r="I866" s="16">
        <v>46412</v>
      </c>
      <c r="J866" s="16">
        <v>0</v>
      </c>
      <c r="K866" s="16">
        <v>1805</v>
      </c>
      <c r="L866" s="16">
        <v>0</v>
      </c>
      <c r="M866" s="16">
        <v>99896</v>
      </c>
      <c r="N866" s="16">
        <v>125</v>
      </c>
      <c r="O866">
        <v>2</v>
      </c>
      <c r="P866">
        <v>0</v>
      </c>
      <c r="Q866" s="20">
        <v>0.45635736128454979</v>
      </c>
      <c r="R866" s="21">
        <v>1.2513013534075439E-3</v>
      </c>
    </row>
    <row r="867" spans="1:18">
      <c r="A867" t="s">
        <v>1390</v>
      </c>
      <c r="B867" t="s">
        <v>89</v>
      </c>
      <c r="C867" t="s">
        <v>162</v>
      </c>
      <c r="D867">
        <v>2</v>
      </c>
      <c r="E867" t="s">
        <v>132</v>
      </c>
      <c r="F867" t="s">
        <v>133</v>
      </c>
      <c r="G867" t="s">
        <v>134</v>
      </c>
      <c r="H867" s="16">
        <v>100620</v>
      </c>
      <c r="I867" s="16">
        <v>0</v>
      </c>
      <c r="J867" s="16">
        <v>1110</v>
      </c>
      <c r="K867" s="16">
        <v>87917</v>
      </c>
      <c r="L867" s="16">
        <v>76755</v>
      </c>
      <c r="M867" s="16">
        <v>12703</v>
      </c>
      <c r="N867" s="16">
        <v>121</v>
      </c>
      <c r="O867">
        <v>1</v>
      </c>
      <c r="P867">
        <v>0</v>
      </c>
      <c r="Q867" s="20">
        <v>0</v>
      </c>
      <c r="R867" s="21">
        <v>9.525308982130205E-3</v>
      </c>
    </row>
    <row r="868" spans="1:18">
      <c r="A868" t="s">
        <v>1391</v>
      </c>
      <c r="B868" t="s">
        <v>74</v>
      </c>
      <c r="C868" t="s">
        <v>104</v>
      </c>
      <c r="D868">
        <v>2</v>
      </c>
      <c r="E868" t="s">
        <v>132</v>
      </c>
      <c r="F868" t="s">
        <v>1082</v>
      </c>
      <c r="G868" t="s">
        <v>134</v>
      </c>
      <c r="H868" s="16">
        <v>100617</v>
      </c>
      <c r="I868" s="16">
        <v>26405</v>
      </c>
      <c r="J868" s="16">
        <v>70681</v>
      </c>
      <c r="K868" s="16">
        <v>87009</v>
      </c>
      <c r="L868" s="16">
        <v>85410</v>
      </c>
      <c r="M868" s="16">
        <v>13608</v>
      </c>
      <c r="N868" s="16">
        <v>-1198</v>
      </c>
      <c r="O868">
        <v>0</v>
      </c>
      <c r="P868">
        <v>4</v>
      </c>
      <c r="Q868" s="20">
        <v>0.26243080195195645</v>
      </c>
      <c r="R868" s="21">
        <v>-8.8036449147560258E-2</v>
      </c>
    </row>
    <row r="869" spans="1:18">
      <c r="A869" t="s">
        <v>1392</v>
      </c>
      <c r="B869" t="s">
        <v>86</v>
      </c>
      <c r="C869" t="s">
        <v>101</v>
      </c>
      <c r="D869">
        <v>2</v>
      </c>
      <c r="E869" t="s">
        <v>132</v>
      </c>
      <c r="F869" t="s">
        <v>168</v>
      </c>
      <c r="G869" t="s">
        <v>169</v>
      </c>
      <c r="H869" s="16">
        <v>99753</v>
      </c>
      <c r="I869" s="16">
        <v>0</v>
      </c>
      <c r="J869" s="16">
        <v>74454</v>
      </c>
      <c r="K869" s="16">
        <v>48350</v>
      </c>
      <c r="L869" s="16">
        <v>0</v>
      </c>
      <c r="M869" s="16">
        <v>51402</v>
      </c>
      <c r="N869" s="16">
        <v>3204</v>
      </c>
      <c r="O869">
        <v>2</v>
      </c>
      <c r="P869">
        <v>0</v>
      </c>
      <c r="Q869" s="20">
        <v>0</v>
      </c>
      <c r="R869" s="21">
        <v>6.2332204972569159E-2</v>
      </c>
    </row>
    <row r="870" spans="1:18">
      <c r="A870" t="s">
        <v>1393</v>
      </c>
      <c r="B870" t="s">
        <v>74</v>
      </c>
      <c r="C870" t="s">
        <v>104</v>
      </c>
      <c r="D870">
        <v>2</v>
      </c>
      <c r="E870" t="s">
        <v>132</v>
      </c>
      <c r="F870" t="s">
        <v>939</v>
      </c>
      <c r="G870" t="s">
        <v>169</v>
      </c>
      <c r="H870" s="16">
        <v>98135</v>
      </c>
      <c r="I870" s="16">
        <v>49909</v>
      </c>
      <c r="J870" s="16">
        <v>3041</v>
      </c>
      <c r="K870" s="16">
        <v>82755</v>
      </c>
      <c r="L870" s="16">
        <v>80897</v>
      </c>
      <c r="M870" s="16">
        <v>15380</v>
      </c>
      <c r="N870" s="16">
        <v>1013</v>
      </c>
      <c r="O870">
        <v>0</v>
      </c>
      <c r="P870">
        <v>0</v>
      </c>
      <c r="Q870" s="20">
        <v>0.50857492230091206</v>
      </c>
      <c r="R870" s="21">
        <v>6.5864759427828351E-2</v>
      </c>
    </row>
    <row r="871" spans="1:18">
      <c r="A871" t="s">
        <v>1394</v>
      </c>
      <c r="B871" t="s">
        <v>74</v>
      </c>
      <c r="C871" t="s">
        <v>101</v>
      </c>
      <c r="D871">
        <v>2</v>
      </c>
      <c r="E871" t="s">
        <v>132</v>
      </c>
      <c r="F871" t="s">
        <v>1395</v>
      </c>
      <c r="G871" t="s">
        <v>843</v>
      </c>
      <c r="H871" s="16">
        <v>97882</v>
      </c>
      <c r="I871" s="16">
        <v>45562</v>
      </c>
      <c r="J871" s="16">
        <v>32388</v>
      </c>
      <c r="K871" s="16">
        <v>78129</v>
      </c>
      <c r="L871" s="16">
        <v>69743</v>
      </c>
      <c r="M871" s="16">
        <v>19752</v>
      </c>
      <c r="N871" s="16">
        <v>1123</v>
      </c>
      <c r="O871">
        <v>0</v>
      </c>
      <c r="P871">
        <v>2</v>
      </c>
      <c r="Q871" s="20">
        <v>0.46547884187082406</v>
      </c>
      <c r="R871" s="21">
        <v>5.685500202511138E-2</v>
      </c>
    </row>
    <row r="872" spans="1:18">
      <c r="A872" t="s">
        <v>1396</v>
      </c>
      <c r="B872" t="s">
        <v>86</v>
      </c>
      <c r="C872" t="s">
        <v>101</v>
      </c>
      <c r="D872">
        <v>2</v>
      </c>
      <c r="E872" t="s">
        <v>132</v>
      </c>
      <c r="F872" t="s">
        <v>133</v>
      </c>
      <c r="G872" t="s">
        <v>134</v>
      </c>
      <c r="H872" s="16">
        <v>97586</v>
      </c>
      <c r="I872" s="16">
        <v>0</v>
      </c>
      <c r="J872" s="16">
        <v>11057</v>
      </c>
      <c r="K872" s="16">
        <v>85555</v>
      </c>
      <c r="L872" s="16">
        <v>74561</v>
      </c>
      <c r="M872" s="16">
        <v>12031</v>
      </c>
      <c r="N872" s="16">
        <v>3054</v>
      </c>
      <c r="O872">
        <v>2</v>
      </c>
      <c r="P872">
        <v>0</v>
      </c>
      <c r="Q872" s="20">
        <v>0</v>
      </c>
      <c r="R872" s="21">
        <v>0.2538442357243787</v>
      </c>
    </row>
    <row r="873" spans="1:18">
      <c r="A873" t="s">
        <v>1397</v>
      </c>
      <c r="B873" t="s">
        <v>89</v>
      </c>
      <c r="C873" t="s">
        <v>101</v>
      </c>
      <c r="D873">
        <v>3</v>
      </c>
      <c r="E873" t="s">
        <v>143</v>
      </c>
      <c r="F873" t="s">
        <v>163</v>
      </c>
      <c r="G873" t="s">
        <v>134</v>
      </c>
      <c r="H873" s="16">
        <v>97403</v>
      </c>
      <c r="I873" s="16">
        <v>0</v>
      </c>
      <c r="J873" s="16">
        <v>62</v>
      </c>
      <c r="K873" s="16">
        <v>70253</v>
      </c>
      <c r="L873" s="16">
        <v>116</v>
      </c>
      <c r="M873" s="16">
        <v>27150</v>
      </c>
      <c r="N873" s="16">
        <v>4890</v>
      </c>
      <c r="O873">
        <v>1</v>
      </c>
      <c r="P873">
        <v>0</v>
      </c>
      <c r="Q873" s="20">
        <v>0</v>
      </c>
      <c r="R873" s="21">
        <v>0.18011049723756906</v>
      </c>
    </row>
    <row r="874" spans="1:18">
      <c r="A874" t="s">
        <v>1398</v>
      </c>
      <c r="B874" t="s">
        <v>89</v>
      </c>
      <c r="C874" t="s">
        <v>162</v>
      </c>
      <c r="D874">
        <v>2</v>
      </c>
      <c r="E874" t="s">
        <v>132</v>
      </c>
      <c r="F874" t="s">
        <v>133</v>
      </c>
      <c r="G874" t="s">
        <v>134</v>
      </c>
      <c r="H874" s="16">
        <v>96567</v>
      </c>
      <c r="I874" s="16">
        <v>0</v>
      </c>
      <c r="J874" s="16">
        <v>2</v>
      </c>
      <c r="K874" s="16">
        <v>107704</v>
      </c>
      <c r="L874" s="16">
        <v>107181</v>
      </c>
      <c r="M874" s="16">
        <v>-11137</v>
      </c>
      <c r="N874" s="16">
        <v>-18345</v>
      </c>
      <c r="O874">
        <v>1</v>
      </c>
      <c r="P874">
        <v>0</v>
      </c>
      <c r="Q874" s="20">
        <v>0</v>
      </c>
      <c r="R874" s="21">
        <v>1.6472119960492053</v>
      </c>
    </row>
    <row r="875" spans="1:18">
      <c r="A875" t="s">
        <v>1399</v>
      </c>
      <c r="B875" t="s">
        <v>68</v>
      </c>
      <c r="C875" t="s">
        <v>101</v>
      </c>
      <c r="D875">
        <v>3</v>
      </c>
      <c r="E875" t="s">
        <v>143</v>
      </c>
      <c r="F875" t="s">
        <v>133</v>
      </c>
      <c r="G875" t="s">
        <v>134</v>
      </c>
      <c r="H875" s="16">
        <v>96498</v>
      </c>
      <c r="I875" s="16">
        <v>33358</v>
      </c>
      <c r="J875" s="16">
        <v>5684</v>
      </c>
      <c r="K875" s="16">
        <v>65086</v>
      </c>
      <c r="L875" s="16">
        <v>31979</v>
      </c>
      <c r="M875" s="16">
        <v>31412</v>
      </c>
      <c r="N875" s="16">
        <v>-1689</v>
      </c>
      <c r="O875">
        <v>2</v>
      </c>
      <c r="P875">
        <v>0</v>
      </c>
      <c r="Q875" s="20">
        <v>0.34568592095172956</v>
      </c>
      <c r="R875" s="21">
        <v>-5.3769260155354638E-2</v>
      </c>
    </row>
    <row r="876" spans="1:18">
      <c r="A876" t="s">
        <v>1400</v>
      </c>
      <c r="B876" t="s">
        <v>83</v>
      </c>
      <c r="C876" t="s">
        <v>104</v>
      </c>
      <c r="D876">
        <v>2</v>
      </c>
      <c r="E876" t="s">
        <v>132</v>
      </c>
      <c r="F876" t="s">
        <v>320</v>
      </c>
      <c r="G876" t="s">
        <v>153</v>
      </c>
      <c r="H876" s="16">
        <v>95989</v>
      </c>
      <c r="I876" s="16">
        <v>87874</v>
      </c>
      <c r="J876" s="16">
        <v>0</v>
      </c>
      <c r="K876" s="16">
        <v>65269</v>
      </c>
      <c r="L876" s="16">
        <v>58002</v>
      </c>
      <c r="M876" s="16">
        <v>30720</v>
      </c>
      <c r="N876" s="16">
        <v>6383</v>
      </c>
      <c r="O876">
        <v>2</v>
      </c>
      <c r="P876">
        <v>0</v>
      </c>
      <c r="Q876" s="20">
        <v>0.91545906301763746</v>
      </c>
      <c r="R876" s="21">
        <v>0.20777994791666668</v>
      </c>
    </row>
    <row r="877" spans="1:18">
      <c r="A877" t="s">
        <v>1401</v>
      </c>
      <c r="B877" t="s">
        <v>86</v>
      </c>
      <c r="C877" t="s">
        <v>101</v>
      </c>
      <c r="D877">
        <v>2</v>
      </c>
      <c r="E877" t="s">
        <v>132</v>
      </c>
      <c r="F877" t="s">
        <v>133</v>
      </c>
      <c r="G877" t="s">
        <v>134</v>
      </c>
      <c r="H877" s="16">
        <v>95959</v>
      </c>
      <c r="I877" s="16">
        <v>0</v>
      </c>
      <c r="J877" s="16">
        <v>63936</v>
      </c>
      <c r="K877" s="16">
        <v>64580</v>
      </c>
      <c r="L877" s="16">
        <v>46233</v>
      </c>
      <c r="M877" s="16">
        <v>31379</v>
      </c>
      <c r="N877" s="16">
        <v>-1056</v>
      </c>
      <c r="O877">
        <v>2</v>
      </c>
      <c r="P877">
        <v>0</v>
      </c>
      <c r="Q877" s="20">
        <v>0</v>
      </c>
      <c r="R877" s="21">
        <v>-3.365308008540744E-2</v>
      </c>
    </row>
    <row r="878" spans="1:18">
      <c r="A878" t="s">
        <v>1402</v>
      </c>
      <c r="B878" t="s">
        <v>86</v>
      </c>
      <c r="C878" t="s">
        <v>101</v>
      </c>
      <c r="D878">
        <v>2</v>
      </c>
      <c r="E878" t="s">
        <v>132</v>
      </c>
      <c r="F878" t="s">
        <v>133</v>
      </c>
      <c r="G878" t="s">
        <v>134</v>
      </c>
      <c r="H878" s="16">
        <v>92220</v>
      </c>
      <c r="I878" s="16">
        <v>0</v>
      </c>
      <c r="J878" s="16">
        <v>1979</v>
      </c>
      <c r="K878" s="16">
        <v>86083</v>
      </c>
      <c r="L878" s="16">
        <v>84424</v>
      </c>
      <c r="M878" s="16">
        <v>6137</v>
      </c>
      <c r="N878" s="16">
        <v>1259</v>
      </c>
      <c r="O878">
        <v>2</v>
      </c>
      <c r="P878">
        <v>0</v>
      </c>
      <c r="Q878" s="20">
        <v>0</v>
      </c>
      <c r="R878" s="21">
        <v>0.20514909564934006</v>
      </c>
    </row>
    <row r="879" spans="1:18">
      <c r="A879" t="s">
        <v>1403</v>
      </c>
      <c r="B879" t="s">
        <v>74</v>
      </c>
      <c r="C879" t="s">
        <v>104</v>
      </c>
      <c r="D879">
        <v>2</v>
      </c>
      <c r="E879" t="s">
        <v>132</v>
      </c>
      <c r="F879" t="s">
        <v>1404</v>
      </c>
      <c r="G879" t="s">
        <v>169</v>
      </c>
      <c r="H879" s="16">
        <v>91861</v>
      </c>
      <c r="I879" s="16">
        <v>24427</v>
      </c>
      <c r="J879" s="16">
        <v>2462</v>
      </c>
      <c r="K879" s="16">
        <v>78360</v>
      </c>
      <c r="L879" s="16">
        <v>70908</v>
      </c>
      <c r="M879" s="16">
        <v>13501</v>
      </c>
      <c r="N879" s="16">
        <v>997</v>
      </c>
      <c r="O879">
        <v>0</v>
      </c>
      <c r="P879">
        <v>0</v>
      </c>
      <c r="Q879" s="20">
        <v>0.26591262886317368</v>
      </c>
      <c r="R879" s="21">
        <v>7.3846381749500034E-2</v>
      </c>
    </row>
    <row r="880" spans="1:18">
      <c r="A880" t="s">
        <v>1405</v>
      </c>
      <c r="B880" t="s">
        <v>74</v>
      </c>
      <c r="C880" t="s">
        <v>104</v>
      </c>
      <c r="D880">
        <v>2</v>
      </c>
      <c r="E880" t="s">
        <v>132</v>
      </c>
      <c r="F880" t="s">
        <v>1066</v>
      </c>
      <c r="G880" t="s">
        <v>134</v>
      </c>
      <c r="H880" s="16">
        <v>91826</v>
      </c>
      <c r="I880" s="16">
        <v>66852</v>
      </c>
      <c r="J880" s="16">
        <v>3250</v>
      </c>
      <c r="K880" s="16">
        <v>64968</v>
      </c>
      <c r="L880" s="16">
        <v>63295</v>
      </c>
      <c r="M880" s="16">
        <v>26858</v>
      </c>
      <c r="N880" s="16">
        <v>808</v>
      </c>
      <c r="O880">
        <v>0</v>
      </c>
      <c r="P880">
        <v>1</v>
      </c>
      <c r="Q880" s="20">
        <v>0.72802909851240394</v>
      </c>
      <c r="R880" s="21">
        <v>3.0084146250651575E-2</v>
      </c>
    </row>
    <row r="881" spans="1:18">
      <c r="A881" t="s">
        <v>1406</v>
      </c>
      <c r="B881" t="s">
        <v>74</v>
      </c>
      <c r="C881" t="s">
        <v>104</v>
      </c>
      <c r="D881">
        <v>2</v>
      </c>
      <c r="E881" t="s">
        <v>132</v>
      </c>
      <c r="F881" t="s">
        <v>168</v>
      </c>
      <c r="G881" t="s">
        <v>169</v>
      </c>
      <c r="H881" s="16">
        <v>91470</v>
      </c>
      <c r="I881" s="16">
        <v>5746</v>
      </c>
      <c r="J881" s="16">
        <v>2558</v>
      </c>
      <c r="K881" s="16">
        <v>77271</v>
      </c>
      <c r="L881" s="16">
        <v>75709</v>
      </c>
      <c r="M881" s="16">
        <v>14199</v>
      </c>
      <c r="N881" s="16">
        <v>1499</v>
      </c>
      <c r="O881">
        <v>0</v>
      </c>
      <c r="P881">
        <v>0</v>
      </c>
      <c r="Q881" s="20">
        <v>6.2818410407783978E-2</v>
      </c>
      <c r="R881" s="21">
        <v>0.10557081484611593</v>
      </c>
    </row>
    <row r="882" spans="1:18">
      <c r="A882" t="s">
        <v>1407</v>
      </c>
      <c r="B882" t="s">
        <v>83</v>
      </c>
      <c r="C882" t="s">
        <v>104</v>
      </c>
      <c r="D882">
        <v>3</v>
      </c>
      <c r="E882" t="s">
        <v>143</v>
      </c>
      <c r="F882" t="s">
        <v>133</v>
      </c>
      <c r="G882" t="s">
        <v>134</v>
      </c>
      <c r="H882" s="16">
        <v>91105</v>
      </c>
      <c r="I882" s="16">
        <v>0</v>
      </c>
      <c r="J882" s="16">
        <v>351</v>
      </c>
      <c r="K882" s="16">
        <v>42487</v>
      </c>
      <c r="L882" s="16">
        <v>173</v>
      </c>
      <c r="M882" s="16">
        <v>48618</v>
      </c>
      <c r="N882" s="16">
        <v>-1410</v>
      </c>
      <c r="O882">
        <v>2</v>
      </c>
      <c r="P882">
        <v>0</v>
      </c>
      <c r="Q882" s="20">
        <v>0</v>
      </c>
      <c r="R882" s="21">
        <v>-2.9001604344070099E-2</v>
      </c>
    </row>
    <row r="883" spans="1:18">
      <c r="A883" t="s">
        <v>1408</v>
      </c>
      <c r="B883" t="s">
        <v>74</v>
      </c>
      <c r="C883" t="s">
        <v>104</v>
      </c>
      <c r="D883">
        <v>2</v>
      </c>
      <c r="E883" t="s">
        <v>132</v>
      </c>
      <c r="F883" t="s">
        <v>1409</v>
      </c>
      <c r="G883" t="s">
        <v>134</v>
      </c>
      <c r="H883" s="16">
        <v>90931</v>
      </c>
      <c r="I883" s="16">
        <v>39643</v>
      </c>
      <c r="J883" s="16">
        <v>49349</v>
      </c>
      <c r="K883" s="16">
        <v>81677</v>
      </c>
      <c r="L883" s="16">
        <v>77988</v>
      </c>
      <c r="M883" s="16">
        <v>9254</v>
      </c>
      <c r="N883" s="16">
        <v>-971</v>
      </c>
      <c r="O883">
        <v>0</v>
      </c>
      <c r="P883">
        <v>7</v>
      </c>
      <c r="Q883" s="20">
        <v>0.43596793172845344</v>
      </c>
      <c r="R883" s="21">
        <v>-0.10492759887616165</v>
      </c>
    </row>
    <row r="884" spans="1:18">
      <c r="A884" t="s">
        <v>1410</v>
      </c>
      <c r="B884" t="s">
        <v>83</v>
      </c>
      <c r="C884" t="s">
        <v>104</v>
      </c>
      <c r="D884">
        <v>3</v>
      </c>
      <c r="E884" t="s">
        <v>143</v>
      </c>
      <c r="F884" t="s">
        <v>133</v>
      </c>
      <c r="G884" t="s">
        <v>134</v>
      </c>
      <c r="H884" s="16">
        <v>89545</v>
      </c>
      <c r="I884" s="16">
        <v>11122</v>
      </c>
      <c r="J884" s="16">
        <v>14745</v>
      </c>
      <c r="K884" s="16">
        <v>11124</v>
      </c>
      <c r="L884" s="16">
        <v>0</v>
      </c>
      <c r="M884" s="16">
        <v>78421</v>
      </c>
      <c r="N884" s="16">
        <v>1988</v>
      </c>
      <c r="O884">
        <v>2</v>
      </c>
      <c r="P884">
        <v>0</v>
      </c>
      <c r="Q884" s="20">
        <v>0.12420570662795243</v>
      </c>
      <c r="R884" s="21">
        <v>2.5350352584129252E-2</v>
      </c>
    </row>
    <row r="885" spans="1:18">
      <c r="A885" t="s">
        <v>1411</v>
      </c>
      <c r="B885" t="s">
        <v>83</v>
      </c>
      <c r="C885" t="s">
        <v>104</v>
      </c>
      <c r="D885">
        <v>2</v>
      </c>
      <c r="E885" t="s">
        <v>132</v>
      </c>
      <c r="F885" t="s">
        <v>240</v>
      </c>
      <c r="G885" t="s">
        <v>211</v>
      </c>
      <c r="H885" s="16">
        <v>88622</v>
      </c>
      <c r="I885" s="16">
        <v>3503</v>
      </c>
      <c r="J885" s="16">
        <v>34661</v>
      </c>
      <c r="K885" s="16">
        <v>26792</v>
      </c>
      <c r="L885" s="16">
        <v>0</v>
      </c>
      <c r="M885" s="16">
        <v>61830</v>
      </c>
      <c r="N885" s="16">
        <v>11768</v>
      </c>
      <c r="O885">
        <v>2</v>
      </c>
      <c r="P885">
        <v>0</v>
      </c>
      <c r="Q885" s="20">
        <v>3.9527431111913522E-2</v>
      </c>
      <c r="R885" s="21">
        <v>0.1903283195859615</v>
      </c>
    </row>
    <row r="886" spans="1:18">
      <c r="A886" t="s">
        <v>1412</v>
      </c>
      <c r="B886" t="s">
        <v>83</v>
      </c>
      <c r="C886" t="s">
        <v>104</v>
      </c>
      <c r="D886">
        <v>2</v>
      </c>
      <c r="E886" t="s">
        <v>132</v>
      </c>
      <c r="F886" t="s">
        <v>133</v>
      </c>
      <c r="G886" t="s">
        <v>134</v>
      </c>
      <c r="H886" s="16">
        <v>87607</v>
      </c>
      <c r="I886" s="16">
        <v>6148</v>
      </c>
      <c r="J886" s="16">
        <v>60</v>
      </c>
      <c r="K886" s="16">
        <v>77531</v>
      </c>
      <c r="L886" s="16">
        <v>55181</v>
      </c>
      <c r="M886" s="16">
        <v>10076</v>
      </c>
      <c r="N886" s="16">
        <v>474</v>
      </c>
      <c r="O886">
        <v>2</v>
      </c>
      <c r="P886">
        <v>0</v>
      </c>
      <c r="Q886" s="20">
        <v>7.017704064743685E-2</v>
      </c>
      <c r="R886" s="21">
        <v>4.7042477173481541E-2</v>
      </c>
    </row>
    <row r="887" spans="1:18">
      <c r="A887" t="s">
        <v>1413</v>
      </c>
      <c r="B887" t="s">
        <v>74</v>
      </c>
      <c r="C887" t="s">
        <v>104</v>
      </c>
      <c r="D887">
        <v>2</v>
      </c>
      <c r="E887" t="s">
        <v>132</v>
      </c>
      <c r="F887" t="s">
        <v>646</v>
      </c>
      <c r="G887" t="s">
        <v>134</v>
      </c>
      <c r="H887" s="16">
        <v>86529</v>
      </c>
      <c r="I887" s="16">
        <v>27557</v>
      </c>
      <c r="J887" s="16">
        <v>57739</v>
      </c>
      <c r="K887" s="16">
        <v>7100</v>
      </c>
      <c r="L887" s="16">
        <v>0</v>
      </c>
      <c r="M887" s="16">
        <v>79430</v>
      </c>
      <c r="N887" s="16">
        <v>6545</v>
      </c>
      <c r="O887">
        <v>0</v>
      </c>
      <c r="P887">
        <v>0</v>
      </c>
      <c r="Q887" s="20">
        <v>0.31847126396930509</v>
      </c>
      <c r="R887" s="21">
        <v>8.239959712954803E-2</v>
      </c>
    </row>
    <row r="888" spans="1:18">
      <c r="A888" t="s">
        <v>1414</v>
      </c>
      <c r="B888" t="s">
        <v>74</v>
      </c>
      <c r="C888" t="s">
        <v>104</v>
      </c>
      <c r="D888">
        <v>2</v>
      </c>
      <c r="E888" t="s">
        <v>132</v>
      </c>
      <c r="F888" t="s">
        <v>1415</v>
      </c>
      <c r="G888" t="s">
        <v>191</v>
      </c>
      <c r="H888" s="16">
        <v>86019</v>
      </c>
      <c r="I888" s="16">
        <v>35390</v>
      </c>
      <c r="J888" s="16">
        <v>36719</v>
      </c>
      <c r="K888" s="16">
        <v>14146</v>
      </c>
      <c r="L888" s="16">
        <v>0</v>
      </c>
      <c r="M888" s="16">
        <v>71873</v>
      </c>
      <c r="N888" s="16">
        <v>4277</v>
      </c>
      <c r="O888">
        <v>0</v>
      </c>
      <c r="P888">
        <v>0</v>
      </c>
      <c r="Q888" s="20">
        <v>0.41142073262883783</v>
      </c>
      <c r="R888" s="21">
        <v>5.9507742824148148E-2</v>
      </c>
    </row>
    <row r="889" spans="1:18">
      <c r="A889" t="s">
        <v>1416</v>
      </c>
      <c r="B889" t="s">
        <v>83</v>
      </c>
      <c r="C889" t="s">
        <v>101</v>
      </c>
      <c r="D889">
        <v>2</v>
      </c>
      <c r="E889" t="s">
        <v>132</v>
      </c>
      <c r="F889" t="s">
        <v>899</v>
      </c>
      <c r="G889" t="s">
        <v>169</v>
      </c>
      <c r="H889" s="16">
        <v>85877</v>
      </c>
      <c r="I889" s="16">
        <v>61185</v>
      </c>
      <c r="J889" s="16">
        <v>0</v>
      </c>
      <c r="K889" s="16">
        <v>76777</v>
      </c>
      <c r="L889" s="16">
        <v>72394</v>
      </c>
      <c r="M889" s="16">
        <v>9101</v>
      </c>
      <c r="N889" s="16">
        <v>1773</v>
      </c>
      <c r="O889">
        <v>2</v>
      </c>
      <c r="P889">
        <v>0</v>
      </c>
      <c r="Q889" s="20">
        <v>0.71247248972367461</v>
      </c>
      <c r="R889" s="21">
        <v>0.19481375673002968</v>
      </c>
    </row>
    <row r="890" spans="1:18">
      <c r="A890" t="s">
        <v>1417</v>
      </c>
      <c r="B890" t="s">
        <v>86</v>
      </c>
      <c r="C890" t="s">
        <v>101</v>
      </c>
      <c r="D890">
        <v>3</v>
      </c>
      <c r="E890" t="s">
        <v>143</v>
      </c>
      <c r="F890" t="s">
        <v>133</v>
      </c>
      <c r="G890" t="s">
        <v>134</v>
      </c>
      <c r="H890" s="16">
        <v>85540</v>
      </c>
      <c r="I890" s="16">
        <v>0</v>
      </c>
      <c r="J890" s="16">
        <v>54861</v>
      </c>
      <c r="K890" s="16">
        <v>10415</v>
      </c>
      <c r="L890" s="16">
        <v>4954</v>
      </c>
      <c r="M890" s="16">
        <v>75125</v>
      </c>
      <c r="N890" s="16">
        <v>2021</v>
      </c>
      <c r="O890">
        <v>2</v>
      </c>
      <c r="P890">
        <v>0</v>
      </c>
      <c r="Q890" s="20">
        <v>0</v>
      </c>
      <c r="R890" s="21">
        <v>2.6901830282861895E-2</v>
      </c>
    </row>
    <row r="891" spans="1:18">
      <c r="A891" t="s">
        <v>1418</v>
      </c>
      <c r="B891" t="s">
        <v>83</v>
      </c>
      <c r="C891" t="s">
        <v>104</v>
      </c>
      <c r="D891">
        <v>2</v>
      </c>
      <c r="E891" t="s">
        <v>132</v>
      </c>
      <c r="F891" t="s">
        <v>810</v>
      </c>
      <c r="G891" t="s">
        <v>134</v>
      </c>
      <c r="H891" s="16">
        <v>83962</v>
      </c>
      <c r="I891" s="16">
        <v>6730</v>
      </c>
      <c r="J891" s="16">
        <v>65468</v>
      </c>
      <c r="K891" s="16">
        <v>805</v>
      </c>
      <c r="L891" s="16">
        <v>0</v>
      </c>
      <c r="M891" s="16">
        <v>83157</v>
      </c>
      <c r="N891" s="16">
        <v>1658</v>
      </c>
      <c r="O891">
        <v>3</v>
      </c>
      <c r="P891">
        <v>0</v>
      </c>
      <c r="Q891" s="20">
        <v>8.0155308353779084E-2</v>
      </c>
      <c r="R891" s="21">
        <v>1.99381892083649E-2</v>
      </c>
    </row>
    <row r="892" spans="1:18">
      <c r="A892" t="s">
        <v>1419</v>
      </c>
      <c r="B892" t="s">
        <v>89</v>
      </c>
      <c r="C892" t="s">
        <v>162</v>
      </c>
      <c r="D892">
        <v>2</v>
      </c>
      <c r="E892" t="s">
        <v>132</v>
      </c>
      <c r="F892" t="s">
        <v>163</v>
      </c>
      <c r="G892" t="s">
        <v>134</v>
      </c>
      <c r="H892" s="16">
        <v>82196</v>
      </c>
      <c r="I892" s="16">
        <v>0</v>
      </c>
      <c r="J892" s="16">
        <v>7571</v>
      </c>
      <c r="K892" s="16">
        <v>61538</v>
      </c>
      <c r="L892" s="16">
        <v>3260</v>
      </c>
      <c r="M892" s="16">
        <v>20658</v>
      </c>
      <c r="N892" s="16">
        <v>-2584</v>
      </c>
      <c r="O892">
        <v>1</v>
      </c>
      <c r="P892">
        <v>0</v>
      </c>
      <c r="Q892" s="20">
        <v>0</v>
      </c>
      <c r="R892" s="21">
        <v>-0.12508471294413787</v>
      </c>
    </row>
    <row r="893" spans="1:18">
      <c r="A893" t="s">
        <v>1420</v>
      </c>
      <c r="B893" t="s">
        <v>74</v>
      </c>
      <c r="C893" t="s">
        <v>104</v>
      </c>
      <c r="D893">
        <v>2</v>
      </c>
      <c r="E893" t="s">
        <v>132</v>
      </c>
      <c r="F893" t="s">
        <v>301</v>
      </c>
      <c r="G893" t="s">
        <v>153</v>
      </c>
      <c r="H893" s="16">
        <v>82122</v>
      </c>
      <c r="I893" s="16">
        <v>50064</v>
      </c>
      <c r="J893" s="16">
        <v>1706</v>
      </c>
      <c r="K893" s="16">
        <v>68755</v>
      </c>
      <c r="L893" s="16">
        <v>63160</v>
      </c>
      <c r="M893" s="16">
        <v>13367</v>
      </c>
      <c r="N893" s="16">
        <v>805</v>
      </c>
      <c r="O893">
        <v>0</v>
      </c>
      <c r="P893">
        <v>1</v>
      </c>
      <c r="Q893" s="20">
        <v>0.60962957550960761</v>
      </c>
      <c r="R893" s="21">
        <v>6.0222937083863247E-2</v>
      </c>
    </row>
    <row r="894" spans="1:18">
      <c r="A894" t="s">
        <v>1421</v>
      </c>
      <c r="B894" t="s">
        <v>86</v>
      </c>
      <c r="C894" t="s">
        <v>101</v>
      </c>
      <c r="D894">
        <v>2</v>
      </c>
      <c r="E894" t="s">
        <v>132</v>
      </c>
      <c r="F894" t="s">
        <v>133</v>
      </c>
      <c r="G894" t="s">
        <v>134</v>
      </c>
      <c r="H894" s="16">
        <v>81461</v>
      </c>
      <c r="I894" s="16">
        <v>0</v>
      </c>
      <c r="J894" s="16">
        <v>1063</v>
      </c>
      <c r="K894" s="16">
        <v>77338</v>
      </c>
      <c r="L894" s="16">
        <v>73745</v>
      </c>
      <c r="M894" s="16">
        <v>4123</v>
      </c>
      <c r="N894" s="16">
        <v>421</v>
      </c>
      <c r="O894">
        <v>2</v>
      </c>
      <c r="P894">
        <v>0</v>
      </c>
      <c r="Q894" s="20">
        <v>0</v>
      </c>
      <c r="R894" s="21">
        <v>0.10211011399466408</v>
      </c>
    </row>
    <row r="895" spans="1:18">
      <c r="A895" t="s">
        <v>1422</v>
      </c>
      <c r="B895" t="s">
        <v>83</v>
      </c>
      <c r="C895" t="s">
        <v>101</v>
      </c>
      <c r="D895">
        <v>1</v>
      </c>
      <c r="E895" t="s">
        <v>136</v>
      </c>
      <c r="F895" t="s">
        <v>1423</v>
      </c>
      <c r="G895" t="s">
        <v>848</v>
      </c>
      <c r="H895" s="16">
        <v>81401</v>
      </c>
      <c r="I895" s="16">
        <v>44291</v>
      </c>
      <c r="J895" s="16">
        <v>35380</v>
      </c>
      <c r="K895" s="16">
        <v>35692</v>
      </c>
      <c r="L895" s="16">
        <v>34633</v>
      </c>
      <c r="M895" s="16">
        <v>45709</v>
      </c>
      <c r="N895" s="16">
        <v>-351</v>
      </c>
      <c r="O895">
        <v>1</v>
      </c>
      <c r="P895">
        <v>0</v>
      </c>
      <c r="Q895" s="20">
        <v>0.54410879473225149</v>
      </c>
      <c r="R895" s="21">
        <v>-7.6790128858649281E-3</v>
      </c>
    </row>
    <row r="896" spans="1:18">
      <c r="A896" t="s">
        <v>1424</v>
      </c>
      <c r="B896" t="s">
        <v>74</v>
      </c>
      <c r="C896" t="s">
        <v>104</v>
      </c>
      <c r="D896">
        <v>2</v>
      </c>
      <c r="E896" t="s">
        <v>132</v>
      </c>
      <c r="F896" t="s">
        <v>540</v>
      </c>
      <c r="G896" t="s">
        <v>153</v>
      </c>
      <c r="H896" s="16">
        <v>81301</v>
      </c>
      <c r="I896" s="16">
        <v>31766</v>
      </c>
      <c r="J896" s="16">
        <v>9577</v>
      </c>
      <c r="K896" s="16">
        <v>13848</v>
      </c>
      <c r="L896" s="16">
        <v>8837</v>
      </c>
      <c r="M896" s="16">
        <v>67453</v>
      </c>
      <c r="N896" s="16">
        <v>1979</v>
      </c>
      <c r="O896">
        <v>0</v>
      </c>
      <c r="P896">
        <v>0</v>
      </c>
      <c r="Q896" s="20">
        <v>0.39072090134192694</v>
      </c>
      <c r="R896" s="21">
        <v>2.9338947118734526E-2</v>
      </c>
    </row>
    <row r="897" spans="1:18">
      <c r="A897" t="s">
        <v>1425</v>
      </c>
      <c r="B897" t="s">
        <v>74</v>
      </c>
      <c r="C897" t="s">
        <v>104</v>
      </c>
      <c r="D897">
        <v>2</v>
      </c>
      <c r="E897" t="s">
        <v>132</v>
      </c>
      <c r="F897" t="s">
        <v>1273</v>
      </c>
      <c r="G897" t="s">
        <v>134</v>
      </c>
      <c r="H897" s="16">
        <v>81197</v>
      </c>
      <c r="I897" s="16">
        <v>52940</v>
      </c>
      <c r="J897" s="16">
        <v>25412</v>
      </c>
      <c r="K897" s="16">
        <v>45643</v>
      </c>
      <c r="L897" s="16">
        <v>42847</v>
      </c>
      <c r="M897" s="16">
        <v>35554</v>
      </c>
      <c r="N897" s="16">
        <v>-969</v>
      </c>
      <c r="O897">
        <v>0</v>
      </c>
      <c r="P897">
        <v>6</v>
      </c>
      <c r="Q897" s="20">
        <v>0.65199453181767797</v>
      </c>
      <c r="R897" s="21">
        <v>-2.7254317376385218E-2</v>
      </c>
    </row>
    <row r="898" spans="1:18">
      <c r="A898" t="s">
        <v>1426</v>
      </c>
      <c r="B898" t="s">
        <v>71</v>
      </c>
      <c r="C898" t="s">
        <v>101</v>
      </c>
      <c r="D898">
        <v>2</v>
      </c>
      <c r="E898" t="s">
        <v>132</v>
      </c>
      <c r="F898" t="s">
        <v>133</v>
      </c>
      <c r="G898" t="s">
        <v>134</v>
      </c>
      <c r="H898" s="16">
        <v>80988</v>
      </c>
      <c r="I898" s="16">
        <v>8348</v>
      </c>
      <c r="J898" s="16">
        <v>63362</v>
      </c>
      <c r="K898" s="16">
        <v>2699</v>
      </c>
      <c r="L898" s="16">
        <v>1936</v>
      </c>
      <c r="M898" s="16">
        <v>78289</v>
      </c>
      <c r="N898" s="16">
        <v>-905</v>
      </c>
      <c r="O898">
        <v>2</v>
      </c>
      <c r="P898">
        <v>0</v>
      </c>
      <c r="Q898" s="20">
        <v>0.10307699906158937</v>
      </c>
      <c r="R898" s="21">
        <v>-1.1559733806792781E-2</v>
      </c>
    </row>
    <row r="899" spans="1:18">
      <c r="A899" t="s">
        <v>1427</v>
      </c>
      <c r="B899" t="s">
        <v>86</v>
      </c>
      <c r="C899" t="s">
        <v>101</v>
      </c>
      <c r="D899">
        <v>2</v>
      </c>
      <c r="E899" t="s">
        <v>132</v>
      </c>
      <c r="F899" t="s">
        <v>133</v>
      </c>
      <c r="G899" t="s">
        <v>134</v>
      </c>
      <c r="H899" s="16">
        <v>80677</v>
      </c>
      <c r="I899" s="16">
        <v>0</v>
      </c>
      <c r="J899" s="16">
        <v>2815</v>
      </c>
      <c r="K899" s="16">
        <v>53617</v>
      </c>
      <c r="L899" s="16">
        <v>49850</v>
      </c>
      <c r="M899" s="16">
        <v>27060</v>
      </c>
      <c r="N899" s="16">
        <v>135</v>
      </c>
      <c r="O899">
        <v>2</v>
      </c>
      <c r="P899">
        <v>0</v>
      </c>
      <c r="Q899" s="20">
        <v>0</v>
      </c>
      <c r="R899" s="21">
        <v>4.9889135254988911E-3</v>
      </c>
    </row>
    <row r="900" spans="1:18">
      <c r="A900" t="s">
        <v>1428</v>
      </c>
      <c r="B900" t="s">
        <v>74</v>
      </c>
      <c r="C900" t="s">
        <v>104</v>
      </c>
      <c r="D900">
        <v>2</v>
      </c>
      <c r="E900" t="s">
        <v>132</v>
      </c>
      <c r="F900" t="s">
        <v>152</v>
      </c>
      <c r="G900" t="s">
        <v>153</v>
      </c>
      <c r="H900" s="16">
        <v>80343</v>
      </c>
      <c r="I900" s="16">
        <v>72812</v>
      </c>
      <c r="J900" s="16">
        <v>11</v>
      </c>
      <c r="K900" s="16">
        <v>37775</v>
      </c>
      <c r="L900" s="16">
        <v>36148</v>
      </c>
      <c r="M900" s="16">
        <v>42568</v>
      </c>
      <c r="N900" s="16">
        <v>765</v>
      </c>
      <c r="O900">
        <v>0</v>
      </c>
      <c r="P900">
        <v>0</v>
      </c>
      <c r="Q900" s="20">
        <v>0.90626439142177917</v>
      </c>
      <c r="R900" s="21">
        <v>1.7971246006389777E-2</v>
      </c>
    </row>
    <row r="901" spans="1:18">
      <c r="A901" t="s">
        <v>1429</v>
      </c>
      <c r="B901" t="s">
        <v>74</v>
      </c>
      <c r="C901" t="s">
        <v>104</v>
      </c>
      <c r="D901">
        <v>2</v>
      </c>
      <c r="E901" t="s">
        <v>132</v>
      </c>
      <c r="F901" t="s">
        <v>168</v>
      </c>
      <c r="G901" t="s">
        <v>169</v>
      </c>
      <c r="H901" s="16">
        <v>79194</v>
      </c>
      <c r="I901" s="16">
        <v>36091</v>
      </c>
      <c r="J901" s="16">
        <v>18973</v>
      </c>
      <c r="K901" s="16">
        <v>45581</v>
      </c>
      <c r="L901" s="16">
        <v>37432</v>
      </c>
      <c r="M901" s="16">
        <v>33613</v>
      </c>
      <c r="N901" s="16">
        <v>990</v>
      </c>
      <c r="O901">
        <v>0</v>
      </c>
      <c r="P901">
        <v>4</v>
      </c>
      <c r="Q901" s="20">
        <v>0.45572896936636614</v>
      </c>
      <c r="R901" s="21">
        <v>2.9452890250795824E-2</v>
      </c>
    </row>
    <row r="902" spans="1:18">
      <c r="A902" t="s">
        <v>1430</v>
      </c>
      <c r="B902" t="s">
        <v>86</v>
      </c>
      <c r="C902" t="s">
        <v>101</v>
      </c>
      <c r="D902">
        <v>2</v>
      </c>
      <c r="E902" t="s">
        <v>132</v>
      </c>
      <c r="F902" t="s">
        <v>210</v>
      </c>
      <c r="G902" t="s">
        <v>211</v>
      </c>
      <c r="H902" s="16">
        <v>77904</v>
      </c>
      <c r="I902" s="16">
        <v>0</v>
      </c>
      <c r="J902" s="16">
        <v>7094</v>
      </c>
      <c r="K902" s="16">
        <v>57206</v>
      </c>
      <c r="L902" s="16">
        <v>49902</v>
      </c>
      <c r="M902" s="16">
        <v>20698</v>
      </c>
      <c r="N902" s="16">
        <v>8901</v>
      </c>
      <c r="O902">
        <v>2</v>
      </c>
      <c r="P902">
        <v>0</v>
      </c>
      <c r="Q902" s="20">
        <v>0</v>
      </c>
      <c r="R902" s="21">
        <v>0.4300415499082037</v>
      </c>
    </row>
    <row r="903" spans="1:18">
      <c r="A903" t="s">
        <v>1431</v>
      </c>
      <c r="B903" t="s">
        <v>83</v>
      </c>
      <c r="C903" t="s">
        <v>101</v>
      </c>
      <c r="D903">
        <v>1</v>
      </c>
      <c r="E903" t="s">
        <v>136</v>
      </c>
      <c r="F903" t="s">
        <v>783</v>
      </c>
      <c r="G903" t="s">
        <v>744</v>
      </c>
      <c r="H903" s="16">
        <v>77787</v>
      </c>
      <c r="I903" s="16">
        <v>21007</v>
      </c>
      <c r="J903" s="16">
        <v>55460</v>
      </c>
      <c r="K903" s="16">
        <v>15328</v>
      </c>
      <c r="L903" s="16">
        <v>13577</v>
      </c>
      <c r="M903" s="16">
        <v>62459</v>
      </c>
      <c r="N903" s="16">
        <v>-1308</v>
      </c>
      <c r="O903">
        <v>1</v>
      </c>
      <c r="P903">
        <v>0</v>
      </c>
      <c r="Q903" s="20">
        <v>0.27005797883965188</v>
      </c>
      <c r="R903" s="21">
        <v>-2.094173777998367E-2</v>
      </c>
    </row>
    <row r="904" spans="1:18">
      <c r="A904" t="s">
        <v>1432</v>
      </c>
      <c r="B904" t="s">
        <v>74</v>
      </c>
      <c r="C904" t="s">
        <v>104</v>
      </c>
      <c r="D904">
        <v>2</v>
      </c>
      <c r="E904" t="s">
        <v>132</v>
      </c>
      <c r="F904" t="s">
        <v>133</v>
      </c>
      <c r="G904" t="s">
        <v>134</v>
      </c>
      <c r="H904" s="16">
        <v>77112</v>
      </c>
      <c r="I904" s="16">
        <v>3204</v>
      </c>
      <c r="J904" s="16">
        <v>69338</v>
      </c>
      <c r="K904" s="16">
        <v>6558</v>
      </c>
      <c r="L904" s="16">
        <v>0</v>
      </c>
      <c r="M904" s="16">
        <v>70554</v>
      </c>
      <c r="N904" s="16">
        <v>3236</v>
      </c>
      <c r="O904">
        <v>0</v>
      </c>
      <c r="P904">
        <v>0</v>
      </c>
      <c r="Q904" s="20">
        <v>4.1549953314659195E-2</v>
      </c>
      <c r="R904" s="21">
        <v>4.5865578138730614E-2</v>
      </c>
    </row>
    <row r="905" spans="1:18">
      <c r="A905" t="s">
        <v>1433</v>
      </c>
      <c r="B905" t="s">
        <v>74</v>
      </c>
      <c r="C905" t="s">
        <v>101</v>
      </c>
      <c r="D905">
        <v>2</v>
      </c>
      <c r="E905" t="s">
        <v>132</v>
      </c>
      <c r="F905" t="s">
        <v>1434</v>
      </c>
      <c r="G905" t="s">
        <v>843</v>
      </c>
      <c r="H905" s="16">
        <v>76862</v>
      </c>
      <c r="I905" s="16">
        <v>12148</v>
      </c>
      <c r="J905" s="16">
        <v>44773</v>
      </c>
      <c r="K905" s="16">
        <v>67507</v>
      </c>
      <c r="L905" s="16">
        <v>60610</v>
      </c>
      <c r="M905" s="16">
        <v>9354</v>
      </c>
      <c r="N905" s="16">
        <v>-543</v>
      </c>
      <c r="O905">
        <v>0</v>
      </c>
      <c r="P905">
        <v>2</v>
      </c>
      <c r="Q905" s="20">
        <v>0.15804949129608908</v>
      </c>
      <c r="R905" s="21">
        <v>-5.8050032071840924E-2</v>
      </c>
    </row>
    <row r="906" spans="1:18">
      <c r="A906" t="s">
        <v>1435</v>
      </c>
      <c r="B906" t="s">
        <v>71</v>
      </c>
      <c r="C906" t="s">
        <v>101</v>
      </c>
      <c r="D906">
        <v>2</v>
      </c>
      <c r="E906" t="s">
        <v>132</v>
      </c>
      <c r="F906" t="s">
        <v>210</v>
      </c>
      <c r="G906" t="s">
        <v>211</v>
      </c>
      <c r="H906" s="16">
        <v>75906</v>
      </c>
      <c r="I906" s="16">
        <v>50267</v>
      </c>
      <c r="J906" s="16">
        <v>3107</v>
      </c>
      <c r="K906" s="16">
        <v>54803</v>
      </c>
      <c r="L906" s="16">
        <v>51386</v>
      </c>
      <c r="M906" s="16">
        <v>21104</v>
      </c>
      <c r="N906" s="16">
        <v>-379</v>
      </c>
      <c r="O906">
        <v>2</v>
      </c>
      <c r="P906">
        <v>0</v>
      </c>
      <c r="Q906" s="20">
        <v>0.66222696493030853</v>
      </c>
      <c r="R906" s="21">
        <v>-1.7958680818802124E-2</v>
      </c>
    </row>
    <row r="907" spans="1:18">
      <c r="A907" t="s">
        <v>1436</v>
      </c>
      <c r="B907" t="s">
        <v>89</v>
      </c>
      <c r="C907" t="s">
        <v>162</v>
      </c>
      <c r="D907">
        <v>2</v>
      </c>
      <c r="E907" t="s">
        <v>132</v>
      </c>
      <c r="F907" t="s">
        <v>1437</v>
      </c>
      <c r="G907" t="s">
        <v>169</v>
      </c>
      <c r="H907" s="16">
        <v>73824</v>
      </c>
      <c r="I907" s="16">
        <v>0</v>
      </c>
      <c r="J907" s="16">
        <v>51880</v>
      </c>
      <c r="K907" s="16">
        <v>62590</v>
      </c>
      <c r="L907" s="16">
        <v>1390</v>
      </c>
      <c r="M907" s="16">
        <v>11234</v>
      </c>
      <c r="N907" s="16">
        <v>4707</v>
      </c>
      <c r="O907">
        <v>1</v>
      </c>
      <c r="P907">
        <v>0</v>
      </c>
      <c r="Q907" s="20">
        <v>0</v>
      </c>
      <c r="R907" s="21">
        <v>0.41899590528752001</v>
      </c>
    </row>
    <row r="908" spans="1:18">
      <c r="A908" t="s">
        <v>1438</v>
      </c>
      <c r="B908" t="s">
        <v>89</v>
      </c>
      <c r="C908" t="s">
        <v>95</v>
      </c>
      <c r="D908">
        <v>3</v>
      </c>
      <c r="E908" t="s">
        <v>143</v>
      </c>
      <c r="F908" t="s">
        <v>133</v>
      </c>
      <c r="G908" t="s">
        <v>134</v>
      </c>
      <c r="H908" s="16">
        <v>73123</v>
      </c>
      <c r="I908" s="16">
        <v>0</v>
      </c>
      <c r="J908" s="16">
        <v>62365</v>
      </c>
      <c r="K908" s="16">
        <v>2023</v>
      </c>
      <c r="L908" s="16">
        <v>0</v>
      </c>
      <c r="M908" s="16">
        <v>71100</v>
      </c>
      <c r="N908" s="16">
        <v>3708</v>
      </c>
      <c r="O908">
        <v>1</v>
      </c>
      <c r="P908">
        <v>0</v>
      </c>
      <c r="Q908" s="20">
        <v>0</v>
      </c>
      <c r="R908" s="21">
        <v>5.2151898734177214E-2</v>
      </c>
    </row>
    <row r="909" spans="1:18">
      <c r="A909" t="s">
        <v>1439</v>
      </c>
      <c r="B909" t="s">
        <v>74</v>
      </c>
      <c r="C909" t="s">
        <v>104</v>
      </c>
      <c r="D909">
        <v>2</v>
      </c>
      <c r="E909" t="s">
        <v>132</v>
      </c>
      <c r="F909" t="s">
        <v>145</v>
      </c>
      <c r="G909" t="s">
        <v>146</v>
      </c>
      <c r="H909" s="16">
        <v>71619</v>
      </c>
      <c r="I909" s="16">
        <v>27796</v>
      </c>
      <c r="J909" s="16">
        <v>3980</v>
      </c>
      <c r="K909" s="16">
        <v>64179</v>
      </c>
      <c r="L909" s="16">
        <v>59839</v>
      </c>
      <c r="M909" s="16">
        <v>7440</v>
      </c>
      <c r="N909" s="16">
        <v>121</v>
      </c>
      <c r="O909">
        <v>0</v>
      </c>
      <c r="P909">
        <v>6</v>
      </c>
      <c r="Q909" s="20">
        <v>0.38810930060458815</v>
      </c>
      <c r="R909" s="21">
        <v>1.6263440860215053E-2</v>
      </c>
    </row>
    <row r="910" spans="1:18">
      <c r="A910" t="s">
        <v>1440</v>
      </c>
      <c r="B910" t="s">
        <v>74</v>
      </c>
      <c r="C910" t="s">
        <v>104</v>
      </c>
      <c r="D910">
        <v>2</v>
      </c>
      <c r="E910" t="s">
        <v>132</v>
      </c>
      <c r="F910" t="s">
        <v>1116</v>
      </c>
      <c r="G910" t="s">
        <v>198</v>
      </c>
      <c r="H910" s="16">
        <v>70569</v>
      </c>
      <c r="I910" s="16">
        <v>40274</v>
      </c>
      <c r="J910" s="16">
        <v>9693</v>
      </c>
      <c r="K910" s="16">
        <v>36493</v>
      </c>
      <c r="L910" s="16">
        <v>32656</v>
      </c>
      <c r="M910" s="16">
        <v>34076</v>
      </c>
      <c r="N910" s="16">
        <v>789</v>
      </c>
      <c r="O910">
        <v>0</v>
      </c>
      <c r="P910">
        <v>1</v>
      </c>
      <c r="Q910" s="20">
        <v>0.57070385013249447</v>
      </c>
      <c r="R910" s="21">
        <v>2.3154126071135109E-2</v>
      </c>
    </row>
    <row r="911" spans="1:18">
      <c r="A911" t="s">
        <v>1441</v>
      </c>
      <c r="B911" t="s">
        <v>68</v>
      </c>
      <c r="C911" t="s">
        <v>101</v>
      </c>
      <c r="D911">
        <v>2</v>
      </c>
      <c r="E911" t="s">
        <v>132</v>
      </c>
      <c r="F911" t="s">
        <v>145</v>
      </c>
      <c r="G911" t="s">
        <v>146</v>
      </c>
      <c r="H911" s="16">
        <v>70283</v>
      </c>
      <c r="I911" s="16">
        <v>0</v>
      </c>
      <c r="J911" s="16">
        <v>219</v>
      </c>
      <c r="K911" s="16">
        <v>11953</v>
      </c>
      <c r="L911" s="16">
        <v>7145</v>
      </c>
      <c r="M911" s="16">
        <v>58330</v>
      </c>
      <c r="N911" s="16">
        <v>-277</v>
      </c>
      <c r="O911">
        <v>2</v>
      </c>
      <c r="P911">
        <v>0</v>
      </c>
      <c r="Q911" s="20">
        <v>0</v>
      </c>
      <c r="R911" s="21">
        <v>-4.7488427910166294E-3</v>
      </c>
    </row>
    <row r="912" spans="1:18">
      <c r="A912" t="s">
        <v>1442</v>
      </c>
      <c r="B912" t="s">
        <v>89</v>
      </c>
      <c r="C912" t="s">
        <v>162</v>
      </c>
      <c r="D912">
        <v>2</v>
      </c>
      <c r="E912" t="s">
        <v>132</v>
      </c>
      <c r="F912" t="s">
        <v>168</v>
      </c>
      <c r="G912" t="s">
        <v>169</v>
      </c>
      <c r="H912" s="16">
        <v>70195</v>
      </c>
      <c r="I912" s="16">
        <v>0</v>
      </c>
      <c r="J912" s="16">
        <v>8062</v>
      </c>
      <c r="K912" s="16">
        <v>50434</v>
      </c>
      <c r="L912" s="16">
        <v>47552</v>
      </c>
      <c r="M912" s="16">
        <v>19761</v>
      </c>
      <c r="N912" s="16">
        <v>3475</v>
      </c>
      <c r="O912">
        <v>1</v>
      </c>
      <c r="P912">
        <v>0</v>
      </c>
      <c r="Q912" s="20">
        <v>0</v>
      </c>
      <c r="R912" s="21">
        <v>0.17585142452305044</v>
      </c>
    </row>
    <row r="913" spans="1:18">
      <c r="A913" t="s">
        <v>1443</v>
      </c>
      <c r="B913" t="s">
        <v>89</v>
      </c>
      <c r="C913" t="s">
        <v>162</v>
      </c>
      <c r="D913">
        <v>2</v>
      </c>
      <c r="E913" t="s">
        <v>132</v>
      </c>
      <c r="F913" t="s">
        <v>133</v>
      </c>
      <c r="G913" t="s">
        <v>134</v>
      </c>
      <c r="H913" s="16">
        <v>70010</v>
      </c>
      <c r="I913" s="16">
        <v>0</v>
      </c>
      <c r="J913" s="16">
        <v>679</v>
      </c>
      <c r="K913" s="16">
        <v>53742</v>
      </c>
      <c r="L913" s="16">
        <v>48842</v>
      </c>
      <c r="M913" s="16">
        <v>16269</v>
      </c>
      <c r="N913" s="16">
        <v>236</v>
      </c>
      <c r="O913">
        <v>1</v>
      </c>
      <c r="P913">
        <v>0</v>
      </c>
      <c r="Q913" s="20">
        <v>0</v>
      </c>
      <c r="R913" s="21">
        <v>1.4506115925994222E-2</v>
      </c>
    </row>
    <row r="914" spans="1:18">
      <c r="A914" t="s">
        <v>1444</v>
      </c>
      <c r="B914" t="s">
        <v>89</v>
      </c>
      <c r="C914" t="s">
        <v>162</v>
      </c>
      <c r="D914">
        <v>2</v>
      </c>
      <c r="E914" t="s">
        <v>132</v>
      </c>
      <c r="F914" t="s">
        <v>1445</v>
      </c>
      <c r="G914" t="s">
        <v>134</v>
      </c>
      <c r="H914" s="16">
        <v>68888</v>
      </c>
      <c r="I914" s="16">
        <v>0</v>
      </c>
      <c r="J914" s="16">
        <v>16345</v>
      </c>
      <c r="K914" s="16">
        <v>45658</v>
      </c>
      <c r="L914" s="16">
        <v>7939</v>
      </c>
      <c r="M914" s="16">
        <v>23229</v>
      </c>
      <c r="N914" s="16">
        <v>5604</v>
      </c>
      <c r="O914">
        <v>1</v>
      </c>
      <c r="P914">
        <v>0</v>
      </c>
      <c r="Q914" s="20">
        <v>0</v>
      </c>
      <c r="R914" s="21">
        <v>0.24125016143613587</v>
      </c>
    </row>
    <row r="915" spans="1:18">
      <c r="A915" t="s">
        <v>1446</v>
      </c>
      <c r="B915" t="s">
        <v>83</v>
      </c>
      <c r="C915" t="s">
        <v>104</v>
      </c>
      <c r="D915">
        <v>2</v>
      </c>
      <c r="E915" t="s">
        <v>132</v>
      </c>
      <c r="F915" t="s">
        <v>141</v>
      </c>
      <c r="G915" t="s">
        <v>134</v>
      </c>
      <c r="H915" s="16">
        <v>68721</v>
      </c>
      <c r="I915" s="16">
        <v>0</v>
      </c>
      <c r="J915" s="16">
        <v>0</v>
      </c>
      <c r="K915" s="16">
        <v>22007</v>
      </c>
      <c r="L915" s="16">
        <v>0</v>
      </c>
      <c r="M915" s="16">
        <v>46714</v>
      </c>
      <c r="N915" s="16">
        <v>21586</v>
      </c>
      <c r="O915">
        <v>2</v>
      </c>
      <c r="P915">
        <v>0</v>
      </c>
      <c r="Q915" s="20">
        <v>0</v>
      </c>
      <c r="R915" s="21">
        <v>0.46208845314038616</v>
      </c>
    </row>
    <row r="916" spans="1:18">
      <c r="A916" t="s">
        <v>1447</v>
      </c>
      <c r="B916" t="s">
        <v>83</v>
      </c>
      <c r="C916" t="s">
        <v>104</v>
      </c>
      <c r="D916">
        <v>2</v>
      </c>
      <c r="E916" t="s">
        <v>132</v>
      </c>
      <c r="F916" t="s">
        <v>210</v>
      </c>
      <c r="G916" t="s">
        <v>211</v>
      </c>
      <c r="H916" s="16">
        <v>68526</v>
      </c>
      <c r="I916" s="16">
        <v>0</v>
      </c>
      <c r="J916" s="16">
        <v>56658</v>
      </c>
      <c r="K916" s="16">
        <v>68165</v>
      </c>
      <c r="L916" s="16">
        <v>66641</v>
      </c>
      <c r="M916" s="16">
        <v>361</v>
      </c>
      <c r="N916" s="16">
        <v>-5113</v>
      </c>
      <c r="O916">
        <v>2</v>
      </c>
      <c r="P916">
        <v>0</v>
      </c>
      <c r="Q916" s="20">
        <v>0</v>
      </c>
      <c r="R916" s="21">
        <v>-14.163434903047092</v>
      </c>
    </row>
    <row r="917" spans="1:18">
      <c r="A917" t="s">
        <v>1448</v>
      </c>
      <c r="B917" t="s">
        <v>89</v>
      </c>
      <c r="C917" t="s">
        <v>101</v>
      </c>
      <c r="D917">
        <v>2</v>
      </c>
      <c r="E917" t="s">
        <v>132</v>
      </c>
      <c r="F917" t="s">
        <v>301</v>
      </c>
      <c r="G917" t="s">
        <v>153</v>
      </c>
      <c r="H917" s="16">
        <v>68010</v>
      </c>
      <c r="I917" s="16">
        <v>0</v>
      </c>
      <c r="J917" s="16">
        <v>9994</v>
      </c>
      <c r="K917" s="16">
        <v>60038</v>
      </c>
      <c r="L917" s="16">
        <v>0</v>
      </c>
      <c r="M917" s="16">
        <v>7971</v>
      </c>
      <c r="N917" s="16">
        <v>1796</v>
      </c>
      <c r="O917">
        <v>1</v>
      </c>
      <c r="P917">
        <v>0</v>
      </c>
      <c r="Q917" s="20">
        <v>0</v>
      </c>
      <c r="R917" s="21">
        <v>0.22531677330322419</v>
      </c>
    </row>
    <row r="918" spans="1:18">
      <c r="A918" t="s">
        <v>1449</v>
      </c>
      <c r="B918" t="s">
        <v>83</v>
      </c>
      <c r="C918" t="s">
        <v>104</v>
      </c>
      <c r="D918">
        <v>2</v>
      </c>
      <c r="E918" t="s">
        <v>132</v>
      </c>
      <c r="F918" t="s">
        <v>133</v>
      </c>
      <c r="G918" t="s">
        <v>134</v>
      </c>
      <c r="H918" s="16">
        <v>66777</v>
      </c>
      <c r="I918" s="16">
        <v>60222</v>
      </c>
      <c r="J918" s="16">
        <v>2908</v>
      </c>
      <c r="K918" s="16">
        <v>23146</v>
      </c>
      <c r="L918" s="16">
        <v>10670</v>
      </c>
      <c r="M918" s="16">
        <v>43631</v>
      </c>
      <c r="N918" s="16">
        <v>4114</v>
      </c>
      <c r="O918">
        <v>2</v>
      </c>
      <c r="P918">
        <v>0</v>
      </c>
      <c r="Q918" s="20">
        <v>0.90183745900534618</v>
      </c>
      <c r="R918" s="21">
        <v>9.4290756572162002E-2</v>
      </c>
    </row>
    <row r="919" spans="1:18">
      <c r="A919" t="s">
        <v>1450</v>
      </c>
      <c r="B919" t="s">
        <v>86</v>
      </c>
      <c r="C919" t="s">
        <v>101</v>
      </c>
      <c r="D919">
        <v>2</v>
      </c>
      <c r="E919" t="s">
        <v>132</v>
      </c>
      <c r="F919" t="s">
        <v>133</v>
      </c>
      <c r="G919" t="s">
        <v>134</v>
      </c>
      <c r="H919" s="16">
        <v>66428</v>
      </c>
      <c r="I919" s="16">
        <v>0</v>
      </c>
      <c r="J919" s="16">
        <v>3047</v>
      </c>
      <c r="K919" s="16">
        <v>61864</v>
      </c>
      <c r="L919" s="16">
        <v>59716</v>
      </c>
      <c r="M919" s="16">
        <v>4565</v>
      </c>
      <c r="N919" s="16">
        <v>-1537</v>
      </c>
      <c r="O919">
        <v>2</v>
      </c>
      <c r="P919">
        <v>0</v>
      </c>
      <c r="Q919" s="20">
        <v>0</v>
      </c>
      <c r="R919" s="21">
        <v>-0.3366922234392114</v>
      </c>
    </row>
    <row r="920" spans="1:18">
      <c r="A920" t="s">
        <v>1451</v>
      </c>
      <c r="B920" t="s">
        <v>68</v>
      </c>
      <c r="C920" t="s">
        <v>101</v>
      </c>
      <c r="D920">
        <v>2</v>
      </c>
      <c r="E920" t="s">
        <v>132</v>
      </c>
      <c r="F920" t="s">
        <v>210</v>
      </c>
      <c r="G920" t="s">
        <v>211</v>
      </c>
      <c r="H920" s="16">
        <v>65132</v>
      </c>
      <c r="I920" s="16">
        <v>0</v>
      </c>
      <c r="J920" s="16">
        <v>25723</v>
      </c>
      <c r="K920" s="16">
        <v>46288</v>
      </c>
      <c r="L920" s="16">
        <v>14132</v>
      </c>
      <c r="M920" s="16">
        <v>18844</v>
      </c>
      <c r="N920" s="16">
        <v>-3414</v>
      </c>
      <c r="O920">
        <v>4</v>
      </c>
      <c r="P920">
        <v>0</v>
      </c>
      <c r="Q920" s="20">
        <v>0</v>
      </c>
      <c r="R920" s="21">
        <v>-0.18117172574824877</v>
      </c>
    </row>
    <row r="921" spans="1:18">
      <c r="A921" t="s">
        <v>1452</v>
      </c>
      <c r="B921" t="s">
        <v>74</v>
      </c>
      <c r="C921" t="s">
        <v>104</v>
      </c>
      <c r="D921">
        <v>2</v>
      </c>
      <c r="E921" t="s">
        <v>132</v>
      </c>
      <c r="F921" t="s">
        <v>133</v>
      </c>
      <c r="G921" t="s">
        <v>134</v>
      </c>
      <c r="H921" s="16">
        <v>65000</v>
      </c>
      <c r="I921" s="16">
        <v>34784</v>
      </c>
      <c r="J921" s="16">
        <v>30068</v>
      </c>
      <c r="K921" s="16">
        <v>13298</v>
      </c>
      <c r="L921" s="16">
        <v>11234</v>
      </c>
      <c r="M921" s="16">
        <v>51702</v>
      </c>
      <c r="N921" s="16">
        <v>3737</v>
      </c>
      <c r="O921">
        <v>0</v>
      </c>
      <c r="P921">
        <v>0</v>
      </c>
      <c r="Q921" s="20">
        <v>0.53513846153846156</v>
      </c>
      <c r="R921" s="21">
        <v>7.2279602336466672E-2</v>
      </c>
    </row>
    <row r="922" spans="1:18">
      <c r="A922" t="s">
        <v>1453</v>
      </c>
      <c r="B922" t="s">
        <v>74</v>
      </c>
      <c r="C922" t="s">
        <v>104</v>
      </c>
      <c r="D922">
        <v>2</v>
      </c>
      <c r="E922" t="s">
        <v>132</v>
      </c>
      <c r="F922" t="s">
        <v>205</v>
      </c>
      <c r="G922" t="s">
        <v>206</v>
      </c>
      <c r="H922" s="16">
        <v>64843</v>
      </c>
      <c r="I922" s="16">
        <v>27735</v>
      </c>
      <c r="J922" s="16">
        <v>2515</v>
      </c>
      <c r="K922" s="16">
        <v>52141</v>
      </c>
      <c r="L922" s="16">
        <v>49120</v>
      </c>
      <c r="M922" s="16">
        <v>12702</v>
      </c>
      <c r="N922" s="16">
        <v>386</v>
      </c>
      <c r="O922">
        <v>0</v>
      </c>
      <c r="P922">
        <v>5</v>
      </c>
      <c r="Q922" s="20">
        <v>0.42772542911339695</v>
      </c>
      <c r="R922" s="21">
        <v>3.0388915131475357E-2</v>
      </c>
    </row>
    <row r="923" spans="1:18">
      <c r="A923" t="s">
        <v>1454</v>
      </c>
      <c r="B923" t="s">
        <v>86</v>
      </c>
      <c r="C923" t="s">
        <v>101</v>
      </c>
      <c r="D923">
        <v>2</v>
      </c>
      <c r="E923" t="s">
        <v>132</v>
      </c>
      <c r="F923" t="s">
        <v>168</v>
      </c>
      <c r="G923" t="s">
        <v>169</v>
      </c>
      <c r="H923" s="16">
        <v>64242</v>
      </c>
      <c r="I923" s="16">
        <v>0</v>
      </c>
      <c r="J923" s="16">
        <v>1</v>
      </c>
      <c r="K923" s="16">
        <v>60510</v>
      </c>
      <c r="L923" s="16">
        <v>0</v>
      </c>
      <c r="M923" s="16">
        <v>3732</v>
      </c>
      <c r="N923" s="16">
        <v>-101</v>
      </c>
      <c r="O923">
        <v>3</v>
      </c>
      <c r="P923">
        <v>0</v>
      </c>
      <c r="Q923" s="20">
        <v>0</v>
      </c>
      <c r="R923" s="21">
        <v>-2.7063236870310824E-2</v>
      </c>
    </row>
    <row r="924" spans="1:18">
      <c r="A924" t="s">
        <v>1455</v>
      </c>
      <c r="B924" t="s">
        <v>89</v>
      </c>
      <c r="C924" t="s">
        <v>162</v>
      </c>
      <c r="D924">
        <v>2</v>
      </c>
      <c r="E924" t="s">
        <v>132</v>
      </c>
      <c r="F924" t="s">
        <v>145</v>
      </c>
      <c r="G924" t="s">
        <v>146</v>
      </c>
      <c r="H924" s="16">
        <v>63541</v>
      </c>
      <c r="I924" s="16">
        <v>0</v>
      </c>
      <c r="J924" s="16">
        <v>2067</v>
      </c>
      <c r="K924" s="16">
        <v>11372</v>
      </c>
      <c r="L924" s="16">
        <v>1690</v>
      </c>
      <c r="M924" s="16">
        <v>52170</v>
      </c>
      <c r="N924" s="16">
        <v>6037</v>
      </c>
      <c r="O924">
        <v>1</v>
      </c>
      <c r="P924">
        <v>0</v>
      </c>
      <c r="Q924" s="20">
        <v>0</v>
      </c>
      <c r="R924" s="21">
        <v>0.11571784550507955</v>
      </c>
    </row>
    <row r="925" spans="1:18">
      <c r="A925" t="s">
        <v>1456</v>
      </c>
      <c r="B925" t="s">
        <v>89</v>
      </c>
      <c r="C925" t="s">
        <v>162</v>
      </c>
      <c r="D925">
        <v>3</v>
      </c>
      <c r="E925" t="s">
        <v>143</v>
      </c>
      <c r="F925" t="s">
        <v>152</v>
      </c>
      <c r="G925" t="s">
        <v>153</v>
      </c>
      <c r="H925" s="16">
        <v>63207</v>
      </c>
      <c r="I925" s="16">
        <v>9</v>
      </c>
      <c r="J925" s="16">
        <v>17704</v>
      </c>
      <c r="K925" s="16">
        <v>42317</v>
      </c>
      <c r="L925" s="16">
        <v>7822</v>
      </c>
      <c r="M925" s="16">
        <v>20889</v>
      </c>
      <c r="N925" s="16">
        <v>-942</v>
      </c>
      <c r="O925">
        <v>1</v>
      </c>
      <c r="P925">
        <v>0</v>
      </c>
      <c r="Q925" s="20">
        <v>1.4238929232521716E-4</v>
      </c>
      <c r="R925" s="21">
        <v>-4.5095504811144618E-2</v>
      </c>
    </row>
    <row r="926" spans="1:18">
      <c r="A926" t="s">
        <v>1457</v>
      </c>
      <c r="B926" t="s">
        <v>74</v>
      </c>
      <c r="C926" t="s">
        <v>104</v>
      </c>
      <c r="D926">
        <v>2</v>
      </c>
      <c r="E926" t="s">
        <v>132</v>
      </c>
      <c r="F926" t="s">
        <v>220</v>
      </c>
      <c r="G926" t="s">
        <v>134</v>
      </c>
      <c r="H926" s="16">
        <v>62417</v>
      </c>
      <c r="I926" s="16">
        <v>18670</v>
      </c>
      <c r="J926" s="16">
        <v>43424</v>
      </c>
      <c r="K926" s="16">
        <v>1865</v>
      </c>
      <c r="L926" s="16">
        <v>0</v>
      </c>
      <c r="M926" s="16">
        <v>60552</v>
      </c>
      <c r="N926" s="16">
        <v>3555</v>
      </c>
      <c r="O926">
        <v>0</v>
      </c>
      <c r="P926">
        <v>1</v>
      </c>
      <c r="Q926" s="20">
        <v>0.29911722767835686</v>
      </c>
      <c r="R926" s="21">
        <v>5.8709869203329372E-2</v>
      </c>
    </row>
    <row r="927" spans="1:18">
      <c r="A927" t="s">
        <v>1458</v>
      </c>
      <c r="B927" t="s">
        <v>71</v>
      </c>
      <c r="C927" t="s">
        <v>101</v>
      </c>
      <c r="D927">
        <v>2</v>
      </c>
      <c r="E927" t="s">
        <v>132</v>
      </c>
      <c r="F927" t="s">
        <v>133</v>
      </c>
      <c r="G927" t="s">
        <v>134</v>
      </c>
      <c r="H927" s="16">
        <v>62300</v>
      </c>
      <c r="I927" s="16">
        <v>0</v>
      </c>
      <c r="J927" s="16">
        <v>4715</v>
      </c>
      <c r="K927" s="16">
        <v>33065</v>
      </c>
      <c r="L927" s="16">
        <v>3222</v>
      </c>
      <c r="M927" s="16">
        <v>29235</v>
      </c>
      <c r="N927" s="16">
        <v>726</v>
      </c>
      <c r="O927">
        <v>2</v>
      </c>
      <c r="P927">
        <v>0</v>
      </c>
      <c r="Q927" s="20">
        <v>0</v>
      </c>
      <c r="R927" s="21">
        <v>2.4833247819394562E-2</v>
      </c>
    </row>
    <row r="928" spans="1:18">
      <c r="A928" t="s">
        <v>1459</v>
      </c>
      <c r="B928" t="s">
        <v>74</v>
      </c>
      <c r="C928" t="s">
        <v>104</v>
      </c>
      <c r="D928">
        <v>2</v>
      </c>
      <c r="E928" t="s">
        <v>132</v>
      </c>
      <c r="F928" t="s">
        <v>1460</v>
      </c>
      <c r="G928" t="s">
        <v>134</v>
      </c>
      <c r="H928" s="16">
        <v>62228</v>
      </c>
      <c r="I928" s="16">
        <v>8431</v>
      </c>
      <c r="J928" s="16">
        <v>51938</v>
      </c>
      <c r="K928" s="16">
        <v>52885</v>
      </c>
      <c r="L928" s="16">
        <v>51693</v>
      </c>
      <c r="M928" s="16">
        <v>9343</v>
      </c>
      <c r="N928" s="16">
        <v>1103</v>
      </c>
      <c r="O928">
        <v>0</v>
      </c>
      <c r="P928">
        <v>0</v>
      </c>
      <c r="Q928" s="20">
        <v>0.13548563347689144</v>
      </c>
      <c r="R928" s="21">
        <v>0.11805629883335117</v>
      </c>
    </row>
    <row r="929" spans="1:18">
      <c r="A929" t="s">
        <v>1461</v>
      </c>
      <c r="B929" t="s">
        <v>74</v>
      </c>
      <c r="C929" t="s">
        <v>104</v>
      </c>
      <c r="D929">
        <v>2</v>
      </c>
      <c r="E929" t="s">
        <v>132</v>
      </c>
      <c r="F929" t="s">
        <v>220</v>
      </c>
      <c r="G929" t="s">
        <v>134</v>
      </c>
      <c r="H929" s="16">
        <v>62063</v>
      </c>
      <c r="I929" s="16">
        <v>44413</v>
      </c>
      <c r="J929" s="16">
        <v>12992</v>
      </c>
      <c r="K929" s="16">
        <v>32790</v>
      </c>
      <c r="L929" s="16">
        <v>30167</v>
      </c>
      <c r="M929" s="16">
        <v>29273</v>
      </c>
      <c r="N929" s="16">
        <v>656</v>
      </c>
      <c r="O929">
        <v>0</v>
      </c>
      <c r="P929">
        <v>1</v>
      </c>
      <c r="Q929" s="20">
        <v>0.71561155599954884</v>
      </c>
      <c r="R929" s="21">
        <v>2.2409729101902778E-2</v>
      </c>
    </row>
    <row r="930" spans="1:18">
      <c r="A930" t="s">
        <v>1462</v>
      </c>
      <c r="B930" t="s">
        <v>89</v>
      </c>
      <c r="C930" t="s">
        <v>162</v>
      </c>
      <c r="D930">
        <v>2</v>
      </c>
      <c r="E930" t="s">
        <v>132</v>
      </c>
      <c r="F930" t="s">
        <v>133</v>
      </c>
      <c r="G930" t="s">
        <v>134</v>
      </c>
      <c r="H930" s="16">
        <v>61905</v>
      </c>
      <c r="I930" s="16">
        <v>0</v>
      </c>
      <c r="J930" s="16">
        <v>24474</v>
      </c>
      <c r="K930" s="16">
        <v>53994</v>
      </c>
      <c r="L930" s="16">
        <v>51521</v>
      </c>
      <c r="M930" s="16">
        <v>7912</v>
      </c>
      <c r="N930" s="16">
        <v>859</v>
      </c>
      <c r="O930">
        <v>1</v>
      </c>
      <c r="P930">
        <v>0</v>
      </c>
      <c r="Q930" s="20">
        <v>0</v>
      </c>
      <c r="R930" s="21">
        <v>0.10856926188068756</v>
      </c>
    </row>
    <row r="931" spans="1:18">
      <c r="A931" t="s">
        <v>1463</v>
      </c>
      <c r="B931" t="s">
        <v>74</v>
      </c>
      <c r="C931" t="s">
        <v>104</v>
      </c>
      <c r="D931">
        <v>2</v>
      </c>
      <c r="E931" t="s">
        <v>132</v>
      </c>
      <c r="F931" t="s">
        <v>1464</v>
      </c>
      <c r="G931" t="s">
        <v>134</v>
      </c>
      <c r="H931" s="16">
        <v>61039</v>
      </c>
      <c r="I931" s="16">
        <v>50293</v>
      </c>
      <c r="J931" s="16">
        <v>10577</v>
      </c>
      <c r="K931" s="16">
        <v>743</v>
      </c>
      <c r="L931" s="16">
        <v>0</v>
      </c>
      <c r="M931" s="16">
        <v>60296</v>
      </c>
      <c r="N931" s="16">
        <v>3163</v>
      </c>
      <c r="O931">
        <v>0</v>
      </c>
      <c r="P931">
        <v>0</v>
      </c>
      <c r="Q931" s="20">
        <v>0.82394862301151728</v>
      </c>
      <c r="R931" s="21">
        <v>5.2457874485869707E-2</v>
      </c>
    </row>
    <row r="932" spans="1:18">
      <c r="A932" t="s">
        <v>1465</v>
      </c>
      <c r="B932" t="s">
        <v>89</v>
      </c>
      <c r="C932" t="s">
        <v>162</v>
      </c>
      <c r="D932">
        <v>3</v>
      </c>
      <c r="E932" t="s">
        <v>143</v>
      </c>
      <c r="F932" t="s">
        <v>133</v>
      </c>
      <c r="G932" t="s">
        <v>134</v>
      </c>
      <c r="H932" s="16">
        <v>60441</v>
      </c>
      <c r="I932" s="16">
        <v>0</v>
      </c>
      <c r="J932" s="16">
        <v>39305</v>
      </c>
      <c r="K932" s="16">
        <v>34653</v>
      </c>
      <c r="L932" s="16">
        <v>4771</v>
      </c>
      <c r="M932" s="16">
        <v>25789</v>
      </c>
      <c r="N932" s="16">
        <v>888</v>
      </c>
      <c r="O932">
        <v>1</v>
      </c>
      <c r="P932">
        <v>0</v>
      </c>
      <c r="Q932" s="20">
        <v>0</v>
      </c>
      <c r="R932" s="21">
        <v>3.443328550932568E-2</v>
      </c>
    </row>
    <row r="933" spans="1:18">
      <c r="A933" t="s">
        <v>1466</v>
      </c>
      <c r="B933" t="s">
        <v>83</v>
      </c>
      <c r="C933" t="s">
        <v>104</v>
      </c>
      <c r="D933">
        <v>2</v>
      </c>
      <c r="E933" t="s">
        <v>132</v>
      </c>
      <c r="F933" t="s">
        <v>152</v>
      </c>
      <c r="G933" t="s">
        <v>153</v>
      </c>
      <c r="H933" s="16">
        <v>59591</v>
      </c>
      <c r="I933" s="16">
        <v>10899</v>
      </c>
      <c r="J933" s="16">
        <v>8094</v>
      </c>
      <c r="K933" s="16">
        <v>49919</v>
      </c>
      <c r="L933" s="16">
        <v>0</v>
      </c>
      <c r="M933" s="16">
        <v>9672</v>
      </c>
      <c r="N933" s="16">
        <v>-5816</v>
      </c>
      <c r="O933">
        <v>2</v>
      </c>
      <c r="P933">
        <v>0</v>
      </c>
      <c r="Q933" s="20">
        <v>0.18289674615294255</v>
      </c>
      <c r="R933" s="21">
        <v>-0.60132340777502069</v>
      </c>
    </row>
    <row r="934" spans="1:18">
      <c r="A934" t="s">
        <v>1467</v>
      </c>
      <c r="B934" t="s">
        <v>89</v>
      </c>
      <c r="C934" t="s">
        <v>162</v>
      </c>
      <c r="D934">
        <v>2</v>
      </c>
      <c r="E934" t="s">
        <v>132</v>
      </c>
      <c r="F934" t="s">
        <v>1468</v>
      </c>
      <c r="G934" t="s">
        <v>206</v>
      </c>
      <c r="H934" s="16">
        <v>59324</v>
      </c>
      <c r="I934" s="16">
        <v>0</v>
      </c>
      <c r="J934" s="16">
        <v>32906</v>
      </c>
      <c r="K934" s="16">
        <v>18057</v>
      </c>
      <c r="L934" s="16">
        <v>17855</v>
      </c>
      <c r="M934" s="16">
        <v>41267</v>
      </c>
      <c r="N934" s="16">
        <v>233</v>
      </c>
      <c r="O934">
        <v>1</v>
      </c>
      <c r="P934">
        <v>0</v>
      </c>
      <c r="Q934" s="20">
        <v>0</v>
      </c>
      <c r="R934" s="21">
        <v>5.6461579470278916E-3</v>
      </c>
    </row>
    <row r="935" spans="1:18">
      <c r="A935" t="s">
        <v>1469</v>
      </c>
      <c r="B935" t="s">
        <v>83</v>
      </c>
      <c r="C935" t="s">
        <v>104</v>
      </c>
      <c r="D935">
        <v>2</v>
      </c>
      <c r="E935" t="s">
        <v>132</v>
      </c>
      <c r="F935" t="s">
        <v>168</v>
      </c>
      <c r="G935" t="s">
        <v>169</v>
      </c>
      <c r="H935" s="16">
        <v>59187</v>
      </c>
      <c r="I935" s="16">
        <v>4583</v>
      </c>
      <c r="J935" s="16">
        <v>35543</v>
      </c>
      <c r="K935" s="16">
        <v>33869</v>
      </c>
      <c r="L935" s="16">
        <v>14743</v>
      </c>
      <c r="M935" s="16">
        <v>25317</v>
      </c>
      <c r="N935" s="16">
        <v>496</v>
      </c>
      <c r="O935">
        <v>3</v>
      </c>
      <c r="P935">
        <v>0</v>
      </c>
      <c r="Q935" s="20">
        <v>7.7432544308716447E-2</v>
      </c>
      <c r="R935" s="21">
        <v>1.9591578781056208E-2</v>
      </c>
    </row>
    <row r="936" spans="1:18">
      <c r="A936" t="s">
        <v>1470</v>
      </c>
      <c r="B936" t="s">
        <v>83</v>
      </c>
      <c r="C936" t="s">
        <v>101</v>
      </c>
      <c r="D936">
        <v>2</v>
      </c>
      <c r="E936" t="s">
        <v>132</v>
      </c>
      <c r="F936" t="s">
        <v>133</v>
      </c>
      <c r="G936" t="s">
        <v>134</v>
      </c>
      <c r="H936" s="16">
        <v>58324</v>
      </c>
      <c r="I936" s="16">
        <v>640</v>
      </c>
      <c r="J936" s="16">
        <v>40034</v>
      </c>
      <c r="K936" s="16">
        <v>3455</v>
      </c>
      <c r="L936" s="16">
        <v>201</v>
      </c>
      <c r="M936" s="16">
        <v>54870</v>
      </c>
      <c r="N936" s="16">
        <v>214</v>
      </c>
      <c r="O936">
        <v>2</v>
      </c>
      <c r="P936">
        <v>0</v>
      </c>
      <c r="Q936" s="20">
        <v>1.0973184280913517E-2</v>
      </c>
      <c r="R936" s="21">
        <v>3.900127574266448E-3</v>
      </c>
    </row>
    <row r="937" spans="1:18">
      <c r="A937" t="s">
        <v>1471</v>
      </c>
      <c r="B937" t="s">
        <v>83</v>
      </c>
      <c r="C937" t="s">
        <v>101</v>
      </c>
      <c r="D937">
        <v>2</v>
      </c>
      <c r="E937" t="s">
        <v>132</v>
      </c>
      <c r="F937" t="s">
        <v>163</v>
      </c>
      <c r="G937" t="s">
        <v>134</v>
      </c>
      <c r="H937" s="16">
        <v>58227</v>
      </c>
      <c r="I937" s="16">
        <v>0</v>
      </c>
      <c r="J937" s="16">
        <v>54525</v>
      </c>
      <c r="K937" s="16">
        <v>2879</v>
      </c>
      <c r="L937" s="16">
        <v>659</v>
      </c>
      <c r="M937" s="16">
        <v>55348</v>
      </c>
      <c r="N937" s="16">
        <v>448</v>
      </c>
      <c r="O937">
        <v>4</v>
      </c>
      <c r="P937">
        <v>0</v>
      </c>
      <c r="Q937" s="20">
        <v>0</v>
      </c>
      <c r="R937" s="21">
        <v>8.0942400809424012E-3</v>
      </c>
    </row>
    <row r="938" spans="1:18">
      <c r="A938" t="s">
        <v>1472</v>
      </c>
      <c r="B938" t="s">
        <v>83</v>
      </c>
      <c r="C938" t="s">
        <v>101</v>
      </c>
      <c r="D938">
        <v>2</v>
      </c>
      <c r="E938" t="s">
        <v>132</v>
      </c>
      <c r="F938" t="s">
        <v>163</v>
      </c>
      <c r="G938" t="s">
        <v>134</v>
      </c>
      <c r="H938" s="16">
        <v>58036</v>
      </c>
      <c r="I938" s="16">
        <v>0</v>
      </c>
      <c r="J938" s="16">
        <v>0</v>
      </c>
      <c r="K938" s="16">
        <v>13729</v>
      </c>
      <c r="L938" s="16">
        <v>8669</v>
      </c>
      <c r="M938" s="16">
        <v>44308</v>
      </c>
      <c r="N938" s="16">
        <v>15738</v>
      </c>
      <c r="O938">
        <v>1</v>
      </c>
      <c r="P938">
        <v>0</v>
      </c>
      <c r="Q938" s="20">
        <v>0</v>
      </c>
      <c r="R938" s="21">
        <v>0.35519545003159703</v>
      </c>
    </row>
    <row r="939" spans="1:18">
      <c r="A939" t="s">
        <v>1473</v>
      </c>
      <c r="B939" t="s">
        <v>74</v>
      </c>
      <c r="C939" t="s">
        <v>104</v>
      </c>
      <c r="D939">
        <v>2</v>
      </c>
      <c r="E939" t="s">
        <v>132</v>
      </c>
      <c r="F939" t="s">
        <v>738</v>
      </c>
      <c r="G939" t="s">
        <v>206</v>
      </c>
      <c r="H939" s="16">
        <v>57173</v>
      </c>
      <c r="I939" s="16">
        <v>5572</v>
      </c>
      <c r="J939" s="16">
        <v>51025</v>
      </c>
      <c r="K939" s="16">
        <v>43039</v>
      </c>
      <c r="L939" s="16">
        <v>41218</v>
      </c>
      <c r="M939" s="16">
        <v>14134</v>
      </c>
      <c r="N939" s="16">
        <v>939</v>
      </c>
      <c r="O939">
        <v>0</v>
      </c>
      <c r="P939">
        <v>0</v>
      </c>
      <c r="Q939" s="20">
        <v>9.7458590593461944E-2</v>
      </c>
      <c r="R939" s="21">
        <v>6.6435545493137113E-2</v>
      </c>
    </row>
    <row r="940" spans="1:18">
      <c r="A940" t="s">
        <v>1474</v>
      </c>
      <c r="B940" t="s">
        <v>74</v>
      </c>
      <c r="C940" t="s">
        <v>104</v>
      </c>
      <c r="D940">
        <v>2</v>
      </c>
      <c r="E940" t="s">
        <v>132</v>
      </c>
      <c r="F940" t="s">
        <v>133</v>
      </c>
      <c r="G940" t="s">
        <v>134</v>
      </c>
      <c r="H940" s="16">
        <v>57012</v>
      </c>
      <c r="I940" s="16">
        <v>12368</v>
      </c>
      <c r="J940" s="16">
        <v>42672</v>
      </c>
      <c r="K940" s="16">
        <v>5928</v>
      </c>
      <c r="L940" s="16">
        <v>0</v>
      </c>
      <c r="M940" s="16">
        <v>51084</v>
      </c>
      <c r="N940" s="16">
        <v>1337</v>
      </c>
      <c r="O940">
        <v>0</v>
      </c>
      <c r="P940">
        <v>0</v>
      </c>
      <c r="Q940" s="20">
        <v>0.21693678523819546</v>
      </c>
      <c r="R940" s="21">
        <v>2.6172578498159894E-2</v>
      </c>
    </row>
    <row r="941" spans="1:18">
      <c r="A941" t="s">
        <v>1475</v>
      </c>
      <c r="B941" t="s">
        <v>86</v>
      </c>
      <c r="C941" t="s">
        <v>101</v>
      </c>
      <c r="D941">
        <v>2</v>
      </c>
      <c r="E941" t="s">
        <v>132</v>
      </c>
      <c r="F941" t="s">
        <v>133</v>
      </c>
      <c r="G941" t="s">
        <v>134</v>
      </c>
      <c r="H941" s="16">
        <v>56599</v>
      </c>
      <c r="I941" s="16">
        <v>0</v>
      </c>
      <c r="J941" s="16">
        <v>11643</v>
      </c>
      <c r="K941" s="16">
        <v>11622</v>
      </c>
      <c r="L941" s="16">
        <v>0</v>
      </c>
      <c r="M941" s="16">
        <v>44976</v>
      </c>
      <c r="N941" s="16">
        <v>1985</v>
      </c>
      <c r="O941">
        <v>2</v>
      </c>
      <c r="P941">
        <v>0</v>
      </c>
      <c r="Q941" s="20">
        <v>0</v>
      </c>
      <c r="R941" s="21">
        <v>4.4134649590892923E-2</v>
      </c>
    </row>
    <row r="942" spans="1:18">
      <c r="A942" t="s">
        <v>1476</v>
      </c>
      <c r="B942" t="s">
        <v>89</v>
      </c>
      <c r="C942" t="s">
        <v>104</v>
      </c>
      <c r="D942">
        <v>3</v>
      </c>
      <c r="E942" t="s">
        <v>143</v>
      </c>
      <c r="F942" t="s">
        <v>133</v>
      </c>
      <c r="G942" t="s">
        <v>134</v>
      </c>
      <c r="H942" s="16">
        <v>56548</v>
      </c>
      <c r="I942" s="16">
        <v>0</v>
      </c>
      <c r="J942" s="16">
        <v>0</v>
      </c>
      <c r="K942" s="16">
        <v>38514</v>
      </c>
      <c r="L942" s="16">
        <v>10106</v>
      </c>
      <c r="M942" s="16">
        <v>18035</v>
      </c>
      <c r="N942" s="16">
        <v>-1974</v>
      </c>
      <c r="O942">
        <v>1</v>
      </c>
      <c r="P942">
        <v>0</v>
      </c>
      <c r="Q942" s="20">
        <v>0</v>
      </c>
      <c r="R942" s="21">
        <v>-0.10945383975602994</v>
      </c>
    </row>
    <row r="943" spans="1:18">
      <c r="A943" t="s">
        <v>1477</v>
      </c>
      <c r="B943" t="s">
        <v>86</v>
      </c>
      <c r="C943" t="s">
        <v>101</v>
      </c>
      <c r="D943">
        <v>3</v>
      </c>
      <c r="E943" t="s">
        <v>143</v>
      </c>
      <c r="F943" t="s">
        <v>133</v>
      </c>
      <c r="G943" t="s">
        <v>134</v>
      </c>
      <c r="H943" s="16">
        <v>54714</v>
      </c>
      <c r="I943" s="16">
        <v>0</v>
      </c>
      <c r="J943" s="16">
        <v>0</v>
      </c>
      <c r="K943" s="16">
        <v>3925</v>
      </c>
      <c r="L943" s="16">
        <v>0</v>
      </c>
      <c r="M943" s="16">
        <v>50789</v>
      </c>
      <c r="N943" s="16">
        <v>1436</v>
      </c>
      <c r="O943">
        <v>2</v>
      </c>
      <c r="P943">
        <v>0</v>
      </c>
      <c r="Q943" s="20">
        <v>0</v>
      </c>
      <c r="R943" s="21">
        <v>2.8273838823367266E-2</v>
      </c>
    </row>
    <row r="944" spans="1:18">
      <c r="A944" t="s">
        <v>1478</v>
      </c>
      <c r="B944" t="s">
        <v>86</v>
      </c>
      <c r="C944" t="s">
        <v>101</v>
      </c>
      <c r="D944">
        <v>2</v>
      </c>
      <c r="E944" t="s">
        <v>132</v>
      </c>
      <c r="F944" t="s">
        <v>133</v>
      </c>
      <c r="G944" t="s">
        <v>134</v>
      </c>
      <c r="H944" s="16">
        <v>54475</v>
      </c>
      <c r="I944" s="16">
        <v>0</v>
      </c>
      <c r="J944" s="16">
        <v>7116</v>
      </c>
      <c r="K944" s="16">
        <v>43003</v>
      </c>
      <c r="L944" s="16">
        <v>0</v>
      </c>
      <c r="M944" s="16">
        <v>11473</v>
      </c>
      <c r="N944" s="16">
        <v>553</v>
      </c>
      <c r="O944">
        <v>2</v>
      </c>
      <c r="P944">
        <v>0</v>
      </c>
      <c r="Q944" s="20">
        <v>0</v>
      </c>
      <c r="R944" s="21">
        <v>4.8200122025625382E-2</v>
      </c>
    </row>
    <row r="945" spans="1:18">
      <c r="A945" t="s">
        <v>1479</v>
      </c>
      <c r="B945" t="s">
        <v>74</v>
      </c>
      <c r="C945" t="s">
        <v>104</v>
      </c>
      <c r="D945">
        <v>2</v>
      </c>
      <c r="E945" t="s">
        <v>132</v>
      </c>
      <c r="F945" t="s">
        <v>1331</v>
      </c>
      <c r="G945" t="s">
        <v>134</v>
      </c>
      <c r="H945" s="16">
        <v>54458</v>
      </c>
      <c r="I945" s="16">
        <v>22284</v>
      </c>
      <c r="J945" s="16">
        <v>29313</v>
      </c>
      <c r="K945" s="16">
        <v>41638</v>
      </c>
      <c r="L945" s="16">
        <v>39610</v>
      </c>
      <c r="M945" s="16">
        <v>12820</v>
      </c>
      <c r="N945" s="16">
        <v>148</v>
      </c>
      <c r="O945">
        <v>0</v>
      </c>
      <c r="P945">
        <v>2</v>
      </c>
      <c r="Q945" s="20">
        <v>0.40919607771126371</v>
      </c>
      <c r="R945" s="21">
        <v>1.1544461778471139E-2</v>
      </c>
    </row>
    <row r="946" spans="1:18">
      <c r="A946" t="s">
        <v>1480</v>
      </c>
      <c r="B946" t="s">
        <v>74</v>
      </c>
      <c r="C946" t="s">
        <v>104</v>
      </c>
      <c r="D946">
        <v>2</v>
      </c>
      <c r="E946" t="s">
        <v>132</v>
      </c>
      <c r="F946" t="s">
        <v>178</v>
      </c>
      <c r="G946" t="s">
        <v>179</v>
      </c>
      <c r="H946" s="16">
        <v>54012</v>
      </c>
      <c r="I946" s="16">
        <v>21456</v>
      </c>
      <c r="J946" s="16">
        <v>3089</v>
      </c>
      <c r="K946" s="16">
        <v>11858</v>
      </c>
      <c r="L946" s="16">
        <v>0</v>
      </c>
      <c r="M946" s="16">
        <v>42154</v>
      </c>
      <c r="N946" s="16">
        <v>2583</v>
      </c>
      <c r="O946">
        <v>0</v>
      </c>
      <c r="P946">
        <v>0</v>
      </c>
      <c r="Q946" s="20">
        <v>0.39724505665407689</v>
      </c>
      <c r="R946" s="21">
        <v>6.1275323812686813E-2</v>
      </c>
    </row>
    <row r="947" spans="1:18">
      <c r="A947" t="s">
        <v>1481</v>
      </c>
      <c r="B947" t="s">
        <v>83</v>
      </c>
      <c r="C947" t="s">
        <v>101</v>
      </c>
      <c r="D947">
        <v>1</v>
      </c>
      <c r="E947" t="s">
        <v>136</v>
      </c>
      <c r="F947" t="s">
        <v>568</v>
      </c>
      <c r="G947" t="s">
        <v>569</v>
      </c>
      <c r="H947" s="16">
        <v>53901</v>
      </c>
      <c r="I947" s="16">
        <v>21420</v>
      </c>
      <c r="J947" s="16">
        <v>30469</v>
      </c>
      <c r="K947" s="16">
        <v>19874</v>
      </c>
      <c r="L947" s="16">
        <v>17651</v>
      </c>
      <c r="M947" s="16">
        <v>34027</v>
      </c>
      <c r="N947" s="16">
        <v>-5726</v>
      </c>
      <c r="O947">
        <v>1</v>
      </c>
      <c r="P947">
        <v>0</v>
      </c>
      <c r="Q947" s="20">
        <v>0.39739522457839371</v>
      </c>
      <c r="R947" s="21">
        <v>-0.1682781320715902</v>
      </c>
    </row>
    <row r="948" spans="1:18">
      <c r="A948" t="s">
        <v>1482</v>
      </c>
      <c r="B948" t="s">
        <v>74</v>
      </c>
      <c r="C948" t="s">
        <v>104</v>
      </c>
      <c r="D948">
        <v>2</v>
      </c>
      <c r="E948" t="s">
        <v>132</v>
      </c>
      <c r="F948" t="s">
        <v>168</v>
      </c>
      <c r="G948" t="s">
        <v>169</v>
      </c>
      <c r="H948" s="16">
        <v>53539</v>
      </c>
      <c r="I948" s="16">
        <v>32947</v>
      </c>
      <c r="J948" s="16">
        <v>6374</v>
      </c>
      <c r="K948" s="16">
        <v>27418</v>
      </c>
      <c r="L948" s="16">
        <v>25458</v>
      </c>
      <c r="M948" s="16">
        <v>26122</v>
      </c>
      <c r="N948" s="16">
        <v>1314</v>
      </c>
      <c r="O948">
        <v>0</v>
      </c>
      <c r="P948">
        <v>2</v>
      </c>
      <c r="Q948" s="20">
        <v>0.61538317861745639</v>
      </c>
      <c r="R948" s="21">
        <v>5.0302427072965318E-2</v>
      </c>
    </row>
    <row r="949" spans="1:18">
      <c r="A949" t="s">
        <v>1483</v>
      </c>
      <c r="B949" t="s">
        <v>83</v>
      </c>
      <c r="C949" t="s">
        <v>101</v>
      </c>
      <c r="D949">
        <v>2</v>
      </c>
      <c r="E949" t="s">
        <v>132</v>
      </c>
      <c r="F949" t="s">
        <v>411</v>
      </c>
      <c r="G949" t="s">
        <v>134</v>
      </c>
      <c r="H949" s="16">
        <v>53464</v>
      </c>
      <c r="I949" s="16">
        <v>30</v>
      </c>
      <c r="J949" s="16">
        <v>5973</v>
      </c>
      <c r="K949" s="16">
        <v>48125</v>
      </c>
      <c r="L949" s="16">
        <v>34230</v>
      </c>
      <c r="M949" s="16">
        <v>5339</v>
      </c>
      <c r="N949" s="16">
        <v>-504</v>
      </c>
      <c r="O949">
        <v>2</v>
      </c>
      <c r="P949">
        <v>0</v>
      </c>
      <c r="Q949" s="20">
        <v>5.6112524315427199E-4</v>
      </c>
      <c r="R949" s="21">
        <v>-9.4399700318411689E-2</v>
      </c>
    </row>
    <row r="950" spans="1:18">
      <c r="A950" t="s">
        <v>1484</v>
      </c>
      <c r="B950" t="s">
        <v>74</v>
      </c>
      <c r="C950" t="s">
        <v>104</v>
      </c>
      <c r="D950">
        <v>2</v>
      </c>
      <c r="E950" t="s">
        <v>132</v>
      </c>
      <c r="F950" t="s">
        <v>568</v>
      </c>
      <c r="G950" t="s">
        <v>569</v>
      </c>
      <c r="H950" s="16">
        <v>52508</v>
      </c>
      <c r="I950" s="16">
        <v>14416</v>
      </c>
      <c r="J950" s="16">
        <v>35946</v>
      </c>
      <c r="K950" s="16">
        <v>3230</v>
      </c>
      <c r="L950" s="16">
        <v>1832</v>
      </c>
      <c r="M950" s="16">
        <v>49279</v>
      </c>
      <c r="N950" s="16">
        <v>1224</v>
      </c>
      <c r="O950">
        <v>0</v>
      </c>
      <c r="P950">
        <v>0</v>
      </c>
      <c r="Q950" s="20">
        <v>0.27454864020720654</v>
      </c>
      <c r="R950" s="21">
        <v>2.4838166358895269E-2</v>
      </c>
    </row>
    <row r="951" spans="1:18">
      <c r="A951" t="s">
        <v>1485</v>
      </c>
      <c r="B951" t="s">
        <v>74</v>
      </c>
      <c r="C951" t="s">
        <v>104</v>
      </c>
      <c r="D951">
        <v>2</v>
      </c>
      <c r="E951" t="s">
        <v>132</v>
      </c>
      <c r="F951" t="s">
        <v>1486</v>
      </c>
      <c r="G951" t="s">
        <v>134</v>
      </c>
      <c r="H951" s="16">
        <v>52454</v>
      </c>
      <c r="I951" s="16">
        <v>44438</v>
      </c>
      <c r="J951" s="16">
        <v>3534</v>
      </c>
      <c r="K951" s="16">
        <v>2111</v>
      </c>
      <c r="L951" s="16">
        <v>0</v>
      </c>
      <c r="M951" s="16">
        <v>50342</v>
      </c>
      <c r="N951" s="16">
        <v>4543</v>
      </c>
      <c r="O951">
        <v>0</v>
      </c>
      <c r="P951">
        <v>0</v>
      </c>
      <c r="Q951" s="20">
        <v>0.84718038662447093</v>
      </c>
      <c r="R951" s="21">
        <v>9.0242739660720675E-2</v>
      </c>
    </row>
    <row r="952" spans="1:18">
      <c r="A952" t="s">
        <v>1487</v>
      </c>
      <c r="B952" t="s">
        <v>86</v>
      </c>
      <c r="C952" t="s">
        <v>101</v>
      </c>
      <c r="D952">
        <v>2</v>
      </c>
      <c r="E952" t="s">
        <v>132</v>
      </c>
      <c r="F952" t="s">
        <v>133</v>
      </c>
      <c r="G952" t="s">
        <v>134</v>
      </c>
      <c r="H952" s="16">
        <v>52319</v>
      </c>
      <c r="I952" s="16">
        <v>0</v>
      </c>
      <c r="J952" s="16">
        <v>7389</v>
      </c>
      <c r="K952" s="16">
        <v>44779</v>
      </c>
      <c r="L952" s="16">
        <v>42532</v>
      </c>
      <c r="M952" s="16">
        <v>7539</v>
      </c>
      <c r="N952" s="16">
        <v>625</v>
      </c>
      <c r="O952">
        <v>2</v>
      </c>
      <c r="P952">
        <v>0</v>
      </c>
      <c r="Q952" s="20">
        <v>0</v>
      </c>
      <c r="R952" s="21">
        <v>8.2902241676614932E-2</v>
      </c>
    </row>
    <row r="953" spans="1:18">
      <c r="A953" t="s">
        <v>1488</v>
      </c>
      <c r="B953" t="s">
        <v>86</v>
      </c>
      <c r="C953" t="s">
        <v>101</v>
      </c>
      <c r="D953">
        <v>3</v>
      </c>
      <c r="E953" t="s">
        <v>143</v>
      </c>
      <c r="F953" t="s">
        <v>145</v>
      </c>
      <c r="G953" t="s">
        <v>146</v>
      </c>
      <c r="H953" s="16">
        <v>51011</v>
      </c>
      <c r="I953" s="16">
        <v>0</v>
      </c>
      <c r="J953" s="16">
        <v>8616</v>
      </c>
      <c r="K953" s="16">
        <v>32039</v>
      </c>
      <c r="L953" s="16">
        <v>29924</v>
      </c>
      <c r="M953" s="16">
        <v>18972</v>
      </c>
      <c r="N953" s="16">
        <v>-2075</v>
      </c>
      <c r="O953">
        <v>16</v>
      </c>
      <c r="P953">
        <v>0</v>
      </c>
      <c r="Q953" s="20">
        <v>0</v>
      </c>
      <c r="R953" s="21">
        <v>-0.10937170567151591</v>
      </c>
    </row>
    <row r="954" spans="1:18">
      <c r="A954" t="s">
        <v>1489</v>
      </c>
      <c r="B954" t="s">
        <v>83</v>
      </c>
      <c r="C954" t="s">
        <v>104</v>
      </c>
      <c r="D954">
        <v>2</v>
      </c>
      <c r="E954" t="s">
        <v>132</v>
      </c>
      <c r="F954" t="s">
        <v>137</v>
      </c>
      <c r="G954" t="s">
        <v>138</v>
      </c>
      <c r="H954" s="16">
        <v>50017</v>
      </c>
      <c r="I954" s="16">
        <v>57462</v>
      </c>
      <c r="J954" s="16">
        <v>0</v>
      </c>
      <c r="K954" s="16">
        <v>41748</v>
      </c>
      <c r="L954" s="16">
        <v>24</v>
      </c>
      <c r="M954" s="16">
        <v>8269</v>
      </c>
      <c r="N954" s="16">
        <v>2396</v>
      </c>
      <c r="O954">
        <v>2</v>
      </c>
      <c r="P954">
        <v>0</v>
      </c>
      <c r="Q954" s="20">
        <v>1.1488493912069897</v>
      </c>
      <c r="R954" s="21">
        <v>0.28975692344902648</v>
      </c>
    </row>
    <row r="955" spans="1:18">
      <c r="A955" t="s">
        <v>1490</v>
      </c>
      <c r="B955" t="s">
        <v>71</v>
      </c>
      <c r="C955" t="s">
        <v>101</v>
      </c>
      <c r="D955">
        <v>3</v>
      </c>
      <c r="E955" t="s">
        <v>143</v>
      </c>
      <c r="F955" t="s">
        <v>133</v>
      </c>
      <c r="G955" t="s">
        <v>134</v>
      </c>
      <c r="H955" s="16">
        <v>48096</v>
      </c>
      <c r="I955" s="16">
        <v>0</v>
      </c>
      <c r="J955" s="16">
        <v>0</v>
      </c>
      <c r="K955" s="16">
        <v>27358</v>
      </c>
      <c r="L955" s="16">
        <v>0</v>
      </c>
      <c r="M955" s="16">
        <v>20737</v>
      </c>
      <c r="N955" s="16">
        <v>552</v>
      </c>
      <c r="O955">
        <v>2</v>
      </c>
      <c r="P955">
        <v>0</v>
      </c>
      <c r="Q955" s="20">
        <v>0</v>
      </c>
      <c r="R955" s="21">
        <v>2.6619086656700583E-2</v>
      </c>
    </row>
    <row r="956" spans="1:18">
      <c r="A956" t="s">
        <v>1491</v>
      </c>
      <c r="B956" t="s">
        <v>86</v>
      </c>
      <c r="C956" t="s">
        <v>104</v>
      </c>
      <c r="D956">
        <v>2</v>
      </c>
      <c r="E956" t="s">
        <v>132</v>
      </c>
      <c r="F956" t="s">
        <v>133</v>
      </c>
      <c r="G956" t="s">
        <v>134</v>
      </c>
      <c r="H956" s="16">
        <v>46931</v>
      </c>
      <c r="I956" s="16">
        <v>0</v>
      </c>
      <c r="J956" s="16">
        <v>1217</v>
      </c>
      <c r="K956" s="16">
        <v>23228</v>
      </c>
      <c r="L956" s="16">
        <v>0</v>
      </c>
      <c r="M956" s="16">
        <v>23704</v>
      </c>
      <c r="N956" s="16">
        <v>-1385</v>
      </c>
      <c r="O956">
        <v>4</v>
      </c>
      <c r="P956">
        <v>0</v>
      </c>
      <c r="Q956" s="20">
        <v>0</v>
      </c>
      <c r="R956" s="21">
        <v>-5.8428957138035774E-2</v>
      </c>
    </row>
    <row r="957" spans="1:18">
      <c r="A957" t="s">
        <v>1492</v>
      </c>
      <c r="B957" t="s">
        <v>86</v>
      </c>
      <c r="C957" t="s">
        <v>101</v>
      </c>
      <c r="D957">
        <v>3</v>
      </c>
      <c r="E957" t="s">
        <v>143</v>
      </c>
      <c r="F957" t="s">
        <v>185</v>
      </c>
      <c r="G957" t="s">
        <v>134</v>
      </c>
      <c r="H957" s="16">
        <v>46662</v>
      </c>
      <c r="I957" s="16">
        <v>0</v>
      </c>
      <c r="J957" s="16">
        <v>33589</v>
      </c>
      <c r="K957" s="16">
        <v>12795</v>
      </c>
      <c r="L957" s="16">
        <v>288</v>
      </c>
      <c r="M957" s="16">
        <v>33866</v>
      </c>
      <c r="N957" s="16">
        <v>1049</v>
      </c>
      <c r="O957">
        <v>2</v>
      </c>
      <c r="P957">
        <v>0</v>
      </c>
      <c r="Q957" s="20">
        <v>0</v>
      </c>
      <c r="R957" s="21">
        <v>3.0975019193291205E-2</v>
      </c>
    </row>
    <row r="958" spans="1:18">
      <c r="A958" t="s">
        <v>1493</v>
      </c>
      <c r="B958" t="s">
        <v>83</v>
      </c>
      <c r="C958" t="s">
        <v>104</v>
      </c>
      <c r="D958">
        <v>2</v>
      </c>
      <c r="E958" t="s">
        <v>132</v>
      </c>
      <c r="F958" t="s">
        <v>276</v>
      </c>
      <c r="G958" t="s">
        <v>211</v>
      </c>
      <c r="H958" s="16">
        <v>46250</v>
      </c>
      <c r="I958" s="16">
        <v>23268</v>
      </c>
      <c r="J958" s="16">
        <v>10300</v>
      </c>
      <c r="K958" s="16">
        <v>14308</v>
      </c>
      <c r="L958" s="16">
        <v>5322</v>
      </c>
      <c r="M958" s="16">
        <v>31941</v>
      </c>
      <c r="N958" s="16">
        <v>633</v>
      </c>
      <c r="O958">
        <v>3</v>
      </c>
      <c r="P958">
        <v>0</v>
      </c>
      <c r="Q958" s="20">
        <v>0.50309189189189185</v>
      </c>
      <c r="R958" s="21">
        <v>1.9817789048558278E-2</v>
      </c>
    </row>
    <row r="959" spans="1:18">
      <c r="A959" t="s">
        <v>1494</v>
      </c>
      <c r="B959" t="s">
        <v>74</v>
      </c>
      <c r="C959" t="s">
        <v>104</v>
      </c>
      <c r="D959">
        <v>2</v>
      </c>
      <c r="E959" t="s">
        <v>132</v>
      </c>
      <c r="F959" t="s">
        <v>152</v>
      </c>
      <c r="G959" t="s">
        <v>153</v>
      </c>
      <c r="H959" s="16">
        <v>45977</v>
      </c>
      <c r="I959" s="16">
        <v>20401</v>
      </c>
      <c r="J959" s="16">
        <v>20791</v>
      </c>
      <c r="K959" s="16">
        <v>32233</v>
      </c>
      <c r="L959" s="16">
        <v>29842</v>
      </c>
      <c r="M959" s="16">
        <v>13744</v>
      </c>
      <c r="N959" s="16">
        <v>209</v>
      </c>
      <c r="O959">
        <v>0</v>
      </c>
      <c r="P959">
        <v>4</v>
      </c>
      <c r="Q959" s="20">
        <v>0.44372186093046523</v>
      </c>
      <c r="R959" s="21">
        <v>1.520663562281723E-2</v>
      </c>
    </row>
    <row r="960" spans="1:18">
      <c r="A960" t="s">
        <v>1495</v>
      </c>
      <c r="B960" t="s">
        <v>83</v>
      </c>
      <c r="C960" t="s">
        <v>101</v>
      </c>
      <c r="D960">
        <v>2</v>
      </c>
      <c r="E960" t="s">
        <v>132</v>
      </c>
      <c r="F960" t="s">
        <v>301</v>
      </c>
      <c r="G960" t="s">
        <v>153</v>
      </c>
      <c r="H960" s="16">
        <v>45572</v>
      </c>
      <c r="I960" s="16">
        <v>2727</v>
      </c>
      <c r="J960" s="16">
        <v>203</v>
      </c>
      <c r="K960" s="16">
        <v>31459</v>
      </c>
      <c r="L960" s="16">
        <v>30762</v>
      </c>
      <c r="M960" s="16">
        <v>14112</v>
      </c>
      <c r="N960" s="16">
        <v>185</v>
      </c>
      <c r="O960">
        <v>2</v>
      </c>
      <c r="P960">
        <v>0</v>
      </c>
      <c r="Q960" s="20">
        <v>5.9839375054858243E-2</v>
      </c>
      <c r="R960" s="21">
        <v>1.3109410430839002E-2</v>
      </c>
    </row>
    <row r="961" spans="1:18">
      <c r="A961" t="s">
        <v>1496</v>
      </c>
      <c r="B961" t="s">
        <v>74</v>
      </c>
      <c r="C961" t="s">
        <v>104</v>
      </c>
      <c r="D961">
        <v>2</v>
      </c>
      <c r="E961" t="s">
        <v>132</v>
      </c>
      <c r="F961" t="s">
        <v>364</v>
      </c>
      <c r="G961" t="s">
        <v>286</v>
      </c>
      <c r="H961" s="16">
        <v>44405</v>
      </c>
      <c r="I961" s="16">
        <v>20121</v>
      </c>
      <c r="J961" s="16">
        <v>2622</v>
      </c>
      <c r="K961" s="16">
        <v>20661</v>
      </c>
      <c r="L961" s="16">
        <v>17666</v>
      </c>
      <c r="M961" s="16">
        <v>23744</v>
      </c>
      <c r="N961" s="16">
        <v>1152</v>
      </c>
      <c r="O961">
        <v>0</v>
      </c>
      <c r="P961">
        <v>1</v>
      </c>
      <c r="Q961" s="20">
        <v>0.45312464812521114</v>
      </c>
      <c r="R961" s="21">
        <v>4.8517520215633422E-2</v>
      </c>
    </row>
    <row r="962" spans="1:18">
      <c r="A962" t="s">
        <v>1497</v>
      </c>
      <c r="B962" t="s">
        <v>74</v>
      </c>
      <c r="C962" t="s">
        <v>104</v>
      </c>
      <c r="D962">
        <v>2</v>
      </c>
      <c r="E962" t="s">
        <v>132</v>
      </c>
      <c r="F962" t="s">
        <v>133</v>
      </c>
      <c r="G962" t="s">
        <v>134</v>
      </c>
      <c r="H962" s="16">
        <v>44098</v>
      </c>
      <c r="I962" s="16">
        <v>6399</v>
      </c>
      <c r="J962" s="16">
        <v>25835</v>
      </c>
      <c r="K962" s="16">
        <v>25837</v>
      </c>
      <c r="L962" s="16">
        <v>24777</v>
      </c>
      <c r="M962" s="16">
        <v>18261</v>
      </c>
      <c r="N962" s="16">
        <v>2138</v>
      </c>
      <c r="O962">
        <v>0</v>
      </c>
      <c r="P962">
        <v>0</v>
      </c>
      <c r="Q962" s="20">
        <v>0.14510862170619981</v>
      </c>
      <c r="R962" s="21">
        <v>0.11708011609440885</v>
      </c>
    </row>
    <row r="963" spans="1:18">
      <c r="A963" t="s">
        <v>1498</v>
      </c>
      <c r="B963" t="s">
        <v>83</v>
      </c>
      <c r="C963" t="s">
        <v>104</v>
      </c>
      <c r="D963">
        <v>2</v>
      </c>
      <c r="E963" t="s">
        <v>132</v>
      </c>
      <c r="F963" t="s">
        <v>815</v>
      </c>
      <c r="G963" t="s">
        <v>206</v>
      </c>
      <c r="H963" s="16">
        <v>43822</v>
      </c>
      <c r="I963" s="16">
        <v>30603</v>
      </c>
      <c r="J963" s="16">
        <v>0</v>
      </c>
      <c r="K963" s="16">
        <v>32424</v>
      </c>
      <c r="L963" s="16">
        <v>11663</v>
      </c>
      <c r="M963" s="16">
        <v>11398</v>
      </c>
      <c r="N963" s="16">
        <v>2094</v>
      </c>
      <c r="O963">
        <v>2</v>
      </c>
      <c r="P963">
        <v>0</v>
      </c>
      <c r="Q963" s="20">
        <v>0.69834786180457309</v>
      </c>
      <c r="R963" s="21">
        <v>0.18371644148096158</v>
      </c>
    </row>
    <row r="964" spans="1:18">
      <c r="A964" t="s">
        <v>1499</v>
      </c>
      <c r="B964" t="s">
        <v>83</v>
      </c>
      <c r="C964" t="s">
        <v>104</v>
      </c>
      <c r="D964">
        <v>2</v>
      </c>
      <c r="E964" t="s">
        <v>132</v>
      </c>
      <c r="F964" t="s">
        <v>168</v>
      </c>
      <c r="G964" t="s">
        <v>169</v>
      </c>
      <c r="H964" s="16">
        <v>42736</v>
      </c>
      <c r="I964" s="16">
        <v>19645</v>
      </c>
      <c r="J964" s="16">
        <v>21444</v>
      </c>
      <c r="K964" s="16">
        <v>21131</v>
      </c>
      <c r="L964" s="16">
        <v>0</v>
      </c>
      <c r="M964" s="16">
        <v>21605</v>
      </c>
      <c r="N964" s="16">
        <v>1330</v>
      </c>
      <c r="O964">
        <v>2</v>
      </c>
      <c r="P964">
        <v>0</v>
      </c>
      <c r="Q964" s="20">
        <v>0.45968270310745041</v>
      </c>
      <c r="R964" s="21">
        <v>6.1559824114788241E-2</v>
      </c>
    </row>
    <row r="965" spans="1:18">
      <c r="A965" t="s">
        <v>1500</v>
      </c>
      <c r="B965" t="s">
        <v>89</v>
      </c>
      <c r="C965" t="s">
        <v>162</v>
      </c>
      <c r="D965">
        <v>2</v>
      </c>
      <c r="E965" t="s">
        <v>132</v>
      </c>
      <c r="F965" t="s">
        <v>368</v>
      </c>
      <c r="G965" t="s">
        <v>206</v>
      </c>
      <c r="H965" s="16">
        <v>42677</v>
      </c>
      <c r="I965" s="16">
        <v>0</v>
      </c>
      <c r="J965" s="16">
        <v>20</v>
      </c>
      <c r="K965" s="16">
        <v>23788</v>
      </c>
      <c r="L965" s="16">
        <v>16656</v>
      </c>
      <c r="M965" s="16">
        <v>18889</v>
      </c>
      <c r="N965" s="16">
        <v>10610</v>
      </c>
      <c r="O965">
        <v>1</v>
      </c>
      <c r="P965">
        <v>0</v>
      </c>
      <c r="Q965" s="20">
        <v>0</v>
      </c>
      <c r="R965" s="21">
        <v>0.56170257822012815</v>
      </c>
    </row>
    <row r="966" spans="1:18">
      <c r="A966" t="s">
        <v>1501</v>
      </c>
      <c r="B966" t="s">
        <v>83</v>
      </c>
      <c r="C966" t="s">
        <v>104</v>
      </c>
      <c r="D966">
        <v>3</v>
      </c>
      <c r="E966" t="s">
        <v>143</v>
      </c>
      <c r="F966" t="s">
        <v>133</v>
      </c>
      <c r="G966" t="s">
        <v>134</v>
      </c>
      <c r="H966" s="16">
        <v>41968</v>
      </c>
      <c r="I966" s="16">
        <v>0</v>
      </c>
      <c r="J966" s="16">
        <v>119</v>
      </c>
      <c r="K966" s="16">
        <v>15814</v>
      </c>
      <c r="L966" s="16">
        <v>13688</v>
      </c>
      <c r="M966" s="16">
        <v>26155</v>
      </c>
      <c r="N966" s="16">
        <v>1565</v>
      </c>
      <c r="O966">
        <v>2</v>
      </c>
      <c r="P966">
        <v>0</v>
      </c>
      <c r="Q966" s="20">
        <v>0</v>
      </c>
      <c r="R966" s="21">
        <v>5.9835595488434333E-2</v>
      </c>
    </row>
    <row r="967" spans="1:18">
      <c r="A967" t="s">
        <v>1502</v>
      </c>
      <c r="B967" t="s">
        <v>86</v>
      </c>
      <c r="C967" t="s">
        <v>101</v>
      </c>
      <c r="D967">
        <v>2</v>
      </c>
      <c r="E967" t="s">
        <v>132</v>
      </c>
      <c r="F967" t="s">
        <v>152</v>
      </c>
      <c r="G967" t="s">
        <v>153</v>
      </c>
      <c r="H967" s="16">
        <v>41820</v>
      </c>
      <c r="I967" s="16">
        <v>0</v>
      </c>
      <c r="J967" s="16">
        <v>33198</v>
      </c>
      <c r="K967" s="16">
        <v>26436</v>
      </c>
      <c r="L967" s="16">
        <v>9813</v>
      </c>
      <c r="M967" s="16">
        <v>15384</v>
      </c>
      <c r="N967" s="16">
        <v>581</v>
      </c>
      <c r="O967">
        <v>2</v>
      </c>
      <c r="P967">
        <v>0</v>
      </c>
      <c r="Q967" s="20">
        <v>0</v>
      </c>
      <c r="R967" s="21">
        <v>3.7766510660426418E-2</v>
      </c>
    </row>
    <row r="968" spans="1:18">
      <c r="A968" t="s">
        <v>1503</v>
      </c>
      <c r="B968" t="s">
        <v>74</v>
      </c>
      <c r="C968" t="s">
        <v>104</v>
      </c>
      <c r="D968">
        <v>2</v>
      </c>
      <c r="E968" t="s">
        <v>132</v>
      </c>
      <c r="F968" t="s">
        <v>404</v>
      </c>
      <c r="G968" t="s">
        <v>405</v>
      </c>
      <c r="H968" s="16">
        <v>41311</v>
      </c>
      <c r="I968" s="16">
        <v>24438</v>
      </c>
      <c r="J968" s="16">
        <v>2622</v>
      </c>
      <c r="K968" s="16">
        <v>29444</v>
      </c>
      <c r="L968" s="16">
        <v>28144</v>
      </c>
      <c r="M968" s="16">
        <v>11866</v>
      </c>
      <c r="N968" s="16">
        <v>19</v>
      </c>
      <c r="O968">
        <v>0</v>
      </c>
      <c r="P968">
        <v>1</v>
      </c>
      <c r="Q968" s="20">
        <v>0.59156156955774486</v>
      </c>
      <c r="R968" s="21">
        <v>1.601213551323108E-3</v>
      </c>
    </row>
    <row r="969" spans="1:18">
      <c r="A969" t="s">
        <v>1504</v>
      </c>
      <c r="B969" t="s">
        <v>74</v>
      </c>
      <c r="C969" t="s">
        <v>104</v>
      </c>
      <c r="D969">
        <v>2</v>
      </c>
      <c r="E969" t="s">
        <v>132</v>
      </c>
      <c r="F969" t="s">
        <v>729</v>
      </c>
      <c r="G969" t="s">
        <v>134</v>
      </c>
      <c r="H969" s="16">
        <v>41076</v>
      </c>
      <c r="I969" s="16">
        <v>15190</v>
      </c>
      <c r="J969" s="16">
        <v>21198</v>
      </c>
      <c r="K969" s="16">
        <v>16573</v>
      </c>
      <c r="L969" s="16">
        <v>13655</v>
      </c>
      <c r="M969" s="16">
        <v>24504</v>
      </c>
      <c r="N969" s="16">
        <v>421</v>
      </c>
      <c r="O969">
        <v>0</v>
      </c>
      <c r="P969">
        <v>1</v>
      </c>
      <c r="Q969" s="20">
        <v>0.36980231765507837</v>
      </c>
      <c r="R969" s="21">
        <v>1.7180868429644138E-2</v>
      </c>
    </row>
    <row r="970" spans="1:18">
      <c r="A970" t="s">
        <v>1505</v>
      </c>
      <c r="B970" t="s">
        <v>86</v>
      </c>
      <c r="C970" t="s">
        <v>101</v>
      </c>
      <c r="D970">
        <v>2</v>
      </c>
      <c r="E970" t="s">
        <v>132</v>
      </c>
      <c r="F970" t="s">
        <v>168</v>
      </c>
      <c r="G970" t="s">
        <v>169</v>
      </c>
      <c r="H970" s="16">
        <v>40920</v>
      </c>
      <c r="I970" s="16">
        <v>0</v>
      </c>
      <c r="J970" s="16">
        <v>4048</v>
      </c>
      <c r="K970" s="16">
        <v>36558</v>
      </c>
      <c r="L970" s="16">
        <v>36061</v>
      </c>
      <c r="M970" s="16">
        <v>4362</v>
      </c>
      <c r="N970" s="16">
        <v>531</v>
      </c>
      <c r="O970">
        <v>2</v>
      </c>
      <c r="P970">
        <v>0</v>
      </c>
      <c r="Q970" s="20">
        <v>0</v>
      </c>
      <c r="R970" s="21">
        <v>0.12173314993122421</v>
      </c>
    </row>
    <row r="971" spans="1:18">
      <c r="A971" t="s">
        <v>1506</v>
      </c>
      <c r="B971" t="s">
        <v>83</v>
      </c>
      <c r="C971" t="s">
        <v>104</v>
      </c>
      <c r="D971">
        <v>2</v>
      </c>
      <c r="E971" t="s">
        <v>132</v>
      </c>
      <c r="F971" t="s">
        <v>686</v>
      </c>
      <c r="G971" t="s">
        <v>169</v>
      </c>
      <c r="H971" s="16">
        <v>40682</v>
      </c>
      <c r="I971" s="16">
        <v>27339</v>
      </c>
      <c r="J971" s="16">
        <v>0</v>
      </c>
      <c r="K971" s="16">
        <v>14411</v>
      </c>
      <c r="L971" s="16">
        <v>0</v>
      </c>
      <c r="M971" s="16">
        <v>26271</v>
      </c>
      <c r="N971" s="16">
        <v>5871</v>
      </c>
      <c r="O971">
        <v>2</v>
      </c>
      <c r="P971">
        <v>0</v>
      </c>
      <c r="Q971" s="20">
        <v>0.67201710830342654</v>
      </c>
      <c r="R971" s="21">
        <v>0.22347836016900766</v>
      </c>
    </row>
    <row r="972" spans="1:18">
      <c r="A972" t="s">
        <v>1507</v>
      </c>
      <c r="B972" t="s">
        <v>89</v>
      </c>
      <c r="C972" t="s">
        <v>162</v>
      </c>
      <c r="D972">
        <v>2</v>
      </c>
      <c r="E972" t="s">
        <v>132</v>
      </c>
      <c r="F972" t="s">
        <v>133</v>
      </c>
      <c r="G972" t="s">
        <v>134</v>
      </c>
      <c r="H972" s="16">
        <v>40669</v>
      </c>
      <c r="I972" s="16">
        <v>0</v>
      </c>
      <c r="J972" s="16">
        <v>12998</v>
      </c>
      <c r="K972" s="16">
        <v>29911</v>
      </c>
      <c r="L972" s="16">
        <v>12556</v>
      </c>
      <c r="M972" s="16">
        <v>10758</v>
      </c>
      <c r="N972" s="16">
        <v>3804</v>
      </c>
      <c r="O972">
        <v>1</v>
      </c>
      <c r="P972">
        <v>0</v>
      </c>
      <c r="Q972" s="20">
        <v>0</v>
      </c>
      <c r="R972" s="21">
        <v>0.35359732292247631</v>
      </c>
    </row>
    <row r="973" spans="1:18">
      <c r="A973" t="s">
        <v>1508</v>
      </c>
      <c r="B973" t="s">
        <v>74</v>
      </c>
      <c r="C973" t="s">
        <v>104</v>
      </c>
      <c r="D973">
        <v>2</v>
      </c>
      <c r="E973" t="s">
        <v>132</v>
      </c>
      <c r="F973" t="s">
        <v>530</v>
      </c>
      <c r="G973" t="s">
        <v>134</v>
      </c>
      <c r="H973" s="16">
        <v>39815</v>
      </c>
      <c r="I973" s="16">
        <v>25014</v>
      </c>
      <c r="J973" s="16">
        <v>14564</v>
      </c>
      <c r="K973" s="16">
        <v>640</v>
      </c>
      <c r="L973" s="16">
        <v>0</v>
      </c>
      <c r="M973" s="16">
        <v>39175</v>
      </c>
      <c r="N973" s="16">
        <v>1869</v>
      </c>
      <c r="O973">
        <v>0</v>
      </c>
      <c r="P973">
        <v>0</v>
      </c>
      <c r="Q973" s="20">
        <v>0.62825568253170916</v>
      </c>
      <c r="R973" s="21">
        <v>4.7708998085513724E-2</v>
      </c>
    </row>
    <row r="974" spans="1:18">
      <c r="A974" t="s">
        <v>1509</v>
      </c>
      <c r="B974" t="s">
        <v>89</v>
      </c>
      <c r="C974" t="s">
        <v>162</v>
      </c>
      <c r="D974">
        <v>2</v>
      </c>
      <c r="E974" t="s">
        <v>132</v>
      </c>
      <c r="F974" t="s">
        <v>152</v>
      </c>
      <c r="G974" t="s">
        <v>153</v>
      </c>
      <c r="H974" s="16">
        <v>39719</v>
      </c>
      <c r="I974" s="16">
        <v>0</v>
      </c>
      <c r="J974" s="16">
        <v>12212</v>
      </c>
      <c r="K974" s="16">
        <v>607</v>
      </c>
      <c r="L974" s="16">
        <v>0</v>
      </c>
      <c r="M974" s="16">
        <v>39112</v>
      </c>
      <c r="N974" s="16">
        <v>383</v>
      </c>
      <c r="O974">
        <v>1</v>
      </c>
      <c r="P974">
        <v>0</v>
      </c>
      <c r="Q974" s="20">
        <v>0</v>
      </c>
      <c r="R974" s="21">
        <v>9.7923910820208633E-3</v>
      </c>
    </row>
    <row r="975" spans="1:18">
      <c r="A975" t="s">
        <v>1510</v>
      </c>
      <c r="B975" t="s">
        <v>89</v>
      </c>
      <c r="C975" t="s">
        <v>162</v>
      </c>
      <c r="D975">
        <v>2</v>
      </c>
      <c r="E975" t="s">
        <v>132</v>
      </c>
      <c r="F975" t="s">
        <v>1464</v>
      </c>
      <c r="G975" t="s">
        <v>134</v>
      </c>
      <c r="H975" s="16">
        <v>39196</v>
      </c>
      <c r="I975" s="16">
        <v>0</v>
      </c>
      <c r="J975" s="16">
        <v>15262</v>
      </c>
      <c r="K975" s="16">
        <v>32553</v>
      </c>
      <c r="L975" s="16">
        <v>30027</v>
      </c>
      <c r="M975" s="16">
        <v>6643</v>
      </c>
      <c r="N975" s="16">
        <v>748</v>
      </c>
      <c r="O975">
        <v>1</v>
      </c>
      <c r="P975">
        <v>0</v>
      </c>
      <c r="Q975" s="20">
        <v>0</v>
      </c>
      <c r="R975" s="21">
        <v>0.1125997290380852</v>
      </c>
    </row>
    <row r="976" spans="1:18">
      <c r="A976" t="s">
        <v>1511</v>
      </c>
      <c r="B976" t="s">
        <v>86</v>
      </c>
      <c r="C976" t="s">
        <v>101</v>
      </c>
      <c r="D976">
        <v>3</v>
      </c>
      <c r="E976" t="s">
        <v>143</v>
      </c>
      <c r="F976" t="s">
        <v>133</v>
      </c>
      <c r="G976" t="s">
        <v>134</v>
      </c>
      <c r="H976" s="16">
        <v>38558</v>
      </c>
      <c r="I976" s="16">
        <v>0</v>
      </c>
      <c r="J976" s="16">
        <v>15210</v>
      </c>
      <c r="K976" s="16">
        <v>22900</v>
      </c>
      <c r="L976" s="16">
        <v>18431</v>
      </c>
      <c r="M976" s="16">
        <v>15658</v>
      </c>
      <c r="N976" s="16">
        <v>-33</v>
      </c>
      <c r="O976">
        <v>2</v>
      </c>
      <c r="P976">
        <v>0</v>
      </c>
      <c r="Q976" s="20">
        <v>0</v>
      </c>
      <c r="R976" s="21">
        <v>-2.1075488568144079E-3</v>
      </c>
    </row>
    <row r="977" spans="1:18">
      <c r="A977" t="s">
        <v>1512</v>
      </c>
      <c r="B977" t="s">
        <v>89</v>
      </c>
      <c r="C977" t="s">
        <v>101</v>
      </c>
      <c r="D977">
        <v>2</v>
      </c>
      <c r="E977" t="s">
        <v>132</v>
      </c>
      <c r="F977" t="s">
        <v>133</v>
      </c>
      <c r="G977" t="s">
        <v>134</v>
      </c>
      <c r="H977" s="16">
        <v>37900</v>
      </c>
      <c r="I977" s="16">
        <v>0</v>
      </c>
      <c r="J977" s="16">
        <v>36910</v>
      </c>
      <c r="K977" s="16">
        <v>239</v>
      </c>
      <c r="L977" s="16">
        <v>1</v>
      </c>
      <c r="M977" s="16">
        <v>37661</v>
      </c>
      <c r="N977" s="16">
        <v>-457</v>
      </c>
      <c r="O977">
        <v>1</v>
      </c>
      <c r="P977">
        <v>0</v>
      </c>
      <c r="Q977" s="20">
        <v>0</v>
      </c>
      <c r="R977" s="21">
        <v>-1.2134568917447758E-2</v>
      </c>
    </row>
    <row r="978" spans="1:18">
      <c r="A978" t="s">
        <v>1513</v>
      </c>
      <c r="B978" t="s">
        <v>74</v>
      </c>
      <c r="C978" t="s">
        <v>104</v>
      </c>
      <c r="D978">
        <v>2</v>
      </c>
      <c r="E978" t="s">
        <v>132</v>
      </c>
      <c r="F978" t="s">
        <v>133</v>
      </c>
      <c r="G978" t="s">
        <v>134</v>
      </c>
      <c r="H978" s="16">
        <v>37686</v>
      </c>
      <c r="I978" s="16">
        <v>18370</v>
      </c>
      <c r="J978" s="16">
        <v>17853</v>
      </c>
      <c r="K978" s="16">
        <v>1001</v>
      </c>
      <c r="L978" s="16">
        <v>0</v>
      </c>
      <c r="M978" s="16">
        <v>36684</v>
      </c>
      <c r="N978" s="16">
        <v>2255</v>
      </c>
      <c r="O978">
        <v>0</v>
      </c>
      <c r="P978">
        <v>0</v>
      </c>
      <c r="Q978" s="20">
        <v>0.48744892002335083</v>
      </c>
      <c r="R978" s="21">
        <v>6.1470941009704502E-2</v>
      </c>
    </row>
    <row r="979" spans="1:18">
      <c r="A979" t="s">
        <v>1514</v>
      </c>
      <c r="B979" t="s">
        <v>86</v>
      </c>
      <c r="C979" t="s">
        <v>104</v>
      </c>
      <c r="D979">
        <v>2</v>
      </c>
      <c r="E979" t="s">
        <v>132</v>
      </c>
      <c r="F979" t="s">
        <v>133</v>
      </c>
      <c r="G979" t="s">
        <v>134</v>
      </c>
      <c r="H979" s="16">
        <v>37559</v>
      </c>
      <c r="I979" s="16">
        <v>0</v>
      </c>
      <c r="J979" s="16">
        <v>374</v>
      </c>
      <c r="K979" s="16">
        <v>17935</v>
      </c>
      <c r="L979" s="16">
        <v>0</v>
      </c>
      <c r="M979" s="16">
        <v>19624</v>
      </c>
      <c r="N979" s="16">
        <v>-321</v>
      </c>
      <c r="O979">
        <v>2</v>
      </c>
      <c r="P979">
        <v>0</v>
      </c>
      <c r="Q979" s="20">
        <v>0</v>
      </c>
      <c r="R979" s="21">
        <v>-1.6357521402364451E-2</v>
      </c>
    </row>
    <row r="980" spans="1:18">
      <c r="A980" t="s">
        <v>1515</v>
      </c>
      <c r="B980" t="s">
        <v>89</v>
      </c>
      <c r="C980" t="s">
        <v>162</v>
      </c>
      <c r="D980">
        <v>2</v>
      </c>
      <c r="E980" t="s">
        <v>132</v>
      </c>
      <c r="F980" t="s">
        <v>163</v>
      </c>
      <c r="G980" t="s">
        <v>134</v>
      </c>
      <c r="H980" s="16">
        <v>37554</v>
      </c>
      <c r="I980" s="16">
        <v>0</v>
      </c>
      <c r="J980" s="16">
        <v>24963</v>
      </c>
      <c r="K980" s="16">
        <v>28818</v>
      </c>
      <c r="L980" s="16">
        <v>0</v>
      </c>
      <c r="M980" s="16">
        <v>8736</v>
      </c>
      <c r="N980" s="16">
        <v>-4583</v>
      </c>
      <c r="O980">
        <v>1</v>
      </c>
      <c r="P980">
        <v>0</v>
      </c>
      <c r="Q980" s="20">
        <v>0</v>
      </c>
      <c r="R980" s="21">
        <v>-0.52461080586080588</v>
      </c>
    </row>
    <row r="981" spans="1:18">
      <c r="A981" t="s">
        <v>1516</v>
      </c>
      <c r="B981" t="s">
        <v>83</v>
      </c>
      <c r="C981" t="s">
        <v>104</v>
      </c>
      <c r="D981">
        <v>2</v>
      </c>
      <c r="E981" t="s">
        <v>132</v>
      </c>
      <c r="F981" t="s">
        <v>133</v>
      </c>
      <c r="G981" t="s">
        <v>134</v>
      </c>
      <c r="H981" s="16">
        <v>37441</v>
      </c>
      <c r="I981" s="16">
        <v>0</v>
      </c>
      <c r="J981" s="16">
        <v>26104</v>
      </c>
      <c r="K981" s="16">
        <v>30879</v>
      </c>
      <c r="L981" s="16">
        <v>0</v>
      </c>
      <c r="M981" s="16">
        <v>6561</v>
      </c>
      <c r="N981" s="16">
        <v>-412</v>
      </c>
      <c r="O981">
        <v>2</v>
      </c>
      <c r="P981">
        <v>0</v>
      </c>
      <c r="Q981" s="20">
        <v>0</v>
      </c>
      <c r="R981" s="21">
        <v>-6.2795305593659506E-2</v>
      </c>
    </row>
    <row r="982" spans="1:18">
      <c r="A982" t="s">
        <v>1517</v>
      </c>
      <c r="B982" t="s">
        <v>74</v>
      </c>
      <c r="C982" t="s">
        <v>104</v>
      </c>
      <c r="D982">
        <v>2</v>
      </c>
      <c r="E982" t="s">
        <v>132</v>
      </c>
      <c r="F982" t="s">
        <v>1518</v>
      </c>
      <c r="G982" t="s">
        <v>153</v>
      </c>
      <c r="H982" s="16">
        <v>37114</v>
      </c>
      <c r="I982" s="16">
        <v>14121</v>
      </c>
      <c r="J982" s="16">
        <v>21685</v>
      </c>
      <c r="K982" s="16">
        <v>15655</v>
      </c>
      <c r="L982" s="16">
        <v>14096</v>
      </c>
      <c r="M982" s="16">
        <v>21459</v>
      </c>
      <c r="N982" s="16">
        <v>1154</v>
      </c>
      <c r="O982">
        <v>0</v>
      </c>
      <c r="P982">
        <v>4</v>
      </c>
      <c r="Q982" s="20">
        <v>0.38047637010292612</v>
      </c>
      <c r="R982" s="21">
        <v>5.3776970035882381E-2</v>
      </c>
    </row>
    <row r="983" spans="1:18">
      <c r="A983" t="s">
        <v>1519</v>
      </c>
      <c r="B983" t="s">
        <v>74</v>
      </c>
      <c r="C983" t="s">
        <v>104</v>
      </c>
      <c r="D983">
        <v>2</v>
      </c>
      <c r="E983" t="s">
        <v>132</v>
      </c>
      <c r="F983" t="s">
        <v>220</v>
      </c>
      <c r="G983" t="s">
        <v>134</v>
      </c>
      <c r="H983" s="16">
        <v>36985</v>
      </c>
      <c r="I983" s="16">
        <v>21206</v>
      </c>
      <c r="J983" s="16">
        <v>11406</v>
      </c>
      <c r="K983" s="16">
        <v>15790</v>
      </c>
      <c r="L983" s="16">
        <v>13354</v>
      </c>
      <c r="M983" s="16">
        <v>21195</v>
      </c>
      <c r="N983" s="16">
        <v>392</v>
      </c>
      <c r="O983">
        <v>0</v>
      </c>
      <c r="P983">
        <v>2</v>
      </c>
      <c r="Q983" s="20">
        <v>0.57336758145194</v>
      </c>
      <c r="R983" s="21">
        <v>1.8494928049068177E-2</v>
      </c>
    </row>
    <row r="984" spans="1:18">
      <c r="A984" t="s">
        <v>1520</v>
      </c>
      <c r="B984" t="s">
        <v>74</v>
      </c>
      <c r="C984" t="s">
        <v>104</v>
      </c>
      <c r="D984">
        <v>2</v>
      </c>
      <c r="E984" t="s">
        <v>132</v>
      </c>
      <c r="F984" t="s">
        <v>874</v>
      </c>
      <c r="G984" t="s">
        <v>169</v>
      </c>
      <c r="H984" s="16">
        <v>36688</v>
      </c>
      <c r="I984" s="16">
        <v>26282</v>
      </c>
      <c r="J984" s="16">
        <v>10114</v>
      </c>
      <c r="K984" s="16">
        <v>2213</v>
      </c>
      <c r="L984" s="16">
        <v>0</v>
      </c>
      <c r="M984" s="16">
        <v>34475</v>
      </c>
      <c r="N984" s="16">
        <v>3039</v>
      </c>
      <c r="O984">
        <v>0</v>
      </c>
      <c r="P984">
        <v>1</v>
      </c>
      <c r="Q984" s="20">
        <v>0.71636502398604451</v>
      </c>
      <c r="R984" s="21">
        <v>8.8150833937635967E-2</v>
      </c>
    </row>
    <row r="985" spans="1:18">
      <c r="A985" t="s">
        <v>1521</v>
      </c>
      <c r="B985" t="s">
        <v>74</v>
      </c>
      <c r="C985" t="s">
        <v>104</v>
      </c>
      <c r="D985">
        <v>2</v>
      </c>
      <c r="E985" t="s">
        <v>132</v>
      </c>
      <c r="F985" t="s">
        <v>185</v>
      </c>
      <c r="G985" t="s">
        <v>134</v>
      </c>
      <c r="H985" s="16">
        <v>36671</v>
      </c>
      <c r="I985" s="16">
        <v>20352</v>
      </c>
      <c r="J985" s="16">
        <v>15232</v>
      </c>
      <c r="K985" s="16">
        <v>2951</v>
      </c>
      <c r="L985" s="16">
        <v>0</v>
      </c>
      <c r="M985" s="16">
        <v>33720</v>
      </c>
      <c r="N985" s="16">
        <v>2196</v>
      </c>
      <c r="O985">
        <v>0</v>
      </c>
      <c r="P985">
        <v>0</v>
      </c>
      <c r="Q985" s="20">
        <v>0.55498895585067221</v>
      </c>
      <c r="R985" s="21">
        <v>6.5124555160142344E-2</v>
      </c>
    </row>
    <row r="986" spans="1:18">
      <c r="A986" t="s">
        <v>1522</v>
      </c>
      <c r="B986" t="s">
        <v>83</v>
      </c>
      <c r="C986" t="s">
        <v>104</v>
      </c>
      <c r="D986">
        <v>2</v>
      </c>
      <c r="E986" t="s">
        <v>132</v>
      </c>
      <c r="F986" t="s">
        <v>133</v>
      </c>
      <c r="G986" t="s">
        <v>134</v>
      </c>
      <c r="H986" s="16">
        <v>36312</v>
      </c>
      <c r="I986" s="16">
        <v>0</v>
      </c>
      <c r="J986" s="16">
        <v>17239</v>
      </c>
      <c r="K986" s="16">
        <v>20712</v>
      </c>
      <c r="L986" s="16">
        <v>0</v>
      </c>
      <c r="M986" s="16">
        <v>15600</v>
      </c>
      <c r="N986" s="16">
        <v>427</v>
      </c>
      <c r="O986">
        <v>2</v>
      </c>
      <c r="P986">
        <v>0</v>
      </c>
      <c r="Q986" s="20">
        <v>0</v>
      </c>
      <c r="R986" s="21">
        <v>2.737179487179487E-2</v>
      </c>
    </row>
    <row r="987" spans="1:18">
      <c r="A987" t="s">
        <v>1523</v>
      </c>
      <c r="B987" t="s">
        <v>89</v>
      </c>
      <c r="C987" t="s">
        <v>162</v>
      </c>
      <c r="D987">
        <v>2</v>
      </c>
      <c r="E987" t="s">
        <v>132</v>
      </c>
      <c r="F987" t="s">
        <v>133</v>
      </c>
      <c r="G987" t="s">
        <v>134</v>
      </c>
      <c r="H987" s="16">
        <v>35775</v>
      </c>
      <c r="I987" s="16">
        <v>0</v>
      </c>
      <c r="J987" s="16">
        <v>16532</v>
      </c>
      <c r="K987" s="16">
        <v>20411</v>
      </c>
      <c r="L987" s="16">
        <v>7666</v>
      </c>
      <c r="M987" s="16">
        <v>15364</v>
      </c>
      <c r="N987" s="16">
        <v>-2190</v>
      </c>
      <c r="O987">
        <v>1</v>
      </c>
      <c r="P987">
        <v>0</v>
      </c>
      <c r="Q987" s="20">
        <v>0</v>
      </c>
      <c r="R987" s="21">
        <v>-0.14254100494662847</v>
      </c>
    </row>
    <row r="988" spans="1:18">
      <c r="A988" t="s">
        <v>1524</v>
      </c>
      <c r="B988" t="s">
        <v>83</v>
      </c>
      <c r="C988" t="s">
        <v>101</v>
      </c>
      <c r="D988">
        <v>2</v>
      </c>
      <c r="E988" t="s">
        <v>132</v>
      </c>
      <c r="F988" t="s">
        <v>133</v>
      </c>
      <c r="G988" t="s">
        <v>134</v>
      </c>
      <c r="H988" s="16">
        <v>35465</v>
      </c>
      <c r="I988" s="16">
        <v>13696</v>
      </c>
      <c r="J988" s="16">
        <v>14260</v>
      </c>
      <c r="K988" s="16">
        <v>17608</v>
      </c>
      <c r="L988" s="16">
        <v>12227</v>
      </c>
      <c r="M988" s="16">
        <v>17857</v>
      </c>
      <c r="N988" s="16">
        <v>1200</v>
      </c>
      <c r="O988">
        <v>4</v>
      </c>
      <c r="P988">
        <v>0</v>
      </c>
      <c r="Q988" s="20">
        <v>0.38618356125757791</v>
      </c>
      <c r="R988" s="21">
        <v>6.7200537604300836E-2</v>
      </c>
    </row>
    <row r="989" spans="1:18">
      <c r="A989" t="s">
        <v>1525</v>
      </c>
      <c r="B989" t="s">
        <v>83</v>
      </c>
      <c r="C989" t="s">
        <v>101</v>
      </c>
      <c r="D989">
        <v>2</v>
      </c>
      <c r="E989" t="s">
        <v>132</v>
      </c>
      <c r="F989" t="s">
        <v>168</v>
      </c>
      <c r="G989" t="s">
        <v>169</v>
      </c>
      <c r="H989" s="16">
        <v>35146</v>
      </c>
      <c r="I989" s="16">
        <v>0</v>
      </c>
      <c r="J989" s="16">
        <v>3559</v>
      </c>
      <c r="K989" s="16">
        <v>29836</v>
      </c>
      <c r="L989" s="16">
        <v>28772</v>
      </c>
      <c r="M989" s="16">
        <v>5310</v>
      </c>
      <c r="N989" s="16">
        <v>269</v>
      </c>
      <c r="O989">
        <v>2</v>
      </c>
      <c r="P989">
        <v>0</v>
      </c>
      <c r="Q989" s="20">
        <v>0</v>
      </c>
      <c r="R989" s="21">
        <v>5.0659133709981166E-2</v>
      </c>
    </row>
    <row r="990" spans="1:18">
      <c r="A990" t="s">
        <v>1526</v>
      </c>
      <c r="B990" t="s">
        <v>74</v>
      </c>
      <c r="C990" t="s">
        <v>104</v>
      </c>
      <c r="D990">
        <v>2</v>
      </c>
      <c r="E990" t="s">
        <v>132</v>
      </c>
      <c r="F990" t="s">
        <v>133</v>
      </c>
      <c r="G990" t="s">
        <v>134</v>
      </c>
      <c r="H990" s="16">
        <v>34511</v>
      </c>
      <c r="I990" s="16">
        <v>21861</v>
      </c>
      <c r="J990" s="16">
        <v>12080</v>
      </c>
      <c r="K990" s="16">
        <v>14925</v>
      </c>
      <c r="L990" s="16">
        <v>13457</v>
      </c>
      <c r="M990" s="16">
        <v>19586</v>
      </c>
      <c r="N990" s="16">
        <v>44</v>
      </c>
      <c r="O990">
        <v>0</v>
      </c>
      <c r="P990">
        <v>1</v>
      </c>
      <c r="Q990" s="20">
        <v>0.6334502042826925</v>
      </c>
      <c r="R990" s="21">
        <v>2.2465026039007454E-3</v>
      </c>
    </row>
    <row r="991" spans="1:18">
      <c r="A991" t="s">
        <v>1527</v>
      </c>
      <c r="B991" t="s">
        <v>83</v>
      </c>
      <c r="C991" t="s">
        <v>104</v>
      </c>
      <c r="D991">
        <v>2</v>
      </c>
      <c r="E991" t="s">
        <v>132</v>
      </c>
      <c r="F991" t="s">
        <v>783</v>
      </c>
      <c r="G991" t="s">
        <v>744</v>
      </c>
      <c r="H991" s="16">
        <v>34055</v>
      </c>
      <c r="I991" s="16">
        <v>2873</v>
      </c>
      <c r="J991" s="16">
        <v>0</v>
      </c>
      <c r="K991" s="16">
        <v>14993</v>
      </c>
      <c r="L991" s="16">
        <v>9275</v>
      </c>
      <c r="M991" s="16">
        <v>19063</v>
      </c>
      <c r="N991" s="16">
        <v>-15561</v>
      </c>
      <c r="O991">
        <v>2</v>
      </c>
      <c r="P991">
        <v>0</v>
      </c>
      <c r="Q991" s="20">
        <v>8.4363529584495667E-2</v>
      </c>
      <c r="R991" s="21">
        <v>-0.81629334312542623</v>
      </c>
    </row>
    <row r="992" spans="1:18">
      <c r="A992" t="s">
        <v>1528</v>
      </c>
      <c r="B992" t="s">
        <v>89</v>
      </c>
      <c r="C992" t="s">
        <v>162</v>
      </c>
      <c r="D992">
        <v>3</v>
      </c>
      <c r="E992" t="s">
        <v>143</v>
      </c>
      <c r="F992" t="s">
        <v>133</v>
      </c>
      <c r="G992" t="s">
        <v>134</v>
      </c>
      <c r="H992" s="16">
        <v>33839</v>
      </c>
      <c r="I992" s="16">
        <v>0</v>
      </c>
      <c r="J992" s="16">
        <v>827</v>
      </c>
      <c r="K992" s="16">
        <v>20215</v>
      </c>
      <c r="L992" s="16">
        <v>17730</v>
      </c>
      <c r="M992" s="16">
        <v>13624</v>
      </c>
      <c r="N992" s="16">
        <v>667</v>
      </c>
      <c r="O992">
        <v>1</v>
      </c>
      <c r="P992">
        <v>0</v>
      </c>
      <c r="Q992" s="20">
        <v>0</v>
      </c>
      <c r="R992" s="21">
        <v>4.8957721667645331E-2</v>
      </c>
    </row>
    <row r="993" spans="1:18">
      <c r="A993" t="s">
        <v>1529</v>
      </c>
      <c r="B993" t="s">
        <v>89</v>
      </c>
      <c r="C993" t="s">
        <v>162</v>
      </c>
      <c r="D993">
        <v>2</v>
      </c>
      <c r="E993" t="s">
        <v>132</v>
      </c>
      <c r="F993" t="s">
        <v>145</v>
      </c>
      <c r="G993" t="s">
        <v>146</v>
      </c>
      <c r="H993" s="16">
        <v>33695</v>
      </c>
      <c r="I993" s="16">
        <v>0</v>
      </c>
      <c r="J993" s="16">
        <v>27502</v>
      </c>
      <c r="K993" s="16">
        <v>29383</v>
      </c>
      <c r="L993" s="16">
        <v>29057</v>
      </c>
      <c r="M993" s="16">
        <v>4312</v>
      </c>
      <c r="N993" s="16">
        <v>653</v>
      </c>
      <c r="O993">
        <v>1</v>
      </c>
      <c r="P993">
        <v>0</v>
      </c>
      <c r="Q993" s="20">
        <v>0</v>
      </c>
      <c r="R993" s="21">
        <v>0.15143784786641928</v>
      </c>
    </row>
    <row r="994" spans="1:18">
      <c r="A994" t="s">
        <v>1530</v>
      </c>
      <c r="B994" t="s">
        <v>89</v>
      </c>
      <c r="C994" t="s">
        <v>162</v>
      </c>
      <c r="D994">
        <v>2</v>
      </c>
      <c r="E994" t="s">
        <v>132</v>
      </c>
      <c r="F994" t="s">
        <v>133</v>
      </c>
      <c r="G994" t="s">
        <v>134</v>
      </c>
      <c r="H994" s="16">
        <v>33680</v>
      </c>
      <c r="I994" s="16">
        <v>0</v>
      </c>
      <c r="J994" s="16">
        <v>0</v>
      </c>
      <c r="K994" s="16">
        <v>28156</v>
      </c>
      <c r="L994" s="16">
        <v>25957</v>
      </c>
      <c r="M994" s="16">
        <v>5524</v>
      </c>
      <c r="N994" s="16">
        <v>-879</v>
      </c>
      <c r="O994">
        <v>1</v>
      </c>
      <c r="P994">
        <v>0</v>
      </c>
      <c r="Q994" s="20">
        <v>0</v>
      </c>
      <c r="R994" s="21">
        <v>-0.15912382331643737</v>
      </c>
    </row>
    <row r="995" spans="1:18">
      <c r="A995" t="s">
        <v>1531</v>
      </c>
      <c r="B995" t="s">
        <v>86</v>
      </c>
      <c r="C995" t="s">
        <v>101</v>
      </c>
      <c r="D995">
        <v>2</v>
      </c>
      <c r="E995" t="s">
        <v>132</v>
      </c>
      <c r="F995" t="s">
        <v>133</v>
      </c>
      <c r="G995" t="s">
        <v>134</v>
      </c>
      <c r="H995" s="16">
        <v>33107</v>
      </c>
      <c r="I995" s="16">
        <v>0</v>
      </c>
      <c r="J995" s="16">
        <v>17794</v>
      </c>
      <c r="K995" s="16">
        <v>25513</v>
      </c>
      <c r="L995" s="16">
        <v>14453</v>
      </c>
      <c r="M995" s="16">
        <v>7594</v>
      </c>
      <c r="N995" s="16">
        <v>-2439</v>
      </c>
      <c r="O995">
        <v>2</v>
      </c>
      <c r="P995">
        <v>0</v>
      </c>
      <c r="Q995" s="20">
        <v>0</v>
      </c>
      <c r="R995" s="21">
        <v>-0.3211746115354227</v>
      </c>
    </row>
    <row r="996" spans="1:18">
      <c r="A996" t="s">
        <v>1532</v>
      </c>
      <c r="B996" t="s">
        <v>83</v>
      </c>
      <c r="C996" t="s">
        <v>104</v>
      </c>
      <c r="D996">
        <v>2</v>
      </c>
      <c r="E996" t="s">
        <v>132</v>
      </c>
      <c r="F996" t="s">
        <v>145</v>
      </c>
      <c r="G996" t="s">
        <v>146</v>
      </c>
      <c r="H996" s="16">
        <v>32846</v>
      </c>
      <c r="I996" s="16">
        <v>3094</v>
      </c>
      <c r="J996" s="16">
        <v>29401</v>
      </c>
      <c r="K996" s="16">
        <v>260</v>
      </c>
      <c r="L996" s="16">
        <v>0</v>
      </c>
      <c r="M996" s="16">
        <v>32586</v>
      </c>
      <c r="N996" s="16">
        <v>459</v>
      </c>
      <c r="O996">
        <v>2</v>
      </c>
      <c r="P996">
        <v>0</v>
      </c>
      <c r="Q996" s="20">
        <v>9.4197162515983687E-2</v>
      </c>
      <c r="R996" s="21">
        <v>1.4085803719388695E-2</v>
      </c>
    </row>
    <row r="997" spans="1:18">
      <c r="A997" t="s">
        <v>1533</v>
      </c>
      <c r="B997" t="s">
        <v>86</v>
      </c>
      <c r="C997" t="s">
        <v>104</v>
      </c>
      <c r="D997">
        <v>2</v>
      </c>
      <c r="E997" t="s">
        <v>132</v>
      </c>
      <c r="F997" t="s">
        <v>1118</v>
      </c>
      <c r="G997" t="s">
        <v>1119</v>
      </c>
      <c r="H997" s="16">
        <v>32609</v>
      </c>
      <c r="I997" s="16">
        <v>0</v>
      </c>
      <c r="J997" s="16">
        <v>2297</v>
      </c>
      <c r="K997" s="16">
        <v>30399</v>
      </c>
      <c r="L997" s="16">
        <v>0</v>
      </c>
      <c r="M997" s="16">
        <v>2209</v>
      </c>
      <c r="N997" s="16">
        <v>-387</v>
      </c>
      <c r="O997">
        <v>2</v>
      </c>
      <c r="P997">
        <v>0</v>
      </c>
      <c r="Q997" s="20">
        <v>0</v>
      </c>
      <c r="R997" s="21">
        <v>-0.17519239474875509</v>
      </c>
    </row>
    <row r="998" spans="1:18">
      <c r="A998" t="s">
        <v>1534</v>
      </c>
      <c r="B998" t="s">
        <v>74</v>
      </c>
      <c r="C998" t="s">
        <v>104</v>
      </c>
      <c r="D998">
        <v>2</v>
      </c>
      <c r="E998" t="s">
        <v>132</v>
      </c>
      <c r="F998" t="s">
        <v>1535</v>
      </c>
      <c r="G998" t="s">
        <v>206</v>
      </c>
      <c r="H998" s="16">
        <v>32478</v>
      </c>
      <c r="I998" s="16">
        <v>13483</v>
      </c>
      <c r="J998" s="16">
        <v>1680</v>
      </c>
      <c r="K998" s="16">
        <v>30253</v>
      </c>
      <c r="L998" s="16">
        <v>27570</v>
      </c>
      <c r="M998" s="16">
        <v>2225</v>
      </c>
      <c r="N998" s="16">
        <v>-1203</v>
      </c>
      <c r="O998">
        <v>0</v>
      </c>
      <c r="P998">
        <v>4</v>
      </c>
      <c r="Q998" s="20">
        <v>0.41514255803928812</v>
      </c>
      <c r="R998" s="21">
        <v>-0.54067415730337076</v>
      </c>
    </row>
    <row r="999" spans="1:18">
      <c r="A999" t="s">
        <v>1536</v>
      </c>
      <c r="B999" t="s">
        <v>86</v>
      </c>
      <c r="C999" t="s">
        <v>101</v>
      </c>
      <c r="D999">
        <v>2</v>
      </c>
      <c r="E999" t="s">
        <v>132</v>
      </c>
      <c r="F999" t="s">
        <v>133</v>
      </c>
      <c r="G999" t="s">
        <v>134</v>
      </c>
      <c r="H999" s="16">
        <v>32362</v>
      </c>
      <c r="I999" s="16">
        <v>0</v>
      </c>
      <c r="J999" s="16">
        <v>0</v>
      </c>
      <c r="K999" s="16">
        <v>3746</v>
      </c>
      <c r="L999" s="16">
        <v>8</v>
      </c>
      <c r="M999" s="16">
        <v>28616</v>
      </c>
      <c r="N999" s="16">
        <v>2055</v>
      </c>
      <c r="O999">
        <v>2</v>
      </c>
      <c r="P999">
        <v>0</v>
      </c>
      <c r="Q999" s="20">
        <v>0</v>
      </c>
      <c r="R999" s="21">
        <v>7.1812971764048092E-2</v>
      </c>
    </row>
    <row r="1000" spans="1:18">
      <c r="A1000" t="s">
        <v>1537</v>
      </c>
      <c r="B1000" t="s">
        <v>71</v>
      </c>
      <c r="C1000" t="s">
        <v>101</v>
      </c>
      <c r="D1000">
        <v>2</v>
      </c>
      <c r="E1000" t="s">
        <v>132</v>
      </c>
      <c r="F1000" t="s">
        <v>1538</v>
      </c>
      <c r="G1000" t="s">
        <v>146</v>
      </c>
      <c r="H1000" s="16">
        <v>32201</v>
      </c>
      <c r="I1000" s="16">
        <v>8507</v>
      </c>
      <c r="J1000" s="16">
        <v>0</v>
      </c>
      <c r="K1000" s="16">
        <v>574</v>
      </c>
      <c r="L1000" s="16">
        <v>0</v>
      </c>
      <c r="M1000" s="16">
        <v>31627</v>
      </c>
      <c r="N1000" s="16">
        <v>577</v>
      </c>
      <c r="O1000">
        <v>2</v>
      </c>
      <c r="P1000">
        <v>0</v>
      </c>
      <c r="Q1000" s="20">
        <v>0.26418434210117697</v>
      </c>
      <c r="R1000" s="21">
        <v>1.8243905523761345E-2</v>
      </c>
    </row>
    <row r="1001" spans="1:18">
      <c r="A1001" t="s">
        <v>1539</v>
      </c>
      <c r="B1001" t="s">
        <v>86</v>
      </c>
      <c r="C1001" t="s">
        <v>101</v>
      </c>
      <c r="D1001">
        <v>2</v>
      </c>
      <c r="E1001" t="s">
        <v>132</v>
      </c>
      <c r="F1001" t="s">
        <v>163</v>
      </c>
      <c r="G1001" t="s">
        <v>134</v>
      </c>
      <c r="H1001" s="16">
        <v>32166</v>
      </c>
      <c r="I1001" s="16">
        <v>0</v>
      </c>
      <c r="J1001" s="16">
        <v>585</v>
      </c>
      <c r="K1001" s="16">
        <v>11399</v>
      </c>
      <c r="L1001" s="16">
        <v>103</v>
      </c>
      <c r="M1001" s="16">
        <v>20767</v>
      </c>
      <c r="N1001" s="16">
        <v>-1381</v>
      </c>
      <c r="O1001">
        <v>4</v>
      </c>
      <c r="P1001">
        <v>0</v>
      </c>
      <c r="Q1001" s="20">
        <v>0</v>
      </c>
      <c r="R1001" s="21">
        <v>-6.6499735156739057E-2</v>
      </c>
    </row>
    <row r="1002" spans="1:18">
      <c r="A1002" t="s">
        <v>1540</v>
      </c>
      <c r="B1002" t="s">
        <v>74</v>
      </c>
      <c r="C1002" t="s">
        <v>104</v>
      </c>
      <c r="D1002">
        <v>2</v>
      </c>
      <c r="E1002" t="s">
        <v>132</v>
      </c>
      <c r="F1002" t="s">
        <v>1151</v>
      </c>
      <c r="G1002" t="s">
        <v>134</v>
      </c>
      <c r="H1002" s="16">
        <v>32136</v>
      </c>
      <c r="I1002" s="16">
        <v>20177</v>
      </c>
      <c r="J1002" s="16">
        <v>11417</v>
      </c>
      <c r="K1002" s="16">
        <v>6192</v>
      </c>
      <c r="L1002" s="16">
        <v>3317</v>
      </c>
      <c r="M1002" s="16">
        <v>25944</v>
      </c>
      <c r="N1002" s="16">
        <v>992</v>
      </c>
      <c r="O1002">
        <v>0</v>
      </c>
      <c r="P1002">
        <v>0</v>
      </c>
      <c r="Q1002" s="20">
        <v>0.62786283295992029</v>
      </c>
      <c r="R1002" s="21">
        <v>3.8236201048411966E-2</v>
      </c>
    </row>
    <row r="1003" spans="1:18">
      <c r="A1003" t="s">
        <v>1541</v>
      </c>
      <c r="B1003" t="s">
        <v>83</v>
      </c>
      <c r="C1003" t="s">
        <v>104</v>
      </c>
      <c r="D1003">
        <v>3</v>
      </c>
      <c r="E1003" t="s">
        <v>143</v>
      </c>
      <c r="F1003" t="s">
        <v>133</v>
      </c>
      <c r="G1003" t="s">
        <v>134</v>
      </c>
      <c r="H1003" s="16">
        <v>31966</v>
      </c>
      <c r="I1003" s="16">
        <v>0</v>
      </c>
      <c r="J1003" s="16">
        <v>30911</v>
      </c>
      <c r="K1003" s="16">
        <v>6288</v>
      </c>
      <c r="L1003" s="16">
        <v>123</v>
      </c>
      <c r="M1003" s="16">
        <v>25679</v>
      </c>
      <c r="N1003" s="16">
        <v>-5234</v>
      </c>
      <c r="O1003">
        <v>2</v>
      </c>
      <c r="P1003">
        <v>0</v>
      </c>
      <c r="Q1003" s="20">
        <v>0</v>
      </c>
      <c r="R1003" s="21">
        <v>-0.20382413645391176</v>
      </c>
    </row>
    <row r="1004" spans="1:18">
      <c r="A1004" t="s">
        <v>1542</v>
      </c>
      <c r="B1004" t="s">
        <v>89</v>
      </c>
      <c r="C1004" t="s">
        <v>162</v>
      </c>
      <c r="D1004">
        <v>2</v>
      </c>
      <c r="E1004" t="s">
        <v>132</v>
      </c>
      <c r="F1004" t="s">
        <v>1543</v>
      </c>
      <c r="G1004" t="s">
        <v>211</v>
      </c>
      <c r="H1004" s="16">
        <v>31898</v>
      </c>
      <c r="I1004" s="16">
        <v>0</v>
      </c>
      <c r="J1004" s="16">
        <v>3932</v>
      </c>
      <c r="K1004" s="16">
        <v>26624</v>
      </c>
      <c r="L1004" s="16">
        <v>0</v>
      </c>
      <c r="M1004" s="16">
        <v>5274</v>
      </c>
      <c r="N1004" s="16">
        <v>189</v>
      </c>
      <c r="O1004">
        <v>1</v>
      </c>
      <c r="P1004">
        <v>0</v>
      </c>
      <c r="Q1004" s="20">
        <v>0</v>
      </c>
      <c r="R1004" s="21">
        <v>3.5836177474402729E-2</v>
      </c>
    </row>
    <row r="1005" spans="1:18">
      <c r="A1005" t="s">
        <v>1544</v>
      </c>
      <c r="B1005" t="s">
        <v>89</v>
      </c>
      <c r="C1005" t="s">
        <v>162</v>
      </c>
      <c r="D1005">
        <v>3</v>
      </c>
      <c r="E1005" t="s">
        <v>143</v>
      </c>
      <c r="F1005" t="s">
        <v>133</v>
      </c>
      <c r="G1005" t="s">
        <v>134</v>
      </c>
      <c r="H1005" s="16">
        <v>31699</v>
      </c>
      <c r="I1005" s="16">
        <v>0</v>
      </c>
      <c r="J1005" s="16">
        <v>0</v>
      </c>
      <c r="K1005" s="16">
        <v>1203</v>
      </c>
      <c r="L1005" s="16">
        <v>0</v>
      </c>
      <c r="M1005" s="16">
        <v>30496</v>
      </c>
      <c r="N1005" s="16">
        <v>-3767</v>
      </c>
      <c r="O1005">
        <v>1</v>
      </c>
      <c r="P1005">
        <v>0</v>
      </c>
      <c r="Q1005" s="20">
        <v>0</v>
      </c>
      <c r="R1005" s="21">
        <v>-0.12352439664218258</v>
      </c>
    </row>
    <row r="1006" spans="1:18">
      <c r="A1006" t="s">
        <v>1545</v>
      </c>
      <c r="B1006" t="s">
        <v>74</v>
      </c>
      <c r="C1006" t="s">
        <v>104</v>
      </c>
      <c r="D1006">
        <v>2</v>
      </c>
      <c r="E1006" t="s">
        <v>132</v>
      </c>
      <c r="F1006" t="s">
        <v>1546</v>
      </c>
      <c r="G1006" t="s">
        <v>211</v>
      </c>
      <c r="H1006" s="16">
        <v>31581</v>
      </c>
      <c r="I1006" s="16">
        <v>20117</v>
      </c>
      <c r="J1006" s="16">
        <v>1076</v>
      </c>
      <c r="K1006" s="16">
        <v>22242</v>
      </c>
      <c r="L1006" s="16">
        <v>19623</v>
      </c>
      <c r="M1006" s="16">
        <v>9339</v>
      </c>
      <c r="N1006" s="16">
        <v>856</v>
      </c>
      <c r="O1006">
        <v>0</v>
      </c>
      <c r="P1006">
        <v>1</v>
      </c>
      <c r="Q1006" s="20">
        <v>0.63699692853297873</v>
      </c>
      <c r="R1006" s="21">
        <v>9.165863582824714E-2</v>
      </c>
    </row>
    <row r="1007" spans="1:18">
      <c r="A1007" t="s">
        <v>1547</v>
      </c>
      <c r="B1007" t="s">
        <v>74</v>
      </c>
      <c r="C1007" t="s">
        <v>104</v>
      </c>
      <c r="D1007">
        <v>2</v>
      </c>
      <c r="E1007" t="s">
        <v>132</v>
      </c>
      <c r="F1007" t="s">
        <v>133</v>
      </c>
      <c r="G1007" t="s">
        <v>134</v>
      </c>
      <c r="H1007" s="16">
        <v>31519</v>
      </c>
      <c r="I1007" s="16">
        <v>13137</v>
      </c>
      <c r="J1007" s="16">
        <v>18016</v>
      </c>
      <c r="K1007" s="16">
        <v>666</v>
      </c>
      <c r="L1007" s="16">
        <v>0</v>
      </c>
      <c r="M1007" s="16">
        <v>30853</v>
      </c>
      <c r="N1007" s="16">
        <v>1643</v>
      </c>
      <c r="O1007">
        <v>0</v>
      </c>
      <c r="P1007">
        <v>0</v>
      </c>
      <c r="Q1007" s="20">
        <v>0.41679621815412926</v>
      </c>
      <c r="R1007" s="21">
        <v>5.3252520014261173E-2</v>
      </c>
    </row>
    <row r="1008" spans="1:18">
      <c r="A1008" t="s">
        <v>1548</v>
      </c>
      <c r="B1008" t="s">
        <v>89</v>
      </c>
      <c r="C1008" t="s">
        <v>162</v>
      </c>
      <c r="D1008">
        <v>2</v>
      </c>
      <c r="E1008" t="s">
        <v>132</v>
      </c>
      <c r="F1008" t="s">
        <v>133</v>
      </c>
      <c r="G1008" t="s">
        <v>134</v>
      </c>
      <c r="H1008" s="16">
        <v>31141</v>
      </c>
      <c r="I1008" s="16">
        <v>0</v>
      </c>
      <c r="J1008" s="16">
        <v>10314</v>
      </c>
      <c r="K1008" s="16">
        <v>20042</v>
      </c>
      <c r="L1008" s="16">
        <v>13424</v>
      </c>
      <c r="M1008" s="16">
        <v>11100</v>
      </c>
      <c r="N1008" s="16">
        <v>2252</v>
      </c>
      <c r="O1008">
        <v>1</v>
      </c>
      <c r="P1008">
        <v>0</v>
      </c>
      <c r="Q1008" s="20">
        <v>0</v>
      </c>
      <c r="R1008" s="21">
        <v>0.20288288288288289</v>
      </c>
    </row>
    <row r="1009" spans="1:18">
      <c r="A1009" t="s">
        <v>1549</v>
      </c>
      <c r="B1009" t="s">
        <v>89</v>
      </c>
      <c r="C1009" t="s">
        <v>162</v>
      </c>
      <c r="D1009">
        <v>3</v>
      </c>
      <c r="E1009" t="s">
        <v>143</v>
      </c>
      <c r="F1009" t="s">
        <v>133</v>
      </c>
      <c r="G1009" t="s">
        <v>134</v>
      </c>
      <c r="H1009" s="16">
        <v>30993</v>
      </c>
      <c r="I1009" s="16">
        <v>0</v>
      </c>
      <c r="J1009" s="16">
        <v>0</v>
      </c>
      <c r="K1009" s="16">
        <v>22005</v>
      </c>
      <c r="L1009" s="16">
        <v>2309</v>
      </c>
      <c r="M1009" s="16">
        <v>8988</v>
      </c>
      <c r="N1009" s="16">
        <v>-59902</v>
      </c>
      <c r="O1009">
        <v>1</v>
      </c>
      <c r="P1009">
        <v>0</v>
      </c>
      <c r="Q1009" s="20">
        <v>0</v>
      </c>
      <c r="R1009" s="21">
        <v>-6.664663996439697</v>
      </c>
    </row>
    <row r="1010" spans="1:18">
      <c r="A1010" t="s">
        <v>1550</v>
      </c>
      <c r="B1010" t="s">
        <v>74</v>
      </c>
      <c r="C1010" t="s">
        <v>104</v>
      </c>
      <c r="D1010">
        <v>2</v>
      </c>
      <c r="E1010" t="s">
        <v>132</v>
      </c>
      <c r="F1010" t="s">
        <v>1551</v>
      </c>
      <c r="G1010" t="s">
        <v>134</v>
      </c>
      <c r="H1010" s="16">
        <v>30796</v>
      </c>
      <c r="I1010" s="16">
        <v>8627</v>
      </c>
      <c r="J1010" s="16">
        <v>19928</v>
      </c>
      <c r="K1010" s="16">
        <v>3467</v>
      </c>
      <c r="L1010" s="16">
        <v>1</v>
      </c>
      <c r="M1010" s="16">
        <v>27329</v>
      </c>
      <c r="N1010" s="16">
        <v>743</v>
      </c>
      <c r="O1010">
        <v>0</v>
      </c>
      <c r="P1010">
        <v>0</v>
      </c>
      <c r="Q1010" s="20">
        <v>0.2801337836082608</v>
      </c>
      <c r="R1010" s="21">
        <v>2.7187237000987963E-2</v>
      </c>
    </row>
    <row r="1011" spans="1:18">
      <c r="A1011" t="s">
        <v>1552</v>
      </c>
      <c r="B1011" t="s">
        <v>83</v>
      </c>
      <c r="C1011" t="s">
        <v>104</v>
      </c>
      <c r="D1011">
        <v>2</v>
      </c>
      <c r="E1011" t="s">
        <v>132</v>
      </c>
      <c r="F1011" t="s">
        <v>944</v>
      </c>
      <c r="G1011" t="s">
        <v>945</v>
      </c>
      <c r="H1011" s="16">
        <v>30544</v>
      </c>
      <c r="I1011" s="16">
        <v>90</v>
      </c>
      <c r="J1011" s="16">
        <v>30319</v>
      </c>
      <c r="K1011" s="16">
        <v>341</v>
      </c>
      <c r="L1011" s="16">
        <v>0</v>
      </c>
      <c r="M1011" s="16">
        <v>30203</v>
      </c>
      <c r="N1011" s="16">
        <v>771</v>
      </c>
      <c r="O1011">
        <v>2</v>
      </c>
      <c r="P1011">
        <v>0</v>
      </c>
      <c r="Q1011" s="20">
        <v>2.9465688842325827E-3</v>
      </c>
      <c r="R1011" s="21">
        <v>2.5527265503426811E-2</v>
      </c>
    </row>
    <row r="1012" spans="1:18">
      <c r="A1012" t="s">
        <v>1553</v>
      </c>
      <c r="B1012" t="s">
        <v>74</v>
      </c>
      <c r="C1012" t="s">
        <v>104</v>
      </c>
      <c r="D1012">
        <v>2</v>
      </c>
      <c r="E1012" t="s">
        <v>132</v>
      </c>
      <c r="F1012" t="s">
        <v>141</v>
      </c>
      <c r="G1012" t="s">
        <v>134</v>
      </c>
      <c r="H1012" s="16">
        <v>30389</v>
      </c>
      <c r="I1012" s="16">
        <v>12657</v>
      </c>
      <c r="J1012" s="16">
        <v>17193</v>
      </c>
      <c r="K1012" s="16">
        <v>18294</v>
      </c>
      <c r="L1012" s="16">
        <v>17251</v>
      </c>
      <c r="M1012" s="16">
        <v>12095</v>
      </c>
      <c r="N1012" s="16">
        <v>-587</v>
      </c>
      <c r="O1012">
        <v>0</v>
      </c>
      <c r="P1012">
        <v>2</v>
      </c>
      <c r="Q1012" s="20">
        <v>0.41649939122708873</v>
      </c>
      <c r="R1012" s="21">
        <v>-4.8532451426209176E-2</v>
      </c>
    </row>
    <row r="1013" spans="1:18">
      <c r="A1013" t="s">
        <v>1554</v>
      </c>
      <c r="B1013" t="s">
        <v>83</v>
      </c>
      <c r="C1013" t="s">
        <v>104</v>
      </c>
      <c r="D1013">
        <v>2</v>
      </c>
      <c r="E1013" t="s">
        <v>132</v>
      </c>
      <c r="F1013" t="s">
        <v>163</v>
      </c>
      <c r="G1013" t="s">
        <v>134</v>
      </c>
      <c r="H1013" s="16">
        <v>29961</v>
      </c>
      <c r="I1013" s="16">
        <v>0</v>
      </c>
      <c r="J1013" s="16">
        <v>0</v>
      </c>
      <c r="K1013" s="16">
        <v>15822</v>
      </c>
      <c r="L1013" s="16">
        <v>14806</v>
      </c>
      <c r="M1013" s="16">
        <v>14138</v>
      </c>
      <c r="N1013" s="16">
        <v>-3745</v>
      </c>
      <c r="O1013">
        <v>2</v>
      </c>
      <c r="P1013">
        <v>0</v>
      </c>
      <c r="Q1013" s="20">
        <v>0</v>
      </c>
      <c r="R1013" s="21">
        <v>-0.26488895176121091</v>
      </c>
    </row>
    <row r="1014" spans="1:18">
      <c r="A1014" t="s">
        <v>1555</v>
      </c>
      <c r="B1014" t="s">
        <v>83</v>
      </c>
      <c r="C1014" t="s">
        <v>104</v>
      </c>
      <c r="D1014">
        <v>2</v>
      </c>
      <c r="E1014" t="s">
        <v>132</v>
      </c>
      <c r="F1014" t="s">
        <v>197</v>
      </c>
      <c r="G1014" t="s">
        <v>198</v>
      </c>
      <c r="H1014" s="16">
        <v>29956</v>
      </c>
      <c r="I1014" s="16">
        <v>9508</v>
      </c>
      <c r="J1014" s="16">
        <v>11525</v>
      </c>
      <c r="K1014" s="16">
        <v>21423</v>
      </c>
      <c r="L1014" s="16">
        <v>8432</v>
      </c>
      <c r="M1014" s="16">
        <v>8533</v>
      </c>
      <c r="N1014" s="16">
        <v>2008</v>
      </c>
      <c r="O1014">
        <v>2</v>
      </c>
      <c r="P1014">
        <v>0</v>
      </c>
      <c r="Q1014" s="20">
        <v>0.31739885164908532</v>
      </c>
      <c r="R1014" s="21">
        <v>0.23532169225360366</v>
      </c>
    </row>
    <row r="1015" spans="1:18">
      <c r="A1015" t="s">
        <v>1556</v>
      </c>
      <c r="B1015" t="s">
        <v>89</v>
      </c>
      <c r="C1015" t="s">
        <v>162</v>
      </c>
      <c r="D1015">
        <v>2</v>
      </c>
      <c r="E1015" t="s">
        <v>132</v>
      </c>
      <c r="F1015" t="s">
        <v>1468</v>
      </c>
      <c r="G1015" t="s">
        <v>206</v>
      </c>
      <c r="H1015" s="16">
        <v>29927</v>
      </c>
      <c r="I1015" s="16">
        <v>0</v>
      </c>
      <c r="J1015" s="16">
        <v>2549</v>
      </c>
      <c r="K1015" s="16">
        <v>24128</v>
      </c>
      <c r="L1015" s="16">
        <v>22738</v>
      </c>
      <c r="M1015" s="16">
        <v>5799</v>
      </c>
      <c r="N1015" s="16">
        <v>564</v>
      </c>
      <c r="O1015">
        <v>1</v>
      </c>
      <c r="P1015">
        <v>0</v>
      </c>
      <c r="Q1015" s="20">
        <v>0</v>
      </c>
      <c r="R1015" s="21">
        <v>9.7258147956544236E-2</v>
      </c>
    </row>
    <row r="1016" spans="1:18">
      <c r="A1016" t="s">
        <v>1557</v>
      </c>
      <c r="B1016" t="s">
        <v>74</v>
      </c>
      <c r="C1016" t="s">
        <v>104</v>
      </c>
      <c r="D1016">
        <v>2</v>
      </c>
      <c r="E1016" t="s">
        <v>132</v>
      </c>
      <c r="F1016" t="s">
        <v>1558</v>
      </c>
      <c r="G1016" t="s">
        <v>134</v>
      </c>
      <c r="H1016" s="16">
        <v>29271</v>
      </c>
      <c r="I1016" s="16">
        <v>16998</v>
      </c>
      <c r="J1016" s="16">
        <v>11227</v>
      </c>
      <c r="K1016" s="16">
        <v>297</v>
      </c>
      <c r="L1016" s="16">
        <v>0</v>
      </c>
      <c r="M1016" s="16">
        <v>28975</v>
      </c>
      <c r="N1016" s="16">
        <v>2333</v>
      </c>
      <c r="O1016">
        <v>0</v>
      </c>
      <c r="P1016">
        <v>0</v>
      </c>
      <c r="Q1016" s="20">
        <v>0.58071128420621088</v>
      </c>
      <c r="R1016" s="21">
        <v>8.0517687661777401E-2</v>
      </c>
    </row>
    <row r="1017" spans="1:18">
      <c r="A1017" t="s">
        <v>1559</v>
      </c>
      <c r="B1017" t="s">
        <v>83</v>
      </c>
      <c r="C1017" t="s">
        <v>104</v>
      </c>
      <c r="D1017">
        <v>2</v>
      </c>
      <c r="E1017" t="s">
        <v>132</v>
      </c>
      <c r="F1017" t="s">
        <v>133</v>
      </c>
      <c r="G1017" t="s">
        <v>134</v>
      </c>
      <c r="H1017" s="16">
        <v>29234</v>
      </c>
      <c r="I1017" s="16">
        <v>2601</v>
      </c>
      <c r="J1017" s="16">
        <v>0</v>
      </c>
      <c r="K1017" s="16">
        <v>23941</v>
      </c>
      <c r="L1017" s="16">
        <v>19851</v>
      </c>
      <c r="M1017" s="16">
        <v>5293</v>
      </c>
      <c r="N1017" s="16">
        <v>-728</v>
      </c>
      <c r="O1017">
        <v>2</v>
      </c>
      <c r="P1017">
        <v>0</v>
      </c>
      <c r="Q1017" s="20">
        <v>8.8971745228158997E-2</v>
      </c>
      <c r="R1017" s="21">
        <v>-0.13754014736444362</v>
      </c>
    </row>
    <row r="1018" spans="1:18">
      <c r="A1018" t="s">
        <v>1560</v>
      </c>
      <c r="B1018" t="s">
        <v>74</v>
      </c>
      <c r="C1018" t="s">
        <v>104</v>
      </c>
      <c r="D1018">
        <v>2</v>
      </c>
      <c r="E1018" t="s">
        <v>132</v>
      </c>
      <c r="F1018" t="s">
        <v>1561</v>
      </c>
      <c r="G1018" t="s">
        <v>134</v>
      </c>
      <c r="H1018" s="16">
        <v>28428</v>
      </c>
      <c r="I1018" s="16">
        <v>16129</v>
      </c>
      <c r="J1018" s="16">
        <v>11584</v>
      </c>
      <c r="K1018" s="16">
        <v>8208</v>
      </c>
      <c r="L1018" s="16">
        <v>6743</v>
      </c>
      <c r="M1018" s="16">
        <v>20221</v>
      </c>
      <c r="N1018" s="16">
        <v>855</v>
      </c>
      <c r="O1018">
        <v>0</v>
      </c>
      <c r="P1018">
        <v>1</v>
      </c>
      <c r="Q1018" s="20">
        <v>0.56736316307865486</v>
      </c>
      <c r="R1018" s="21">
        <v>4.2282775332575046E-2</v>
      </c>
    </row>
    <row r="1019" spans="1:18">
      <c r="A1019" t="s">
        <v>1562</v>
      </c>
      <c r="B1019" t="s">
        <v>74</v>
      </c>
      <c r="C1019" t="s">
        <v>104</v>
      </c>
      <c r="D1019">
        <v>2</v>
      </c>
      <c r="E1019" t="s">
        <v>132</v>
      </c>
      <c r="F1019" t="s">
        <v>1563</v>
      </c>
      <c r="G1019" t="s">
        <v>169</v>
      </c>
      <c r="H1019" s="16">
        <v>28283</v>
      </c>
      <c r="I1019" s="16">
        <v>13337</v>
      </c>
      <c r="J1019" s="16">
        <v>4566</v>
      </c>
      <c r="K1019" s="16">
        <v>5035</v>
      </c>
      <c r="L1019" s="16">
        <v>3234</v>
      </c>
      <c r="M1019" s="16">
        <v>23248</v>
      </c>
      <c r="N1019" s="16">
        <v>1048</v>
      </c>
      <c r="O1019">
        <v>0</v>
      </c>
      <c r="P1019">
        <v>1</v>
      </c>
      <c r="Q1019" s="20">
        <v>0.47155535127108156</v>
      </c>
      <c r="R1019" s="21">
        <v>4.5079146593255334E-2</v>
      </c>
    </row>
    <row r="1020" spans="1:18">
      <c r="A1020" t="s">
        <v>1564</v>
      </c>
      <c r="B1020" t="s">
        <v>83</v>
      </c>
      <c r="C1020" t="s">
        <v>101</v>
      </c>
      <c r="D1020">
        <v>2</v>
      </c>
      <c r="E1020" t="s">
        <v>132</v>
      </c>
      <c r="F1020" t="s">
        <v>133</v>
      </c>
      <c r="G1020" t="s">
        <v>134</v>
      </c>
      <c r="H1020" s="16">
        <v>28229</v>
      </c>
      <c r="I1020" s="16">
        <v>106</v>
      </c>
      <c r="J1020" s="16">
        <v>23794</v>
      </c>
      <c r="K1020" s="16">
        <v>3173</v>
      </c>
      <c r="L1020" s="16">
        <v>2432</v>
      </c>
      <c r="M1020" s="16">
        <v>25055</v>
      </c>
      <c r="N1020" s="16">
        <v>-2693</v>
      </c>
      <c r="O1020">
        <v>2</v>
      </c>
      <c r="P1020">
        <v>0</v>
      </c>
      <c r="Q1020" s="20">
        <v>3.7550037195791561E-3</v>
      </c>
      <c r="R1020" s="21">
        <v>-0.10748353622031531</v>
      </c>
    </row>
    <row r="1021" spans="1:18">
      <c r="A1021" t="s">
        <v>1565</v>
      </c>
      <c r="B1021" t="s">
        <v>74</v>
      </c>
      <c r="C1021" t="s">
        <v>104</v>
      </c>
      <c r="D1021">
        <v>2</v>
      </c>
      <c r="E1021" t="s">
        <v>132</v>
      </c>
      <c r="F1021" t="s">
        <v>1566</v>
      </c>
      <c r="G1021" t="s">
        <v>169</v>
      </c>
      <c r="H1021" s="16">
        <v>28177</v>
      </c>
      <c r="I1021" s="16">
        <v>9176</v>
      </c>
      <c r="J1021" s="16">
        <v>18944</v>
      </c>
      <c r="K1021" s="16">
        <v>2877</v>
      </c>
      <c r="L1021" s="16">
        <v>0</v>
      </c>
      <c r="M1021" s="16">
        <v>25299</v>
      </c>
      <c r="N1021" s="16">
        <v>1783</v>
      </c>
      <c r="O1021">
        <v>0</v>
      </c>
      <c r="P1021">
        <v>0</v>
      </c>
      <c r="Q1021" s="20">
        <v>0.32565567661567946</v>
      </c>
      <c r="R1021" s="21">
        <v>7.0477093956282863E-2</v>
      </c>
    </row>
    <row r="1022" spans="1:18">
      <c r="A1022" t="s">
        <v>1567</v>
      </c>
      <c r="B1022" t="s">
        <v>89</v>
      </c>
      <c r="C1022" t="s">
        <v>162</v>
      </c>
      <c r="D1022">
        <v>2</v>
      </c>
      <c r="E1022" t="s">
        <v>132</v>
      </c>
      <c r="F1022" t="s">
        <v>163</v>
      </c>
      <c r="G1022" t="s">
        <v>134</v>
      </c>
      <c r="H1022" s="16">
        <v>27880</v>
      </c>
      <c r="I1022" s="16">
        <v>0</v>
      </c>
      <c r="J1022" s="16">
        <v>0</v>
      </c>
      <c r="K1022" s="16">
        <v>20713</v>
      </c>
      <c r="L1022" s="16">
        <v>17666</v>
      </c>
      <c r="M1022" s="16">
        <v>7167</v>
      </c>
      <c r="N1022" s="16">
        <v>863</v>
      </c>
      <c r="O1022">
        <v>1</v>
      </c>
      <c r="P1022">
        <v>0</v>
      </c>
      <c r="Q1022" s="20">
        <v>0</v>
      </c>
      <c r="R1022" s="21">
        <v>0.12041300404632342</v>
      </c>
    </row>
    <row r="1023" spans="1:18">
      <c r="A1023" t="s">
        <v>1568</v>
      </c>
      <c r="B1023" t="s">
        <v>89</v>
      </c>
      <c r="C1023" t="s">
        <v>162</v>
      </c>
      <c r="D1023">
        <v>2</v>
      </c>
      <c r="E1023" t="s">
        <v>132</v>
      </c>
      <c r="F1023" t="s">
        <v>133</v>
      </c>
      <c r="G1023" t="s">
        <v>134</v>
      </c>
      <c r="H1023" s="16">
        <v>27795</v>
      </c>
      <c r="I1023" s="16">
        <v>0</v>
      </c>
      <c r="J1023" s="16">
        <v>16998</v>
      </c>
      <c r="K1023" s="16">
        <v>1601</v>
      </c>
      <c r="L1023" s="16">
        <v>0</v>
      </c>
      <c r="M1023" s="16">
        <v>26194</v>
      </c>
      <c r="N1023" s="16">
        <v>-1395</v>
      </c>
      <c r="O1023">
        <v>1</v>
      </c>
      <c r="P1023">
        <v>0</v>
      </c>
      <c r="Q1023" s="20">
        <v>0</v>
      </c>
      <c r="R1023" s="21">
        <v>-5.3256470947545237E-2</v>
      </c>
    </row>
    <row r="1024" spans="1:18">
      <c r="A1024" t="s">
        <v>1569</v>
      </c>
      <c r="B1024" t="s">
        <v>74</v>
      </c>
      <c r="C1024" t="s">
        <v>104</v>
      </c>
      <c r="D1024">
        <v>2</v>
      </c>
      <c r="E1024" t="s">
        <v>132</v>
      </c>
      <c r="F1024" t="s">
        <v>145</v>
      </c>
      <c r="G1024" t="s">
        <v>146</v>
      </c>
      <c r="H1024" s="16">
        <v>27533</v>
      </c>
      <c r="I1024" s="16">
        <v>19943</v>
      </c>
      <c r="J1024" s="16">
        <v>7360</v>
      </c>
      <c r="K1024" s="16">
        <v>16317</v>
      </c>
      <c r="L1024" s="16">
        <v>15372</v>
      </c>
      <c r="M1024" s="16">
        <v>11216</v>
      </c>
      <c r="N1024" s="16">
        <v>339</v>
      </c>
      <c r="O1024">
        <v>0</v>
      </c>
      <c r="P1024">
        <v>2</v>
      </c>
      <c r="Q1024" s="20">
        <v>0.72433080303635633</v>
      </c>
      <c r="R1024" s="21">
        <v>3.0224679029957204E-2</v>
      </c>
    </row>
    <row r="1025" spans="1:18">
      <c r="A1025" t="s">
        <v>1570</v>
      </c>
      <c r="B1025" t="s">
        <v>83</v>
      </c>
      <c r="C1025" t="s">
        <v>104</v>
      </c>
      <c r="D1025">
        <v>2</v>
      </c>
      <c r="E1025" t="s">
        <v>132</v>
      </c>
      <c r="F1025" t="s">
        <v>133</v>
      </c>
      <c r="G1025" t="s">
        <v>134</v>
      </c>
      <c r="H1025" s="16">
        <v>27482</v>
      </c>
      <c r="I1025" s="16">
        <v>0</v>
      </c>
      <c r="J1025" s="16">
        <v>14600</v>
      </c>
      <c r="K1025" s="16">
        <v>152</v>
      </c>
      <c r="L1025" s="16">
        <v>0</v>
      </c>
      <c r="M1025" s="16">
        <v>27330</v>
      </c>
      <c r="N1025" s="16">
        <v>661</v>
      </c>
      <c r="O1025">
        <v>2</v>
      </c>
      <c r="P1025">
        <v>0</v>
      </c>
      <c r="Q1025" s="20">
        <v>0</v>
      </c>
      <c r="R1025" s="21">
        <v>2.4185876326381264E-2</v>
      </c>
    </row>
    <row r="1026" spans="1:18">
      <c r="A1026" t="s">
        <v>1571</v>
      </c>
      <c r="B1026" t="s">
        <v>86</v>
      </c>
      <c r="C1026" t="s">
        <v>101</v>
      </c>
      <c r="D1026">
        <v>2</v>
      </c>
      <c r="E1026" t="s">
        <v>132</v>
      </c>
      <c r="F1026" t="s">
        <v>133</v>
      </c>
      <c r="G1026" t="s">
        <v>134</v>
      </c>
      <c r="H1026" s="16">
        <v>27382</v>
      </c>
      <c r="I1026" s="16">
        <v>0</v>
      </c>
      <c r="J1026" s="16">
        <v>3984</v>
      </c>
      <c r="K1026" s="16">
        <v>19331</v>
      </c>
      <c r="L1026" s="16">
        <v>0</v>
      </c>
      <c r="M1026" s="16">
        <v>8051</v>
      </c>
      <c r="N1026" s="16">
        <v>1027</v>
      </c>
      <c r="O1026">
        <v>2</v>
      </c>
      <c r="P1026">
        <v>0</v>
      </c>
      <c r="Q1026" s="20">
        <v>0</v>
      </c>
      <c r="R1026" s="21">
        <v>0.12756179356601666</v>
      </c>
    </row>
    <row r="1027" spans="1:18">
      <c r="A1027" t="s">
        <v>1572</v>
      </c>
      <c r="B1027" t="s">
        <v>83</v>
      </c>
      <c r="C1027" t="s">
        <v>104</v>
      </c>
      <c r="D1027">
        <v>2</v>
      </c>
      <c r="E1027" t="s">
        <v>132</v>
      </c>
      <c r="F1027" t="s">
        <v>168</v>
      </c>
      <c r="G1027" t="s">
        <v>169</v>
      </c>
      <c r="H1027" s="16">
        <v>27244</v>
      </c>
      <c r="I1027" s="16">
        <v>6001</v>
      </c>
      <c r="J1027" s="16">
        <v>12523</v>
      </c>
      <c r="K1027" s="16">
        <v>18237</v>
      </c>
      <c r="L1027" s="16">
        <v>16779</v>
      </c>
      <c r="M1027" s="16">
        <v>9007</v>
      </c>
      <c r="N1027" s="16">
        <v>-24</v>
      </c>
      <c r="O1027">
        <v>2</v>
      </c>
      <c r="P1027">
        <v>0</v>
      </c>
      <c r="Q1027" s="20">
        <v>0.22026868301277344</v>
      </c>
      <c r="R1027" s="21">
        <v>-2.664594204507605E-3</v>
      </c>
    </row>
    <row r="1028" spans="1:18">
      <c r="A1028" t="s">
        <v>1573</v>
      </c>
      <c r="B1028" t="s">
        <v>89</v>
      </c>
      <c r="C1028" t="s">
        <v>162</v>
      </c>
      <c r="D1028">
        <v>2</v>
      </c>
      <c r="E1028" t="s">
        <v>132</v>
      </c>
      <c r="F1028" t="s">
        <v>133</v>
      </c>
      <c r="G1028" t="s">
        <v>134</v>
      </c>
      <c r="H1028" s="16">
        <v>26945</v>
      </c>
      <c r="I1028" s="16">
        <v>0</v>
      </c>
      <c r="J1028" s="16">
        <v>14529</v>
      </c>
      <c r="K1028" s="16">
        <v>2526</v>
      </c>
      <c r="L1028" s="16">
        <v>0</v>
      </c>
      <c r="M1028" s="16">
        <v>24419</v>
      </c>
      <c r="N1028" s="16">
        <v>1502</v>
      </c>
      <c r="O1028">
        <v>1</v>
      </c>
      <c r="P1028">
        <v>0</v>
      </c>
      <c r="Q1028" s="20">
        <v>0</v>
      </c>
      <c r="R1028" s="21">
        <v>6.1509480322699539E-2</v>
      </c>
    </row>
    <row r="1029" spans="1:18">
      <c r="A1029" t="s">
        <v>1574</v>
      </c>
      <c r="B1029" t="s">
        <v>86</v>
      </c>
      <c r="C1029" t="s">
        <v>101</v>
      </c>
      <c r="D1029">
        <v>2</v>
      </c>
      <c r="E1029" t="s">
        <v>132</v>
      </c>
      <c r="F1029" t="s">
        <v>555</v>
      </c>
      <c r="G1029" t="s">
        <v>250</v>
      </c>
      <c r="H1029" s="16">
        <v>26928</v>
      </c>
      <c r="I1029" s="16">
        <v>0</v>
      </c>
      <c r="J1029" s="16">
        <v>0</v>
      </c>
      <c r="K1029" s="16">
        <v>18078</v>
      </c>
      <c r="L1029" s="16">
        <v>0</v>
      </c>
      <c r="M1029" s="16">
        <v>8851</v>
      </c>
      <c r="N1029" s="16">
        <v>689</v>
      </c>
      <c r="O1029">
        <v>2</v>
      </c>
      <c r="P1029">
        <v>0</v>
      </c>
      <c r="Q1029" s="20">
        <v>0</v>
      </c>
      <c r="R1029" s="21">
        <v>7.7844311377245512E-2</v>
      </c>
    </row>
    <row r="1030" spans="1:18">
      <c r="A1030" t="s">
        <v>1575</v>
      </c>
      <c r="B1030" t="s">
        <v>83</v>
      </c>
      <c r="C1030" t="s">
        <v>104</v>
      </c>
      <c r="D1030">
        <v>2</v>
      </c>
      <c r="E1030" t="s">
        <v>132</v>
      </c>
      <c r="F1030" t="s">
        <v>671</v>
      </c>
      <c r="G1030" t="s">
        <v>211</v>
      </c>
      <c r="H1030" s="16">
        <v>26534</v>
      </c>
      <c r="I1030" s="16">
        <v>5740</v>
      </c>
      <c r="J1030" s="16">
        <v>214</v>
      </c>
      <c r="K1030" s="16">
        <v>19327</v>
      </c>
      <c r="L1030" s="16">
        <v>18257</v>
      </c>
      <c r="M1030" s="16">
        <v>7207</v>
      </c>
      <c r="N1030" s="16">
        <v>922</v>
      </c>
      <c r="O1030">
        <v>2</v>
      </c>
      <c r="P1030">
        <v>0</v>
      </c>
      <c r="Q1030" s="20">
        <v>0.21632622295922213</v>
      </c>
      <c r="R1030" s="21">
        <v>0.12793117802136811</v>
      </c>
    </row>
    <row r="1031" spans="1:18">
      <c r="A1031" t="s">
        <v>1576</v>
      </c>
      <c r="B1031" t="s">
        <v>74</v>
      </c>
      <c r="C1031" t="s">
        <v>104</v>
      </c>
      <c r="D1031">
        <v>2</v>
      </c>
      <c r="E1031" t="s">
        <v>132</v>
      </c>
      <c r="F1031" t="s">
        <v>133</v>
      </c>
      <c r="G1031" t="s">
        <v>134</v>
      </c>
      <c r="H1031" s="16">
        <v>26382</v>
      </c>
      <c r="I1031" s="16">
        <v>23349</v>
      </c>
      <c r="J1031" s="16">
        <v>2992</v>
      </c>
      <c r="K1031" s="16">
        <v>1031</v>
      </c>
      <c r="L1031" s="16">
        <v>0</v>
      </c>
      <c r="M1031" s="16">
        <v>25351</v>
      </c>
      <c r="N1031" s="16">
        <v>1713</v>
      </c>
      <c r="O1031">
        <v>0</v>
      </c>
      <c r="P1031">
        <v>0</v>
      </c>
      <c r="Q1031" s="20">
        <v>0.88503525130770977</v>
      </c>
      <c r="R1031" s="21">
        <v>6.7571298962565585E-2</v>
      </c>
    </row>
    <row r="1032" spans="1:18">
      <c r="A1032" t="s">
        <v>1577</v>
      </c>
      <c r="B1032" t="s">
        <v>83</v>
      </c>
      <c r="C1032" t="s">
        <v>104</v>
      </c>
      <c r="D1032">
        <v>2</v>
      </c>
      <c r="E1032" t="s">
        <v>132</v>
      </c>
      <c r="F1032" t="s">
        <v>172</v>
      </c>
      <c r="G1032" t="s">
        <v>173</v>
      </c>
      <c r="H1032" s="16">
        <v>26351</v>
      </c>
      <c r="I1032" s="16">
        <v>3891</v>
      </c>
      <c r="J1032" s="16">
        <v>1</v>
      </c>
      <c r="K1032" s="16">
        <v>19018</v>
      </c>
      <c r="L1032" s="16">
        <v>15467</v>
      </c>
      <c r="M1032" s="16">
        <v>7333</v>
      </c>
      <c r="N1032" s="16">
        <v>2227</v>
      </c>
      <c r="O1032">
        <v>2</v>
      </c>
      <c r="P1032">
        <v>0</v>
      </c>
      <c r="Q1032" s="20">
        <v>0.14766043034419946</v>
      </c>
      <c r="R1032" s="21">
        <v>0.30369562252829674</v>
      </c>
    </row>
    <row r="1033" spans="1:18">
      <c r="A1033" t="s">
        <v>1578</v>
      </c>
      <c r="B1033" t="s">
        <v>83</v>
      </c>
      <c r="C1033" t="s">
        <v>101</v>
      </c>
      <c r="D1033">
        <v>2</v>
      </c>
      <c r="E1033" t="s">
        <v>132</v>
      </c>
      <c r="F1033" t="s">
        <v>133</v>
      </c>
      <c r="G1033" t="s">
        <v>134</v>
      </c>
      <c r="H1033" s="16">
        <v>25568</v>
      </c>
      <c r="I1033" s="16">
        <v>15920</v>
      </c>
      <c r="J1033" s="16">
        <v>1397</v>
      </c>
      <c r="K1033" s="16">
        <v>14074</v>
      </c>
      <c r="L1033" s="16">
        <v>6038</v>
      </c>
      <c r="M1033" s="16">
        <v>11495</v>
      </c>
      <c r="N1033" s="16">
        <v>4564</v>
      </c>
      <c r="O1033">
        <v>2</v>
      </c>
      <c r="P1033">
        <v>0</v>
      </c>
      <c r="Q1033" s="20">
        <v>0.62265331664580725</v>
      </c>
      <c r="R1033" s="21">
        <v>0.39704219225750326</v>
      </c>
    </row>
    <row r="1034" spans="1:18">
      <c r="A1034" t="s">
        <v>1579</v>
      </c>
      <c r="B1034" t="s">
        <v>74</v>
      </c>
      <c r="C1034" t="s">
        <v>104</v>
      </c>
      <c r="D1034">
        <v>2</v>
      </c>
      <c r="E1034" t="s">
        <v>132</v>
      </c>
      <c r="F1034" t="s">
        <v>1580</v>
      </c>
      <c r="G1034" t="s">
        <v>134</v>
      </c>
      <c r="H1034" s="16">
        <v>25178</v>
      </c>
      <c r="I1034" s="16">
        <v>17182</v>
      </c>
      <c r="J1034" s="16">
        <v>6209</v>
      </c>
      <c r="K1034" s="16">
        <v>4064</v>
      </c>
      <c r="L1034" s="16">
        <v>1833</v>
      </c>
      <c r="M1034" s="16">
        <v>21114</v>
      </c>
      <c r="N1034" s="16">
        <v>624</v>
      </c>
      <c r="O1034">
        <v>0</v>
      </c>
      <c r="P1034">
        <v>0</v>
      </c>
      <c r="Q1034" s="20">
        <v>0.68242116133132102</v>
      </c>
      <c r="R1034" s="21">
        <v>2.9553850525717535E-2</v>
      </c>
    </row>
    <row r="1035" spans="1:18">
      <c r="A1035" t="s">
        <v>1581</v>
      </c>
      <c r="B1035" t="s">
        <v>74</v>
      </c>
      <c r="C1035" t="s">
        <v>104</v>
      </c>
      <c r="D1035">
        <v>2</v>
      </c>
      <c r="E1035" t="s">
        <v>132</v>
      </c>
      <c r="F1035" t="s">
        <v>1582</v>
      </c>
      <c r="G1035" t="s">
        <v>169</v>
      </c>
      <c r="H1035" s="16">
        <v>25083</v>
      </c>
      <c r="I1035" s="16">
        <v>7048</v>
      </c>
      <c r="J1035" s="16">
        <v>16835</v>
      </c>
      <c r="K1035" s="16">
        <v>3746</v>
      </c>
      <c r="L1035" s="16">
        <v>0</v>
      </c>
      <c r="M1035" s="16">
        <v>21337</v>
      </c>
      <c r="N1035" s="16">
        <v>1163</v>
      </c>
      <c r="O1035">
        <v>0</v>
      </c>
      <c r="P1035">
        <v>0</v>
      </c>
      <c r="Q1035" s="20">
        <v>0.28098712275246185</v>
      </c>
      <c r="R1035" s="21">
        <v>5.450625673712331E-2</v>
      </c>
    </row>
    <row r="1036" spans="1:18">
      <c r="A1036" t="s">
        <v>1583</v>
      </c>
      <c r="B1036" t="s">
        <v>86</v>
      </c>
      <c r="C1036" t="s">
        <v>104</v>
      </c>
      <c r="D1036">
        <v>2</v>
      </c>
      <c r="E1036" t="s">
        <v>132</v>
      </c>
      <c r="F1036" t="s">
        <v>133</v>
      </c>
      <c r="G1036" t="s">
        <v>134</v>
      </c>
      <c r="H1036" s="16">
        <v>25013</v>
      </c>
      <c r="I1036" s="16">
        <v>0</v>
      </c>
      <c r="J1036" s="16">
        <v>19329</v>
      </c>
      <c r="K1036" s="16">
        <v>4723</v>
      </c>
      <c r="L1036" s="16">
        <v>0</v>
      </c>
      <c r="M1036" s="16">
        <v>20290</v>
      </c>
      <c r="N1036" s="16">
        <v>8920</v>
      </c>
      <c r="O1036">
        <v>2</v>
      </c>
      <c r="P1036">
        <v>0</v>
      </c>
      <c r="Q1036" s="20">
        <v>0</v>
      </c>
      <c r="R1036" s="21">
        <v>0.43962543124691966</v>
      </c>
    </row>
    <row r="1037" spans="1:18">
      <c r="A1037" t="s">
        <v>1584</v>
      </c>
      <c r="B1037" t="s">
        <v>83</v>
      </c>
      <c r="C1037" t="s">
        <v>104</v>
      </c>
      <c r="D1037">
        <v>2</v>
      </c>
      <c r="E1037" t="s">
        <v>132</v>
      </c>
      <c r="F1037" t="s">
        <v>133</v>
      </c>
      <c r="G1037" t="s">
        <v>134</v>
      </c>
      <c r="H1037" s="16">
        <v>24812</v>
      </c>
      <c r="I1037" s="16">
        <v>0</v>
      </c>
      <c r="J1037" s="16">
        <v>18507</v>
      </c>
      <c r="K1037" s="16">
        <v>4850</v>
      </c>
      <c r="L1037" s="16">
        <v>0</v>
      </c>
      <c r="M1037" s="16">
        <v>19963</v>
      </c>
      <c r="N1037" s="16">
        <v>4265</v>
      </c>
      <c r="O1037">
        <v>2</v>
      </c>
      <c r="P1037">
        <v>0</v>
      </c>
      <c r="Q1037" s="20">
        <v>0</v>
      </c>
      <c r="R1037" s="21">
        <v>0.21364524370084656</v>
      </c>
    </row>
    <row r="1038" spans="1:18">
      <c r="A1038" t="s">
        <v>1585</v>
      </c>
      <c r="B1038" t="s">
        <v>74</v>
      </c>
      <c r="C1038" t="s">
        <v>104</v>
      </c>
      <c r="D1038">
        <v>2</v>
      </c>
      <c r="E1038" t="s">
        <v>132</v>
      </c>
      <c r="F1038" t="s">
        <v>1586</v>
      </c>
      <c r="G1038" t="s">
        <v>134</v>
      </c>
      <c r="H1038" s="16">
        <v>24808</v>
      </c>
      <c r="I1038" s="16">
        <v>12906</v>
      </c>
      <c r="J1038" s="16">
        <v>11414</v>
      </c>
      <c r="K1038" s="16">
        <v>4078</v>
      </c>
      <c r="L1038" s="16">
        <v>2505</v>
      </c>
      <c r="M1038" s="16">
        <v>20729</v>
      </c>
      <c r="N1038" s="16">
        <v>1227</v>
      </c>
      <c r="O1038">
        <v>0</v>
      </c>
      <c r="P1038">
        <v>0</v>
      </c>
      <c r="Q1038" s="20">
        <v>0.52023540793292489</v>
      </c>
      <c r="R1038" s="21">
        <v>5.9192435718076128E-2</v>
      </c>
    </row>
    <row r="1039" spans="1:18">
      <c r="A1039" t="s">
        <v>1587</v>
      </c>
      <c r="B1039" t="s">
        <v>89</v>
      </c>
      <c r="C1039" t="s">
        <v>162</v>
      </c>
      <c r="D1039">
        <v>2</v>
      </c>
      <c r="E1039" t="s">
        <v>132</v>
      </c>
      <c r="F1039" t="s">
        <v>172</v>
      </c>
      <c r="G1039" t="s">
        <v>173</v>
      </c>
      <c r="H1039" s="16">
        <v>24714</v>
      </c>
      <c r="I1039" s="16">
        <v>0</v>
      </c>
      <c r="J1039" s="16">
        <v>270</v>
      </c>
      <c r="K1039" s="16">
        <v>10667</v>
      </c>
      <c r="L1039" s="16">
        <v>5558</v>
      </c>
      <c r="M1039" s="16">
        <v>14047</v>
      </c>
      <c r="N1039" s="16">
        <v>2266</v>
      </c>
      <c r="O1039">
        <v>1</v>
      </c>
      <c r="P1039">
        <v>0</v>
      </c>
      <c r="Q1039" s="20">
        <v>0</v>
      </c>
      <c r="R1039" s="21">
        <v>0.16131558339859045</v>
      </c>
    </row>
    <row r="1040" spans="1:18">
      <c r="A1040" t="s">
        <v>1588</v>
      </c>
      <c r="B1040" t="s">
        <v>74</v>
      </c>
      <c r="C1040" t="s">
        <v>104</v>
      </c>
      <c r="D1040">
        <v>2</v>
      </c>
      <c r="E1040" t="s">
        <v>132</v>
      </c>
      <c r="F1040" t="s">
        <v>1589</v>
      </c>
      <c r="G1040" t="s">
        <v>134</v>
      </c>
      <c r="H1040" s="16">
        <v>24299</v>
      </c>
      <c r="I1040" s="16">
        <v>11075</v>
      </c>
      <c r="J1040" s="16">
        <v>12064</v>
      </c>
      <c r="K1040" s="16">
        <v>1436</v>
      </c>
      <c r="L1040" s="16">
        <v>100</v>
      </c>
      <c r="M1040" s="16">
        <v>22863</v>
      </c>
      <c r="N1040" s="16">
        <v>469</v>
      </c>
      <c r="O1040">
        <v>0</v>
      </c>
      <c r="P1040">
        <v>0</v>
      </c>
      <c r="Q1040" s="20">
        <v>0.45578007325404335</v>
      </c>
      <c r="R1040" s="21">
        <v>2.0513493417311814E-2</v>
      </c>
    </row>
    <row r="1041" spans="1:18">
      <c r="A1041" t="s">
        <v>1590</v>
      </c>
      <c r="B1041" t="s">
        <v>86</v>
      </c>
      <c r="C1041" t="s">
        <v>101</v>
      </c>
      <c r="D1041">
        <v>2</v>
      </c>
      <c r="E1041" t="s">
        <v>132</v>
      </c>
      <c r="F1041" t="s">
        <v>133</v>
      </c>
      <c r="G1041" t="s">
        <v>134</v>
      </c>
      <c r="H1041" s="16">
        <v>24255</v>
      </c>
      <c r="I1041" s="16">
        <v>0</v>
      </c>
      <c r="J1041" s="16">
        <v>11191</v>
      </c>
      <c r="K1041" s="16">
        <v>6559</v>
      </c>
      <c r="L1041" s="16">
        <v>0</v>
      </c>
      <c r="M1041" s="16">
        <v>17696</v>
      </c>
      <c r="N1041" s="16">
        <v>7163</v>
      </c>
      <c r="O1041">
        <v>2</v>
      </c>
      <c r="P1041">
        <v>0</v>
      </c>
      <c r="Q1041" s="20">
        <v>0</v>
      </c>
      <c r="R1041" s="21">
        <v>0.40478074141048825</v>
      </c>
    </row>
    <row r="1042" spans="1:18">
      <c r="A1042" t="s">
        <v>1591</v>
      </c>
      <c r="B1042" t="s">
        <v>86</v>
      </c>
      <c r="C1042" t="s">
        <v>101</v>
      </c>
      <c r="D1042">
        <v>2</v>
      </c>
      <c r="E1042" t="s">
        <v>132</v>
      </c>
      <c r="F1042" t="s">
        <v>145</v>
      </c>
      <c r="G1042" t="s">
        <v>146</v>
      </c>
      <c r="H1042" s="16">
        <v>24099</v>
      </c>
      <c r="I1042" s="16">
        <v>0</v>
      </c>
      <c r="J1042" s="16">
        <v>7227</v>
      </c>
      <c r="K1042" s="16">
        <v>13257</v>
      </c>
      <c r="L1042" s="16">
        <v>1</v>
      </c>
      <c r="M1042" s="16">
        <v>10842</v>
      </c>
      <c r="N1042" s="16">
        <v>-3165</v>
      </c>
      <c r="O1042">
        <v>2</v>
      </c>
      <c r="P1042">
        <v>0</v>
      </c>
      <c r="Q1042" s="20">
        <v>0</v>
      </c>
      <c r="R1042" s="21">
        <v>-0.29192030990592144</v>
      </c>
    </row>
    <row r="1043" spans="1:18">
      <c r="A1043" t="s">
        <v>1592</v>
      </c>
      <c r="B1043" t="s">
        <v>89</v>
      </c>
      <c r="C1043" t="s">
        <v>162</v>
      </c>
      <c r="D1043">
        <v>2</v>
      </c>
      <c r="E1043" t="s">
        <v>132</v>
      </c>
      <c r="F1043" t="s">
        <v>1593</v>
      </c>
      <c r="G1043" t="s">
        <v>153</v>
      </c>
      <c r="H1043" s="16">
        <v>23695</v>
      </c>
      <c r="I1043" s="16">
        <v>0</v>
      </c>
      <c r="J1043" s="16">
        <v>19738</v>
      </c>
      <c r="K1043" s="16">
        <v>18411</v>
      </c>
      <c r="L1043" s="16">
        <v>18379</v>
      </c>
      <c r="M1043" s="16">
        <v>5284</v>
      </c>
      <c r="N1043" s="16">
        <v>102</v>
      </c>
      <c r="O1043">
        <v>1</v>
      </c>
      <c r="P1043">
        <v>0</v>
      </c>
      <c r="Q1043" s="20">
        <v>0</v>
      </c>
      <c r="R1043" s="21">
        <v>1.9303557910673733E-2</v>
      </c>
    </row>
    <row r="1044" spans="1:18">
      <c r="A1044" t="s">
        <v>1594</v>
      </c>
      <c r="B1044" t="s">
        <v>86</v>
      </c>
      <c r="C1044" t="s">
        <v>101</v>
      </c>
      <c r="D1044">
        <v>2</v>
      </c>
      <c r="E1044" t="s">
        <v>132</v>
      </c>
      <c r="F1044" t="s">
        <v>133</v>
      </c>
      <c r="G1044" t="s">
        <v>134</v>
      </c>
      <c r="H1044" s="16">
        <v>23533</v>
      </c>
      <c r="I1044" s="16">
        <v>0</v>
      </c>
      <c r="J1044" s="16">
        <v>12296</v>
      </c>
      <c r="K1044" s="16">
        <v>8856</v>
      </c>
      <c r="L1044" s="16">
        <v>2647</v>
      </c>
      <c r="M1044" s="16">
        <v>14677</v>
      </c>
      <c r="N1044" s="16">
        <v>949</v>
      </c>
      <c r="O1044">
        <v>2</v>
      </c>
      <c r="P1044">
        <v>0</v>
      </c>
      <c r="Q1044" s="20">
        <v>0</v>
      </c>
      <c r="R1044" s="21">
        <v>6.4658990256864488E-2</v>
      </c>
    </row>
    <row r="1045" spans="1:18">
      <c r="A1045" t="s">
        <v>1595</v>
      </c>
      <c r="B1045" t="s">
        <v>74</v>
      </c>
      <c r="C1045" t="s">
        <v>104</v>
      </c>
      <c r="D1045">
        <v>2</v>
      </c>
      <c r="E1045" t="s">
        <v>132</v>
      </c>
      <c r="F1045" t="s">
        <v>1596</v>
      </c>
      <c r="G1045" t="s">
        <v>134</v>
      </c>
      <c r="H1045" s="16">
        <v>23280</v>
      </c>
      <c r="I1045" s="16">
        <v>19361</v>
      </c>
      <c r="J1045" s="16">
        <v>3871</v>
      </c>
      <c r="K1045" s="16">
        <v>317</v>
      </c>
      <c r="L1045" s="16">
        <v>0</v>
      </c>
      <c r="M1045" s="16">
        <v>22963</v>
      </c>
      <c r="N1045" s="16">
        <v>1341</v>
      </c>
      <c r="O1045">
        <v>0</v>
      </c>
      <c r="P1045">
        <v>0</v>
      </c>
      <c r="Q1045" s="20">
        <v>0.83165807560137461</v>
      </c>
      <c r="R1045" s="21">
        <v>5.8398292905979185E-2</v>
      </c>
    </row>
    <row r="1046" spans="1:18">
      <c r="A1046" t="s">
        <v>1597</v>
      </c>
      <c r="B1046" t="s">
        <v>74</v>
      </c>
      <c r="C1046" t="s">
        <v>104</v>
      </c>
      <c r="D1046">
        <v>2</v>
      </c>
      <c r="E1046" t="s">
        <v>132</v>
      </c>
      <c r="F1046" t="s">
        <v>133</v>
      </c>
      <c r="G1046" t="s">
        <v>134</v>
      </c>
      <c r="H1046" s="16">
        <v>23141</v>
      </c>
      <c r="I1046" s="16">
        <v>7312</v>
      </c>
      <c r="J1046" s="16">
        <v>15138</v>
      </c>
      <c r="K1046" s="16">
        <v>861</v>
      </c>
      <c r="L1046" s="16">
        <v>0</v>
      </c>
      <c r="M1046" s="16">
        <v>22280</v>
      </c>
      <c r="N1046" s="16">
        <v>1138</v>
      </c>
      <c r="O1046">
        <v>0</v>
      </c>
      <c r="P1046">
        <v>0</v>
      </c>
      <c r="Q1046" s="20">
        <v>0.31597597338057992</v>
      </c>
      <c r="R1046" s="21">
        <v>5.1077199281867144E-2</v>
      </c>
    </row>
    <row r="1047" spans="1:18">
      <c r="A1047" t="s">
        <v>1598</v>
      </c>
      <c r="B1047" t="s">
        <v>83</v>
      </c>
      <c r="C1047" t="s">
        <v>104</v>
      </c>
      <c r="D1047">
        <v>2</v>
      </c>
      <c r="E1047" t="s">
        <v>132</v>
      </c>
      <c r="F1047" t="s">
        <v>692</v>
      </c>
      <c r="G1047" t="s">
        <v>134</v>
      </c>
      <c r="H1047" s="16">
        <v>23007</v>
      </c>
      <c r="I1047" s="16">
        <v>1228</v>
      </c>
      <c r="J1047" s="16">
        <v>4908</v>
      </c>
      <c r="K1047" s="16">
        <v>12759</v>
      </c>
      <c r="L1047" s="16">
        <v>12592</v>
      </c>
      <c r="M1047" s="16">
        <v>10248</v>
      </c>
      <c r="N1047" s="16">
        <v>247</v>
      </c>
      <c r="O1047">
        <v>2</v>
      </c>
      <c r="P1047">
        <v>0</v>
      </c>
      <c r="Q1047" s="20">
        <v>5.3375059764419523E-2</v>
      </c>
      <c r="R1047" s="21">
        <v>2.4102263856362216E-2</v>
      </c>
    </row>
    <row r="1048" spans="1:18">
      <c r="A1048" t="s">
        <v>1599</v>
      </c>
      <c r="B1048" t="s">
        <v>74</v>
      </c>
      <c r="C1048" t="s">
        <v>104</v>
      </c>
      <c r="D1048">
        <v>2</v>
      </c>
      <c r="E1048" t="s">
        <v>132</v>
      </c>
      <c r="F1048" t="s">
        <v>855</v>
      </c>
      <c r="G1048" t="s">
        <v>134</v>
      </c>
      <c r="H1048" s="16">
        <v>22977</v>
      </c>
      <c r="I1048" s="16">
        <v>17560</v>
      </c>
      <c r="J1048" s="16">
        <v>4228</v>
      </c>
      <c r="K1048" s="16">
        <v>418</v>
      </c>
      <c r="L1048" s="16">
        <v>0</v>
      </c>
      <c r="M1048" s="16">
        <v>22559</v>
      </c>
      <c r="N1048" s="16">
        <v>1091</v>
      </c>
      <c r="O1048">
        <v>0</v>
      </c>
      <c r="P1048">
        <v>0</v>
      </c>
      <c r="Q1048" s="20">
        <v>0.7642425033729382</v>
      </c>
      <c r="R1048" s="21">
        <v>4.836207278691431E-2</v>
      </c>
    </row>
    <row r="1049" spans="1:18">
      <c r="A1049" t="s">
        <v>1600</v>
      </c>
      <c r="B1049" t="s">
        <v>83</v>
      </c>
      <c r="C1049" t="s">
        <v>104</v>
      </c>
      <c r="D1049">
        <v>2</v>
      </c>
      <c r="E1049" t="s">
        <v>132</v>
      </c>
      <c r="F1049" t="s">
        <v>159</v>
      </c>
      <c r="G1049" t="s">
        <v>134</v>
      </c>
      <c r="H1049" s="16">
        <v>22966</v>
      </c>
      <c r="I1049" s="16">
        <v>0</v>
      </c>
      <c r="J1049" s="16">
        <v>6840</v>
      </c>
      <c r="K1049" s="16">
        <v>13824</v>
      </c>
      <c r="L1049" s="16">
        <v>0</v>
      </c>
      <c r="M1049" s="16">
        <v>9142</v>
      </c>
      <c r="N1049" s="16">
        <v>1955</v>
      </c>
      <c r="O1049">
        <v>2</v>
      </c>
      <c r="P1049">
        <v>0</v>
      </c>
      <c r="Q1049" s="20">
        <v>0</v>
      </c>
      <c r="R1049" s="21">
        <v>0.21384817326624372</v>
      </c>
    </row>
    <row r="1050" spans="1:18">
      <c r="A1050" t="s">
        <v>1601</v>
      </c>
      <c r="B1050" t="s">
        <v>86</v>
      </c>
      <c r="C1050" t="s">
        <v>101</v>
      </c>
      <c r="D1050">
        <v>2</v>
      </c>
      <c r="E1050" t="s">
        <v>132</v>
      </c>
      <c r="F1050" t="s">
        <v>133</v>
      </c>
      <c r="G1050" t="s">
        <v>134</v>
      </c>
      <c r="H1050" s="16">
        <v>22585</v>
      </c>
      <c r="I1050" s="16">
        <v>0</v>
      </c>
      <c r="J1050" s="16">
        <v>11703</v>
      </c>
      <c r="K1050" s="16">
        <v>10103</v>
      </c>
      <c r="L1050" s="16">
        <v>9163</v>
      </c>
      <c r="M1050" s="16">
        <v>12481</v>
      </c>
      <c r="N1050" s="16">
        <v>563</v>
      </c>
      <c r="O1050">
        <v>2</v>
      </c>
      <c r="P1050">
        <v>0</v>
      </c>
      <c r="Q1050" s="20">
        <v>0</v>
      </c>
      <c r="R1050" s="21">
        <v>4.5108565018828622E-2</v>
      </c>
    </row>
    <row r="1051" spans="1:18">
      <c r="A1051" t="s">
        <v>1602</v>
      </c>
      <c r="B1051" t="s">
        <v>74</v>
      </c>
      <c r="C1051" t="s">
        <v>104</v>
      </c>
      <c r="D1051">
        <v>2</v>
      </c>
      <c r="E1051" t="s">
        <v>132</v>
      </c>
      <c r="F1051" t="s">
        <v>152</v>
      </c>
      <c r="G1051" t="s">
        <v>153</v>
      </c>
      <c r="H1051" s="16">
        <v>22299</v>
      </c>
      <c r="I1051" s="16">
        <v>10634</v>
      </c>
      <c r="J1051" s="16">
        <v>504</v>
      </c>
      <c r="K1051" s="16">
        <v>13235</v>
      </c>
      <c r="L1051" s="16">
        <v>8833</v>
      </c>
      <c r="M1051" s="16">
        <v>9064</v>
      </c>
      <c r="N1051" s="16">
        <v>-283</v>
      </c>
      <c r="O1051">
        <v>0</v>
      </c>
      <c r="P1051">
        <v>0</v>
      </c>
      <c r="Q1051" s="20">
        <v>0.47688237140678952</v>
      </c>
      <c r="R1051" s="21">
        <v>-3.1222418358340689E-2</v>
      </c>
    </row>
    <row r="1052" spans="1:18">
      <c r="A1052" t="s">
        <v>1603</v>
      </c>
      <c r="B1052" t="s">
        <v>83</v>
      </c>
      <c r="C1052" t="s">
        <v>101</v>
      </c>
      <c r="D1052">
        <v>2</v>
      </c>
      <c r="E1052" t="s">
        <v>132</v>
      </c>
      <c r="F1052" t="s">
        <v>163</v>
      </c>
      <c r="G1052" t="s">
        <v>134</v>
      </c>
      <c r="H1052" s="16">
        <v>22045</v>
      </c>
      <c r="I1052" s="16">
        <v>0</v>
      </c>
      <c r="J1052" s="16">
        <v>276</v>
      </c>
      <c r="K1052" s="16">
        <v>12381</v>
      </c>
      <c r="L1052" s="16">
        <v>11561</v>
      </c>
      <c r="M1052" s="16">
        <v>9664</v>
      </c>
      <c r="N1052" s="16">
        <v>274</v>
      </c>
      <c r="O1052">
        <v>2</v>
      </c>
      <c r="P1052">
        <v>0</v>
      </c>
      <c r="Q1052" s="20">
        <v>0</v>
      </c>
      <c r="R1052" s="21">
        <v>2.8352649006622516E-2</v>
      </c>
    </row>
    <row r="1053" spans="1:18">
      <c r="A1053" t="s">
        <v>1604</v>
      </c>
      <c r="B1053" t="s">
        <v>74</v>
      </c>
      <c r="C1053" t="s">
        <v>104</v>
      </c>
      <c r="D1053">
        <v>2</v>
      </c>
      <c r="E1053" t="s">
        <v>132</v>
      </c>
      <c r="F1053" t="s">
        <v>1605</v>
      </c>
      <c r="G1053" t="s">
        <v>146</v>
      </c>
      <c r="H1053" s="16">
        <v>21781</v>
      </c>
      <c r="I1053" s="16">
        <v>5144</v>
      </c>
      <c r="J1053" s="16">
        <v>6646</v>
      </c>
      <c r="K1053" s="16">
        <v>3288</v>
      </c>
      <c r="L1053" s="16">
        <v>0</v>
      </c>
      <c r="M1053" s="16">
        <v>18493</v>
      </c>
      <c r="N1053" s="16">
        <v>752</v>
      </c>
      <c r="O1053">
        <v>0</v>
      </c>
      <c r="P1053">
        <v>0</v>
      </c>
      <c r="Q1053" s="20">
        <v>0.23616913823975025</v>
      </c>
      <c r="R1053" s="21">
        <v>4.0664035040285512E-2</v>
      </c>
    </row>
    <row r="1054" spans="1:18">
      <c r="A1054" t="s">
        <v>1606</v>
      </c>
      <c r="B1054" t="s">
        <v>86</v>
      </c>
      <c r="C1054" t="s">
        <v>101</v>
      </c>
      <c r="D1054">
        <v>2</v>
      </c>
      <c r="E1054" t="s">
        <v>132</v>
      </c>
      <c r="F1054" t="s">
        <v>133</v>
      </c>
      <c r="G1054" t="s">
        <v>134</v>
      </c>
      <c r="H1054" s="16">
        <v>21749</v>
      </c>
      <c r="I1054" s="16">
        <v>0</v>
      </c>
      <c r="J1054" s="16">
        <v>10252</v>
      </c>
      <c r="K1054" s="16">
        <v>9540</v>
      </c>
      <c r="L1054" s="16">
        <v>0</v>
      </c>
      <c r="M1054" s="16">
        <v>12209</v>
      </c>
      <c r="N1054" s="16">
        <v>1209</v>
      </c>
      <c r="O1054">
        <v>2</v>
      </c>
      <c r="P1054">
        <v>0</v>
      </c>
      <c r="Q1054" s="20">
        <v>0</v>
      </c>
      <c r="R1054" s="21">
        <v>9.902530919813253E-2</v>
      </c>
    </row>
    <row r="1055" spans="1:18">
      <c r="A1055" t="s">
        <v>1607</v>
      </c>
      <c r="B1055" t="s">
        <v>74</v>
      </c>
      <c r="C1055" t="s">
        <v>104</v>
      </c>
      <c r="D1055">
        <v>2</v>
      </c>
      <c r="E1055" t="s">
        <v>132</v>
      </c>
      <c r="F1055" t="s">
        <v>1608</v>
      </c>
      <c r="G1055" t="s">
        <v>179</v>
      </c>
      <c r="H1055" s="16">
        <v>21393</v>
      </c>
      <c r="I1055" s="16">
        <v>14048</v>
      </c>
      <c r="J1055" s="16">
        <v>6276</v>
      </c>
      <c r="K1055" s="16">
        <v>656</v>
      </c>
      <c r="L1055" s="16">
        <v>0</v>
      </c>
      <c r="M1055" s="16">
        <v>20737</v>
      </c>
      <c r="N1055" s="16">
        <v>901</v>
      </c>
      <c r="O1055">
        <v>0</v>
      </c>
      <c r="P1055">
        <v>0</v>
      </c>
      <c r="Q1055" s="20">
        <v>0.65666339456831679</v>
      </c>
      <c r="R1055" s="21">
        <v>4.3448907749433378E-2</v>
      </c>
    </row>
    <row r="1056" spans="1:18">
      <c r="A1056" t="s">
        <v>1609</v>
      </c>
      <c r="B1056" t="s">
        <v>83</v>
      </c>
      <c r="C1056" t="s">
        <v>101</v>
      </c>
      <c r="D1056">
        <v>2</v>
      </c>
      <c r="E1056" t="s">
        <v>132</v>
      </c>
      <c r="F1056" t="s">
        <v>368</v>
      </c>
      <c r="G1056" t="s">
        <v>206</v>
      </c>
      <c r="H1056" s="16">
        <v>21338</v>
      </c>
      <c r="I1056" s="16">
        <v>501</v>
      </c>
      <c r="J1056" s="16">
        <v>20407</v>
      </c>
      <c r="K1056" s="16">
        <v>503</v>
      </c>
      <c r="L1056" s="16">
        <v>0</v>
      </c>
      <c r="M1056" s="16">
        <v>20835</v>
      </c>
      <c r="N1056" s="16">
        <v>558</v>
      </c>
      <c r="O1056">
        <v>2</v>
      </c>
      <c r="P1056">
        <v>0</v>
      </c>
      <c r="Q1056" s="20">
        <v>2.3479238916487018E-2</v>
      </c>
      <c r="R1056" s="21">
        <v>2.6781857451403889E-2</v>
      </c>
    </row>
    <row r="1057" spans="1:18">
      <c r="A1057" t="s">
        <v>1610</v>
      </c>
      <c r="B1057" t="s">
        <v>83</v>
      </c>
      <c r="C1057" t="s">
        <v>104</v>
      </c>
      <c r="D1057">
        <v>2</v>
      </c>
      <c r="E1057" t="s">
        <v>132</v>
      </c>
      <c r="F1057" t="s">
        <v>152</v>
      </c>
      <c r="G1057" t="s">
        <v>153</v>
      </c>
      <c r="H1057" s="16">
        <v>21256</v>
      </c>
      <c r="I1057" s="16">
        <v>11987</v>
      </c>
      <c r="J1057" s="16">
        <v>881</v>
      </c>
      <c r="K1057" s="16">
        <v>7102</v>
      </c>
      <c r="L1057" s="16">
        <v>0</v>
      </c>
      <c r="M1057" s="16">
        <v>14154</v>
      </c>
      <c r="N1057" s="16">
        <v>3002</v>
      </c>
      <c r="O1057">
        <v>2</v>
      </c>
      <c r="P1057">
        <v>0</v>
      </c>
      <c r="Q1057" s="20">
        <v>0.56393488897252542</v>
      </c>
      <c r="R1057" s="21">
        <v>0.21209552070086193</v>
      </c>
    </row>
    <row r="1058" spans="1:18">
      <c r="A1058" t="s">
        <v>1611</v>
      </c>
      <c r="B1058" t="s">
        <v>89</v>
      </c>
      <c r="C1058" t="s">
        <v>162</v>
      </c>
      <c r="D1058">
        <v>3</v>
      </c>
      <c r="E1058" t="s">
        <v>143</v>
      </c>
      <c r="F1058" t="s">
        <v>133</v>
      </c>
      <c r="G1058" t="s">
        <v>134</v>
      </c>
      <c r="H1058" s="16">
        <v>21005</v>
      </c>
      <c r="I1058" s="16">
        <v>0</v>
      </c>
      <c r="J1058" s="16">
        <v>32</v>
      </c>
      <c r="K1058" s="16">
        <v>15333</v>
      </c>
      <c r="L1058" s="16">
        <v>0</v>
      </c>
      <c r="M1058" s="16">
        <v>5672</v>
      </c>
      <c r="N1058" s="16">
        <v>-458</v>
      </c>
      <c r="O1058">
        <v>1</v>
      </c>
      <c r="P1058">
        <v>0</v>
      </c>
      <c r="Q1058" s="20">
        <v>0</v>
      </c>
      <c r="R1058" s="21">
        <v>-8.0747531734837799E-2</v>
      </c>
    </row>
    <row r="1059" spans="1:18">
      <c r="A1059" t="s">
        <v>1612</v>
      </c>
      <c r="B1059" t="s">
        <v>68</v>
      </c>
      <c r="C1059" t="s">
        <v>101</v>
      </c>
      <c r="D1059">
        <v>2</v>
      </c>
      <c r="E1059" t="s">
        <v>132</v>
      </c>
      <c r="F1059" t="s">
        <v>197</v>
      </c>
      <c r="G1059" t="s">
        <v>198</v>
      </c>
      <c r="H1059" s="16">
        <v>20972</v>
      </c>
      <c r="I1059" s="16">
        <v>2071</v>
      </c>
      <c r="J1059" s="16">
        <v>0</v>
      </c>
      <c r="K1059" s="16">
        <v>2216</v>
      </c>
      <c r="L1059" s="16">
        <v>2066</v>
      </c>
      <c r="M1059" s="16">
        <v>18755</v>
      </c>
      <c r="N1059" s="16">
        <v>-502</v>
      </c>
      <c r="O1059">
        <v>1</v>
      </c>
      <c r="P1059">
        <v>0</v>
      </c>
      <c r="Q1059" s="20">
        <v>9.8750715239366779E-2</v>
      </c>
      <c r="R1059" s="21">
        <v>-2.6766195681151694E-2</v>
      </c>
    </row>
    <row r="1060" spans="1:18">
      <c r="A1060" t="s">
        <v>1613</v>
      </c>
      <c r="B1060" t="s">
        <v>89</v>
      </c>
      <c r="C1060" t="s">
        <v>162</v>
      </c>
      <c r="D1060">
        <v>3</v>
      </c>
      <c r="E1060" t="s">
        <v>143</v>
      </c>
      <c r="F1060" t="s">
        <v>133</v>
      </c>
      <c r="G1060" t="s">
        <v>134</v>
      </c>
      <c r="H1060" s="16">
        <v>20904</v>
      </c>
      <c r="I1060" s="16">
        <v>0</v>
      </c>
      <c r="J1060" s="16">
        <v>7615</v>
      </c>
      <c r="K1060" s="16">
        <v>11091</v>
      </c>
      <c r="L1060" s="16">
        <v>0</v>
      </c>
      <c r="M1060" s="16">
        <v>9812</v>
      </c>
      <c r="N1060" s="16">
        <v>-285</v>
      </c>
      <c r="O1060">
        <v>1</v>
      </c>
      <c r="P1060">
        <v>0</v>
      </c>
      <c r="Q1060" s="20">
        <v>0</v>
      </c>
      <c r="R1060" s="21">
        <v>-2.9046066041581737E-2</v>
      </c>
    </row>
    <row r="1061" spans="1:18">
      <c r="A1061" t="s">
        <v>1614</v>
      </c>
      <c r="B1061" t="s">
        <v>74</v>
      </c>
      <c r="C1061" t="s">
        <v>104</v>
      </c>
      <c r="D1061">
        <v>2</v>
      </c>
      <c r="E1061" t="s">
        <v>132</v>
      </c>
      <c r="F1061" t="s">
        <v>133</v>
      </c>
      <c r="G1061" t="s">
        <v>134</v>
      </c>
      <c r="H1061" s="16">
        <v>20436</v>
      </c>
      <c r="I1061" s="16">
        <v>12157</v>
      </c>
      <c r="J1061" s="16">
        <v>1917</v>
      </c>
      <c r="K1061" s="16">
        <v>999</v>
      </c>
      <c r="L1061" s="16">
        <v>0</v>
      </c>
      <c r="M1061" s="16">
        <v>19437</v>
      </c>
      <c r="N1061" s="16">
        <v>941</v>
      </c>
      <c r="O1061">
        <v>0</v>
      </c>
      <c r="P1061">
        <v>0</v>
      </c>
      <c r="Q1061" s="20">
        <v>0.5948815815228029</v>
      </c>
      <c r="R1061" s="21">
        <v>4.8412820908576425E-2</v>
      </c>
    </row>
    <row r="1062" spans="1:18">
      <c r="A1062" t="s">
        <v>1615</v>
      </c>
      <c r="B1062" t="s">
        <v>86</v>
      </c>
      <c r="C1062" t="s">
        <v>101</v>
      </c>
      <c r="D1062">
        <v>2</v>
      </c>
      <c r="E1062" t="s">
        <v>132</v>
      </c>
      <c r="F1062" t="s">
        <v>168</v>
      </c>
      <c r="G1062" t="s">
        <v>169</v>
      </c>
      <c r="H1062" s="16">
        <v>20122</v>
      </c>
      <c r="I1062" s="16">
        <v>9215</v>
      </c>
      <c r="J1062" s="16">
        <v>0</v>
      </c>
      <c r="K1062" s="16">
        <v>1246</v>
      </c>
      <c r="L1062" s="16">
        <v>12</v>
      </c>
      <c r="M1062" s="16">
        <v>18876</v>
      </c>
      <c r="N1062" s="16">
        <v>-88</v>
      </c>
      <c r="O1062">
        <v>2</v>
      </c>
      <c r="P1062">
        <v>0</v>
      </c>
      <c r="Q1062" s="20">
        <v>0.45795646556008351</v>
      </c>
      <c r="R1062" s="21">
        <v>-4.662004662004662E-3</v>
      </c>
    </row>
    <row r="1063" spans="1:18">
      <c r="A1063" t="s">
        <v>1616</v>
      </c>
      <c r="B1063" t="s">
        <v>74</v>
      </c>
      <c r="C1063" t="s">
        <v>104</v>
      </c>
      <c r="D1063">
        <v>2</v>
      </c>
      <c r="E1063" t="s">
        <v>132</v>
      </c>
      <c r="F1063" t="s">
        <v>1617</v>
      </c>
      <c r="G1063" t="s">
        <v>191</v>
      </c>
      <c r="H1063" s="16">
        <v>20121</v>
      </c>
      <c r="I1063" s="16">
        <v>8010</v>
      </c>
      <c r="J1063" s="16">
        <v>10127</v>
      </c>
      <c r="K1063" s="16">
        <v>17392</v>
      </c>
      <c r="L1063" s="16">
        <v>16315</v>
      </c>
      <c r="M1063" s="16">
        <v>2729</v>
      </c>
      <c r="N1063" s="16">
        <v>-100</v>
      </c>
      <c r="O1063">
        <v>0</v>
      </c>
      <c r="P1063">
        <v>0</v>
      </c>
      <c r="Q1063" s="20">
        <v>0.39809154614581782</v>
      </c>
      <c r="R1063" s="21">
        <v>-3.6643459142543057E-2</v>
      </c>
    </row>
    <row r="1064" spans="1:18">
      <c r="A1064" t="s">
        <v>1618</v>
      </c>
      <c r="B1064" t="s">
        <v>74</v>
      </c>
      <c r="C1064" t="s">
        <v>104</v>
      </c>
      <c r="D1064">
        <v>2</v>
      </c>
      <c r="E1064" t="s">
        <v>132</v>
      </c>
      <c r="F1064" t="s">
        <v>133</v>
      </c>
      <c r="G1064" t="s">
        <v>134</v>
      </c>
      <c r="H1064" s="16">
        <v>20062</v>
      </c>
      <c r="I1064" s="16">
        <v>3396</v>
      </c>
      <c r="J1064" s="16">
        <v>15170</v>
      </c>
      <c r="K1064" s="16">
        <v>4145</v>
      </c>
      <c r="L1064" s="16">
        <v>0</v>
      </c>
      <c r="M1064" s="16">
        <v>15917</v>
      </c>
      <c r="N1064" s="16">
        <v>887</v>
      </c>
      <c r="O1064">
        <v>0</v>
      </c>
      <c r="P1064">
        <v>0</v>
      </c>
      <c r="Q1064" s="20">
        <v>0.16927524673512112</v>
      </c>
      <c r="R1064" s="21">
        <v>5.572658164226927E-2</v>
      </c>
    </row>
    <row r="1065" spans="1:18">
      <c r="A1065" t="s">
        <v>1619</v>
      </c>
      <c r="B1065" t="s">
        <v>74</v>
      </c>
      <c r="C1065" t="s">
        <v>104</v>
      </c>
      <c r="D1065">
        <v>2</v>
      </c>
      <c r="E1065" t="s">
        <v>132</v>
      </c>
      <c r="F1065" t="s">
        <v>1620</v>
      </c>
      <c r="G1065" t="s">
        <v>134</v>
      </c>
      <c r="H1065" s="16">
        <v>20060</v>
      </c>
      <c r="I1065" s="16">
        <v>16849</v>
      </c>
      <c r="J1065" s="16">
        <v>3139</v>
      </c>
      <c r="K1065" s="16">
        <v>399</v>
      </c>
      <c r="L1065" s="16">
        <v>0</v>
      </c>
      <c r="M1065" s="16">
        <v>19661</v>
      </c>
      <c r="N1065" s="16">
        <v>1195</v>
      </c>
      <c r="O1065">
        <v>0</v>
      </c>
      <c r="P1065">
        <v>2</v>
      </c>
      <c r="Q1065" s="20">
        <v>0.83993020937188434</v>
      </c>
      <c r="R1065" s="21">
        <v>6.078022481053863E-2</v>
      </c>
    </row>
    <row r="1066" spans="1:18">
      <c r="A1066" t="s">
        <v>1621</v>
      </c>
      <c r="B1066" t="s">
        <v>74</v>
      </c>
      <c r="C1066" t="s">
        <v>104</v>
      </c>
      <c r="D1066">
        <v>2</v>
      </c>
      <c r="E1066" t="s">
        <v>132</v>
      </c>
      <c r="F1066" t="s">
        <v>168</v>
      </c>
      <c r="G1066" t="s">
        <v>169</v>
      </c>
      <c r="H1066" s="16">
        <v>20029</v>
      </c>
      <c r="I1066" s="16">
        <v>7013</v>
      </c>
      <c r="J1066" s="16">
        <v>2267</v>
      </c>
      <c r="K1066" s="16">
        <v>10091</v>
      </c>
      <c r="L1066" s="16">
        <v>9006</v>
      </c>
      <c r="M1066" s="16">
        <v>9938</v>
      </c>
      <c r="N1066" s="16">
        <v>392</v>
      </c>
      <c r="O1066">
        <v>0</v>
      </c>
      <c r="P1066">
        <v>0</v>
      </c>
      <c r="Q1066" s="20">
        <v>0.35014229367417243</v>
      </c>
      <c r="R1066" s="21">
        <v>3.9444556248742199E-2</v>
      </c>
    </row>
    <row r="1067" spans="1:18">
      <c r="A1067" t="s">
        <v>1622</v>
      </c>
      <c r="B1067" t="s">
        <v>83</v>
      </c>
      <c r="C1067" t="s">
        <v>104</v>
      </c>
      <c r="D1067">
        <v>2</v>
      </c>
      <c r="E1067" t="s">
        <v>132</v>
      </c>
      <c r="F1067" t="s">
        <v>240</v>
      </c>
      <c r="G1067" t="s">
        <v>211</v>
      </c>
      <c r="H1067" s="16">
        <v>19896</v>
      </c>
      <c r="I1067" s="16">
        <v>1875</v>
      </c>
      <c r="J1067" s="16">
        <v>0</v>
      </c>
      <c r="K1067" s="16">
        <v>12946</v>
      </c>
      <c r="L1067" s="16">
        <v>8573</v>
      </c>
      <c r="M1067" s="16">
        <v>6950</v>
      </c>
      <c r="N1067" s="16">
        <v>-33</v>
      </c>
      <c r="O1067">
        <v>2</v>
      </c>
      <c r="P1067">
        <v>0</v>
      </c>
      <c r="Q1067" s="20">
        <v>9.4240048250904707E-2</v>
      </c>
      <c r="R1067" s="21">
        <v>-4.7482014388489212E-3</v>
      </c>
    </row>
    <row r="1068" spans="1:18">
      <c r="A1068" t="s">
        <v>1623</v>
      </c>
      <c r="B1068" t="s">
        <v>83</v>
      </c>
      <c r="C1068" t="s">
        <v>104</v>
      </c>
      <c r="D1068">
        <v>2</v>
      </c>
      <c r="E1068" t="s">
        <v>132</v>
      </c>
      <c r="F1068" t="s">
        <v>133</v>
      </c>
      <c r="G1068" t="s">
        <v>134</v>
      </c>
      <c r="H1068" s="16">
        <v>19811</v>
      </c>
      <c r="I1068" s="16">
        <v>0</v>
      </c>
      <c r="J1068" s="16">
        <v>19274</v>
      </c>
      <c r="K1068" s="16">
        <v>897</v>
      </c>
      <c r="L1068" s="16">
        <v>0</v>
      </c>
      <c r="M1068" s="16">
        <v>18914</v>
      </c>
      <c r="N1068" s="16">
        <v>678</v>
      </c>
      <c r="O1068">
        <v>2</v>
      </c>
      <c r="P1068">
        <v>0</v>
      </c>
      <c r="Q1068" s="20">
        <v>0</v>
      </c>
      <c r="R1068" s="21">
        <v>3.584646293750661E-2</v>
      </c>
    </row>
    <row r="1069" spans="1:18">
      <c r="A1069" t="s">
        <v>1624</v>
      </c>
      <c r="B1069" t="s">
        <v>83</v>
      </c>
      <c r="C1069" t="s">
        <v>101</v>
      </c>
      <c r="D1069">
        <v>3</v>
      </c>
      <c r="E1069" t="s">
        <v>143</v>
      </c>
      <c r="F1069" t="s">
        <v>133</v>
      </c>
      <c r="G1069" t="s">
        <v>134</v>
      </c>
      <c r="H1069" s="16">
        <v>19773</v>
      </c>
      <c r="I1069" s="16">
        <v>584</v>
      </c>
      <c r="J1069" s="16">
        <v>16007</v>
      </c>
      <c r="K1069" s="16">
        <v>1015</v>
      </c>
      <c r="L1069" s="16">
        <v>0</v>
      </c>
      <c r="M1069" s="16">
        <v>18758</v>
      </c>
      <c r="N1069" s="16">
        <v>831</v>
      </c>
      <c r="O1069">
        <v>2</v>
      </c>
      <c r="P1069">
        <v>0</v>
      </c>
      <c r="Q1069" s="20">
        <v>2.9535224801496989E-2</v>
      </c>
      <c r="R1069" s="21">
        <v>4.4301098198102143E-2</v>
      </c>
    </row>
    <row r="1070" spans="1:18">
      <c r="A1070" t="s">
        <v>1625</v>
      </c>
      <c r="B1070" t="s">
        <v>74</v>
      </c>
      <c r="C1070" t="s">
        <v>104</v>
      </c>
      <c r="D1070">
        <v>2</v>
      </c>
      <c r="E1070" t="s">
        <v>132</v>
      </c>
      <c r="F1070" t="s">
        <v>1626</v>
      </c>
      <c r="G1070" t="s">
        <v>191</v>
      </c>
      <c r="H1070" s="16">
        <v>19742</v>
      </c>
      <c r="I1070" s="16">
        <v>5235</v>
      </c>
      <c r="J1070" s="16">
        <v>12764</v>
      </c>
      <c r="K1070" s="16">
        <v>9348</v>
      </c>
      <c r="L1070" s="16">
        <v>7119</v>
      </c>
      <c r="M1070" s="16">
        <v>10394</v>
      </c>
      <c r="N1070" s="16">
        <v>468</v>
      </c>
      <c r="O1070">
        <v>0</v>
      </c>
      <c r="P1070">
        <v>0</v>
      </c>
      <c r="Q1070" s="20">
        <v>0.26517070205652921</v>
      </c>
      <c r="R1070" s="21">
        <v>4.5025976524918222E-2</v>
      </c>
    </row>
    <row r="1071" spans="1:18">
      <c r="A1071" t="s">
        <v>1627</v>
      </c>
      <c r="B1071" t="s">
        <v>74</v>
      </c>
      <c r="C1071" t="s">
        <v>104</v>
      </c>
      <c r="D1071">
        <v>2</v>
      </c>
      <c r="E1071" t="s">
        <v>132</v>
      </c>
      <c r="F1071" t="s">
        <v>190</v>
      </c>
      <c r="G1071" t="s">
        <v>191</v>
      </c>
      <c r="H1071" s="16">
        <v>19739</v>
      </c>
      <c r="I1071" s="16">
        <v>12725</v>
      </c>
      <c r="J1071" s="16">
        <v>4115</v>
      </c>
      <c r="K1071" s="16">
        <v>1795</v>
      </c>
      <c r="L1071" s="16">
        <v>0</v>
      </c>
      <c r="M1071" s="16">
        <v>17945</v>
      </c>
      <c r="N1071" s="16">
        <v>339</v>
      </c>
      <c r="O1071">
        <v>0</v>
      </c>
      <c r="P1071">
        <v>1</v>
      </c>
      <c r="Q1071" s="20">
        <v>0.64466285019504532</v>
      </c>
      <c r="R1071" s="21">
        <v>1.8891056004458066E-2</v>
      </c>
    </row>
    <row r="1072" spans="1:18">
      <c r="A1072" t="s">
        <v>1628</v>
      </c>
      <c r="B1072" t="s">
        <v>83</v>
      </c>
      <c r="C1072" t="s">
        <v>104</v>
      </c>
      <c r="D1072">
        <v>2</v>
      </c>
      <c r="E1072" t="s">
        <v>132</v>
      </c>
      <c r="F1072" t="s">
        <v>133</v>
      </c>
      <c r="G1072" t="s">
        <v>134</v>
      </c>
      <c r="H1072" s="16">
        <v>19558</v>
      </c>
      <c r="I1072" s="16">
        <v>342</v>
      </c>
      <c r="J1072" s="16">
        <v>0</v>
      </c>
      <c r="K1072" s="16">
        <v>3480</v>
      </c>
      <c r="L1072" s="16">
        <v>492</v>
      </c>
      <c r="M1072" s="16">
        <v>16078</v>
      </c>
      <c r="N1072" s="16">
        <v>4657</v>
      </c>
      <c r="O1072">
        <v>2</v>
      </c>
      <c r="P1072">
        <v>0</v>
      </c>
      <c r="Q1072" s="20">
        <v>1.74864505573167E-2</v>
      </c>
      <c r="R1072" s="21">
        <v>0.28965045403657169</v>
      </c>
    </row>
    <row r="1073" spans="1:18">
      <c r="A1073" t="s">
        <v>1629</v>
      </c>
      <c r="B1073" t="s">
        <v>86</v>
      </c>
      <c r="C1073" t="s">
        <v>101</v>
      </c>
      <c r="D1073">
        <v>2</v>
      </c>
      <c r="E1073" t="s">
        <v>132</v>
      </c>
      <c r="F1073" t="s">
        <v>145</v>
      </c>
      <c r="G1073" t="s">
        <v>146</v>
      </c>
      <c r="H1073" s="16">
        <v>19523</v>
      </c>
      <c r="I1073" s="16">
        <v>0</v>
      </c>
      <c r="J1073" s="16">
        <v>13747</v>
      </c>
      <c r="K1073" s="16">
        <v>3878</v>
      </c>
      <c r="L1073" s="16">
        <v>0</v>
      </c>
      <c r="M1073" s="16">
        <v>15645</v>
      </c>
      <c r="N1073" s="16">
        <v>1961</v>
      </c>
      <c r="O1073">
        <v>3</v>
      </c>
      <c r="P1073">
        <v>0</v>
      </c>
      <c r="Q1073" s="20">
        <v>0</v>
      </c>
      <c r="R1073" s="21">
        <v>0.12534356024288909</v>
      </c>
    </row>
    <row r="1074" spans="1:18">
      <c r="A1074" t="s">
        <v>1630</v>
      </c>
      <c r="B1074" t="s">
        <v>74</v>
      </c>
      <c r="C1074" t="s">
        <v>104</v>
      </c>
      <c r="D1074">
        <v>2</v>
      </c>
      <c r="E1074" t="s">
        <v>132</v>
      </c>
      <c r="F1074" t="s">
        <v>431</v>
      </c>
      <c r="G1074" t="s">
        <v>169</v>
      </c>
      <c r="H1074" s="16">
        <v>19518</v>
      </c>
      <c r="I1074" s="16">
        <v>14400</v>
      </c>
      <c r="J1074" s="16">
        <v>4004</v>
      </c>
      <c r="K1074" s="16">
        <v>1824</v>
      </c>
      <c r="L1074" s="16">
        <v>0</v>
      </c>
      <c r="M1074" s="16">
        <v>17694</v>
      </c>
      <c r="N1074" s="16">
        <v>902</v>
      </c>
      <c r="O1074">
        <v>0</v>
      </c>
      <c r="P1074">
        <v>0</v>
      </c>
      <c r="Q1074" s="20">
        <v>0.73778051029818625</v>
      </c>
      <c r="R1074" s="21">
        <v>5.0977732564711199E-2</v>
      </c>
    </row>
    <row r="1075" spans="1:18">
      <c r="A1075" t="s">
        <v>1631</v>
      </c>
      <c r="B1075" t="s">
        <v>74</v>
      </c>
      <c r="C1075" t="s">
        <v>104</v>
      </c>
      <c r="D1075">
        <v>2</v>
      </c>
      <c r="E1075" t="s">
        <v>132</v>
      </c>
      <c r="F1075" t="s">
        <v>133</v>
      </c>
      <c r="G1075" t="s">
        <v>134</v>
      </c>
      <c r="H1075" s="16">
        <v>18914</v>
      </c>
      <c r="I1075" s="16">
        <v>13050</v>
      </c>
      <c r="J1075" s="16">
        <v>5619</v>
      </c>
      <c r="K1075" s="16">
        <v>2395</v>
      </c>
      <c r="L1075" s="16">
        <v>0</v>
      </c>
      <c r="M1075" s="16">
        <v>16519</v>
      </c>
      <c r="N1075" s="16">
        <v>1198</v>
      </c>
      <c r="O1075">
        <v>0</v>
      </c>
      <c r="P1075">
        <v>0</v>
      </c>
      <c r="Q1075" s="20">
        <v>0.68996510521306964</v>
      </c>
      <c r="R1075" s="21">
        <v>7.2522549791149582E-2</v>
      </c>
    </row>
    <row r="1076" spans="1:18">
      <c r="A1076" t="s">
        <v>1632</v>
      </c>
      <c r="B1076" t="s">
        <v>74</v>
      </c>
      <c r="C1076" t="s">
        <v>104</v>
      </c>
      <c r="D1076">
        <v>2</v>
      </c>
      <c r="E1076" t="s">
        <v>132</v>
      </c>
      <c r="F1076" t="s">
        <v>1633</v>
      </c>
      <c r="G1076" t="s">
        <v>134</v>
      </c>
      <c r="H1076" s="16">
        <v>18554</v>
      </c>
      <c r="I1076" s="16">
        <v>13401</v>
      </c>
      <c r="J1076" s="16">
        <v>4017</v>
      </c>
      <c r="K1076" s="16">
        <v>760</v>
      </c>
      <c r="L1076" s="16">
        <v>0</v>
      </c>
      <c r="M1076" s="16">
        <v>17794</v>
      </c>
      <c r="N1076" s="16">
        <v>1021</v>
      </c>
      <c r="O1076">
        <v>0</v>
      </c>
      <c r="P1076">
        <v>0</v>
      </c>
      <c r="Q1076" s="20">
        <v>0.72227013043009591</v>
      </c>
      <c r="R1076" s="21">
        <v>5.7378891761267842E-2</v>
      </c>
    </row>
    <row r="1077" spans="1:18">
      <c r="A1077" t="s">
        <v>1634</v>
      </c>
      <c r="B1077" t="s">
        <v>86</v>
      </c>
      <c r="C1077" t="s">
        <v>101</v>
      </c>
      <c r="D1077">
        <v>2</v>
      </c>
      <c r="E1077" t="s">
        <v>132</v>
      </c>
      <c r="F1077" t="s">
        <v>133</v>
      </c>
      <c r="G1077" t="s">
        <v>134</v>
      </c>
      <c r="H1077" s="16">
        <v>18545</v>
      </c>
      <c r="I1077" s="16">
        <v>0</v>
      </c>
      <c r="J1077" s="16">
        <v>2048</v>
      </c>
      <c r="K1077" s="16">
        <v>9330</v>
      </c>
      <c r="L1077" s="16">
        <v>1217</v>
      </c>
      <c r="M1077" s="16">
        <v>9215</v>
      </c>
      <c r="N1077" s="16">
        <v>-3275</v>
      </c>
      <c r="O1077">
        <v>2</v>
      </c>
      <c r="P1077">
        <v>0</v>
      </c>
      <c r="Q1077" s="20">
        <v>0</v>
      </c>
      <c r="R1077" s="21">
        <v>-0.35539880629408571</v>
      </c>
    </row>
    <row r="1078" spans="1:18">
      <c r="A1078" t="s">
        <v>1635</v>
      </c>
      <c r="B1078" t="s">
        <v>83</v>
      </c>
      <c r="C1078" t="s">
        <v>104</v>
      </c>
      <c r="D1078">
        <v>2</v>
      </c>
      <c r="E1078" t="s">
        <v>132</v>
      </c>
      <c r="F1078" t="s">
        <v>133</v>
      </c>
      <c r="G1078" t="s">
        <v>134</v>
      </c>
      <c r="H1078" s="16">
        <v>18497</v>
      </c>
      <c r="I1078" s="16">
        <v>220</v>
      </c>
      <c r="J1078" s="16">
        <v>10621</v>
      </c>
      <c r="K1078" s="16">
        <v>7553</v>
      </c>
      <c r="L1078" s="16">
        <v>6175</v>
      </c>
      <c r="M1078" s="16">
        <v>10944</v>
      </c>
      <c r="N1078" s="16">
        <v>712</v>
      </c>
      <c r="O1078">
        <v>2</v>
      </c>
      <c r="P1078">
        <v>0</v>
      </c>
      <c r="Q1078" s="20">
        <v>1.1893820619559929E-2</v>
      </c>
      <c r="R1078" s="21">
        <v>6.5058479532163746E-2</v>
      </c>
    </row>
    <row r="1079" spans="1:18">
      <c r="A1079" t="s">
        <v>1636</v>
      </c>
      <c r="B1079" t="s">
        <v>83</v>
      </c>
      <c r="C1079" t="s">
        <v>101</v>
      </c>
      <c r="D1079">
        <v>2</v>
      </c>
      <c r="E1079" t="s">
        <v>132</v>
      </c>
      <c r="F1079" t="s">
        <v>133</v>
      </c>
      <c r="G1079" t="s">
        <v>134</v>
      </c>
      <c r="H1079" s="16">
        <v>18474</v>
      </c>
      <c r="I1079" s="16">
        <v>103</v>
      </c>
      <c r="J1079" s="16">
        <v>11784</v>
      </c>
      <c r="K1079" s="16">
        <v>1108</v>
      </c>
      <c r="L1079" s="16">
        <v>0</v>
      </c>
      <c r="M1079" s="16">
        <v>17366</v>
      </c>
      <c r="N1079" s="16">
        <v>181</v>
      </c>
      <c r="O1079">
        <v>4</v>
      </c>
      <c r="P1079">
        <v>0</v>
      </c>
      <c r="Q1079" s="20">
        <v>5.5754032694597814E-3</v>
      </c>
      <c r="R1079" s="21">
        <v>1.0422664977542325E-2</v>
      </c>
    </row>
    <row r="1080" spans="1:18">
      <c r="A1080" t="s">
        <v>1637</v>
      </c>
      <c r="B1080" t="s">
        <v>83</v>
      </c>
      <c r="C1080" t="s">
        <v>104</v>
      </c>
      <c r="D1080">
        <v>2</v>
      </c>
      <c r="E1080" t="s">
        <v>132</v>
      </c>
      <c r="F1080" t="s">
        <v>152</v>
      </c>
      <c r="G1080" t="s">
        <v>153</v>
      </c>
      <c r="H1080" s="16">
        <v>18324</v>
      </c>
      <c r="I1080" s="16">
        <v>0</v>
      </c>
      <c r="J1080" s="16">
        <v>124</v>
      </c>
      <c r="K1080" s="16">
        <v>7188</v>
      </c>
      <c r="L1080" s="16">
        <v>5497</v>
      </c>
      <c r="M1080" s="16">
        <v>11136</v>
      </c>
      <c r="N1080" s="16">
        <v>897</v>
      </c>
      <c r="O1080">
        <v>2</v>
      </c>
      <c r="P1080">
        <v>0</v>
      </c>
      <c r="Q1080" s="20">
        <v>0</v>
      </c>
      <c r="R1080" s="21">
        <v>8.0549568965517238E-2</v>
      </c>
    </row>
    <row r="1081" spans="1:18">
      <c r="A1081" t="s">
        <v>1638</v>
      </c>
      <c r="B1081" t="s">
        <v>74</v>
      </c>
      <c r="C1081" t="s">
        <v>104</v>
      </c>
      <c r="D1081">
        <v>2</v>
      </c>
      <c r="E1081" t="s">
        <v>132</v>
      </c>
      <c r="F1081" t="s">
        <v>1617</v>
      </c>
      <c r="G1081" t="s">
        <v>191</v>
      </c>
      <c r="H1081" s="16">
        <v>18255</v>
      </c>
      <c r="I1081" s="16">
        <v>10793</v>
      </c>
      <c r="J1081" s="16">
        <v>7135</v>
      </c>
      <c r="K1081" s="16">
        <v>12929</v>
      </c>
      <c r="L1081" s="16">
        <v>12248</v>
      </c>
      <c r="M1081" s="16">
        <v>5326</v>
      </c>
      <c r="N1081" s="16">
        <v>79</v>
      </c>
      <c r="O1081">
        <v>0</v>
      </c>
      <c r="P1081">
        <v>1</v>
      </c>
      <c r="Q1081" s="20">
        <v>0.59123527800602571</v>
      </c>
      <c r="R1081" s="21">
        <v>1.4832895230942547E-2</v>
      </c>
    </row>
    <row r="1082" spans="1:18">
      <c r="A1082" t="s">
        <v>1639</v>
      </c>
      <c r="B1082" t="s">
        <v>86</v>
      </c>
      <c r="C1082" t="s">
        <v>101</v>
      </c>
      <c r="D1082">
        <v>2</v>
      </c>
      <c r="E1082" t="s">
        <v>132</v>
      </c>
      <c r="F1082" t="s">
        <v>152</v>
      </c>
      <c r="G1082" t="s">
        <v>153</v>
      </c>
      <c r="H1082" s="16">
        <v>18226</v>
      </c>
      <c r="I1082" s="16">
        <v>0</v>
      </c>
      <c r="J1082" s="16">
        <v>0</v>
      </c>
      <c r="K1082" s="16">
        <v>15827</v>
      </c>
      <c r="L1082" s="16">
        <v>0</v>
      </c>
      <c r="M1082" s="16">
        <v>2398</v>
      </c>
      <c r="N1082" s="16">
        <v>-142</v>
      </c>
      <c r="O1082">
        <v>2</v>
      </c>
      <c r="P1082">
        <v>0</v>
      </c>
      <c r="Q1082" s="20">
        <v>0</v>
      </c>
      <c r="R1082" s="21">
        <v>-5.9216013344453713E-2</v>
      </c>
    </row>
    <row r="1083" spans="1:18">
      <c r="A1083" t="s">
        <v>1640</v>
      </c>
      <c r="B1083" t="s">
        <v>83</v>
      </c>
      <c r="C1083" t="s">
        <v>104</v>
      </c>
      <c r="D1083">
        <v>2</v>
      </c>
      <c r="E1083" t="s">
        <v>132</v>
      </c>
      <c r="F1083" t="s">
        <v>133</v>
      </c>
      <c r="G1083" t="s">
        <v>134</v>
      </c>
      <c r="H1083" s="16">
        <v>18119</v>
      </c>
      <c r="I1083" s="16">
        <v>0</v>
      </c>
      <c r="J1083" s="16">
        <v>13544</v>
      </c>
      <c r="K1083" s="16">
        <v>1579</v>
      </c>
      <c r="L1083" s="16">
        <v>0</v>
      </c>
      <c r="M1083" s="16">
        <v>16540</v>
      </c>
      <c r="N1083" s="16">
        <v>-809</v>
      </c>
      <c r="O1083">
        <v>2</v>
      </c>
      <c r="P1083">
        <v>0</v>
      </c>
      <c r="Q1083" s="20">
        <v>0</v>
      </c>
      <c r="R1083" s="21">
        <v>-4.8911729141475214E-2</v>
      </c>
    </row>
    <row r="1084" spans="1:18">
      <c r="A1084" t="s">
        <v>1641</v>
      </c>
      <c r="B1084" t="s">
        <v>74</v>
      </c>
      <c r="C1084" t="s">
        <v>104</v>
      </c>
      <c r="D1084">
        <v>2</v>
      </c>
      <c r="E1084" t="s">
        <v>132</v>
      </c>
      <c r="F1084" t="s">
        <v>168</v>
      </c>
      <c r="G1084" t="s">
        <v>169</v>
      </c>
      <c r="H1084" s="16">
        <v>18081</v>
      </c>
      <c r="I1084" s="16">
        <v>8151</v>
      </c>
      <c r="J1084" s="16">
        <v>9679</v>
      </c>
      <c r="K1084" s="16">
        <v>956</v>
      </c>
      <c r="L1084" s="16">
        <v>0</v>
      </c>
      <c r="M1084" s="16">
        <v>17125</v>
      </c>
      <c r="N1084" s="16">
        <v>713</v>
      </c>
      <c r="O1084">
        <v>0</v>
      </c>
      <c r="P1084">
        <v>0</v>
      </c>
      <c r="Q1084" s="20">
        <v>0.45080471212875395</v>
      </c>
      <c r="R1084" s="21">
        <v>4.1635036496350364E-2</v>
      </c>
    </row>
    <row r="1085" spans="1:18">
      <c r="A1085" t="s">
        <v>1642</v>
      </c>
      <c r="B1085" t="s">
        <v>74</v>
      </c>
      <c r="C1085" t="s">
        <v>104</v>
      </c>
      <c r="D1085">
        <v>2</v>
      </c>
      <c r="E1085" t="s">
        <v>132</v>
      </c>
      <c r="F1085" t="s">
        <v>133</v>
      </c>
      <c r="G1085" t="s">
        <v>134</v>
      </c>
      <c r="H1085" s="16">
        <v>18052</v>
      </c>
      <c r="I1085" s="16">
        <v>13763</v>
      </c>
      <c r="J1085" s="16">
        <v>4139</v>
      </c>
      <c r="K1085" s="16">
        <v>242</v>
      </c>
      <c r="L1085" s="16">
        <v>0</v>
      </c>
      <c r="M1085" s="16">
        <v>17810</v>
      </c>
      <c r="N1085" s="16">
        <v>908</v>
      </c>
      <c r="O1085">
        <v>0</v>
      </c>
      <c r="P1085">
        <v>0</v>
      </c>
      <c r="Q1085" s="20">
        <v>0.76240859738533129</v>
      </c>
      <c r="R1085" s="21">
        <v>5.0982594048287477E-2</v>
      </c>
    </row>
    <row r="1086" spans="1:18">
      <c r="A1086" t="s">
        <v>1643</v>
      </c>
      <c r="B1086" t="s">
        <v>83</v>
      </c>
      <c r="C1086" t="s">
        <v>104</v>
      </c>
      <c r="D1086">
        <v>2</v>
      </c>
      <c r="E1086" t="s">
        <v>132</v>
      </c>
      <c r="F1086" t="s">
        <v>810</v>
      </c>
      <c r="G1086" t="s">
        <v>134</v>
      </c>
      <c r="H1086" s="16">
        <v>18010</v>
      </c>
      <c r="I1086" s="16">
        <v>107</v>
      </c>
      <c r="J1086" s="16">
        <v>7819</v>
      </c>
      <c r="K1086" s="16">
        <v>7796</v>
      </c>
      <c r="L1086" s="16">
        <v>0</v>
      </c>
      <c r="M1086" s="16">
        <v>10215</v>
      </c>
      <c r="N1086" s="16">
        <v>34</v>
      </c>
      <c r="O1086">
        <v>2</v>
      </c>
      <c r="P1086">
        <v>0</v>
      </c>
      <c r="Q1086" s="20">
        <v>5.9411438089950024E-3</v>
      </c>
      <c r="R1086" s="21">
        <v>3.3284385707293197E-3</v>
      </c>
    </row>
    <row r="1087" spans="1:18">
      <c r="A1087" t="s">
        <v>1644</v>
      </c>
      <c r="B1087" t="s">
        <v>74</v>
      </c>
      <c r="C1087" t="s">
        <v>104</v>
      </c>
      <c r="D1087">
        <v>2</v>
      </c>
      <c r="E1087" t="s">
        <v>132</v>
      </c>
      <c r="F1087" t="s">
        <v>168</v>
      </c>
      <c r="G1087" t="s">
        <v>169</v>
      </c>
      <c r="H1087" s="16">
        <v>18010</v>
      </c>
      <c r="I1087" s="16">
        <v>10247</v>
      </c>
      <c r="J1087" s="16">
        <v>7472</v>
      </c>
      <c r="K1087" s="16">
        <v>1900</v>
      </c>
      <c r="L1087" s="16">
        <v>0</v>
      </c>
      <c r="M1087" s="16">
        <v>16110</v>
      </c>
      <c r="N1087" s="16">
        <v>430</v>
      </c>
      <c r="O1087">
        <v>0</v>
      </c>
      <c r="P1087">
        <v>0</v>
      </c>
      <c r="Q1087" s="20">
        <v>0.56896168795113822</v>
      </c>
      <c r="R1087" s="21">
        <v>2.6691495965238982E-2</v>
      </c>
    </row>
    <row r="1088" spans="1:18">
      <c r="A1088" t="s">
        <v>1645</v>
      </c>
      <c r="B1088" t="s">
        <v>83</v>
      </c>
      <c r="C1088" t="s">
        <v>101</v>
      </c>
      <c r="D1088">
        <v>2</v>
      </c>
      <c r="E1088" t="s">
        <v>132</v>
      </c>
      <c r="F1088" t="s">
        <v>205</v>
      </c>
      <c r="G1088" t="s">
        <v>206</v>
      </c>
      <c r="H1088" s="16">
        <v>17967</v>
      </c>
      <c r="I1088" s="16">
        <v>0</v>
      </c>
      <c r="J1088" s="16">
        <v>8440</v>
      </c>
      <c r="K1088" s="16">
        <v>9233</v>
      </c>
      <c r="L1088" s="16">
        <v>9084</v>
      </c>
      <c r="M1088" s="16">
        <v>8733</v>
      </c>
      <c r="N1088" s="16">
        <v>484</v>
      </c>
      <c r="O1088">
        <v>2</v>
      </c>
      <c r="P1088">
        <v>0</v>
      </c>
      <c r="Q1088" s="20">
        <v>0</v>
      </c>
      <c r="R1088" s="21">
        <v>5.5421962670330928E-2</v>
      </c>
    </row>
    <row r="1089" spans="1:18">
      <c r="A1089" t="s">
        <v>1646</v>
      </c>
      <c r="B1089" t="s">
        <v>83</v>
      </c>
      <c r="C1089" t="s">
        <v>104</v>
      </c>
      <c r="D1089">
        <v>2</v>
      </c>
      <c r="E1089" t="s">
        <v>132</v>
      </c>
      <c r="F1089" t="s">
        <v>133</v>
      </c>
      <c r="G1089" t="s">
        <v>134</v>
      </c>
      <c r="H1089" s="16">
        <v>17901</v>
      </c>
      <c r="I1089" s="16">
        <v>0</v>
      </c>
      <c r="J1089" s="16">
        <v>5753</v>
      </c>
      <c r="K1089" s="16">
        <v>9179</v>
      </c>
      <c r="L1089" s="16">
        <v>3821</v>
      </c>
      <c r="M1089" s="16">
        <v>8722</v>
      </c>
      <c r="N1089" s="16">
        <v>1002</v>
      </c>
      <c r="O1089">
        <v>2</v>
      </c>
      <c r="P1089">
        <v>0</v>
      </c>
      <c r="Q1089" s="20">
        <v>0</v>
      </c>
      <c r="R1089" s="21">
        <v>0.1148819078193075</v>
      </c>
    </row>
    <row r="1090" spans="1:18">
      <c r="A1090" t="s">
        <v>1647</v>
      </c>
      <c r="B1090" t="s">
        <v>74</v>
      </c>
      <c r="C1090" t="s">
        <v>104</v>
      </c>
      <c r="D1090">
        <v>2</v>
      </c>
      <c r="E1090" t="s">
        <v>132</v>
      </c>
      <c r="F1090" t="s">
        <v>1334</v>
      </c>
      <c r="G1090" t="s">
        <v>169</v>
      </c>
      <c r="H1090" s="16">
        <v>17680</v>
      </c>
      <c r="I1090" s="16">
        <v>13948</v>
      </c>
      <c r="J1090" s="16">
        <v>0</v>
      </c>
      <c r="K1090" s="16">
        <v>820</v>
      </c>
      <c r="L1090" s="16">
        <v>0</v>
      </c>
      <c r="M1090" s="16">
        <v>16860</v>
      </c>
      <c r="N1090" s="16">
        <v>936</v>
      </c>
      <c r="O1090">
        <v>0</v>
      </c>
      <c r="P1090">
        <v>0</v>
      </c>
      <c r="Q1090" s="20">
        <v>0.78891402714932124</v>
      </c>
      <c r="R1090" s="21">
        <v>5.5516014234875448E-2</v>
      </c>
    </row>
    <row r="1091" spans="1:18">
      <c r="A1091" t="s">
        <v>1648</v>
      </c>
      <c r="B1091" t="s">
        <v>86</v>
      </c>
      <c r="C1091" t="s">
        <v>101</v>
      </c>
      <c r="D1091">
        <v>2</v>
      </c>
      <c r="E1091" t="s">
        <v>132</v>
      </c>
      <c r="F1091" t="s">
        <v>133</v>
      </c>
      <c r="G1091" t="s">
        <v>134</v>
      </c>
      <c r="H1091" s="16">
        <v>17667</v>
      </c>
      <c r="I1091" s="16">
        <v>0</v>
      </c>
      <c r="J1091" s="16">
        <v>0</v>
      </c>
      <c r="K1091" s="16">
        <v>13142</v>
      </c>
      <c r="L1091" s="16">
        <v>0</v>
      </c>
      <c r="M1091" s="16">
        <v>4526</v>
      </c>
      <c r="N1091" s="16">
        <v>1495</v>
      </c>
      <c r="O1091">
        <v>4</v>
      </c>
      <c r="P1091">
        <v>0</v>
      </c>
      <c r="Q1091" s="20">
        <v>0</v>
      </c>
      <c r="R1091" s="21">
        <v>0.33031374281926645</v>
      </c>
    </row>
    <row r="1092" spans="1:18">
      <c r="A1092" t="s">
        <v>1649</v>
      </c>
      <c r="B1092" t="s">
        <v>89</v>
      </c>
      <c r="C1092" t="s">
        <v>162</v>
      </c>
      <c r="D1092">
        <v>2</v>
      </c>
      <c r="E1092" t="s">
        <v>132</v>
      </c>
      <c r="F1092" t="s">
        <v>133</v>
      </c>
      <c r="G1092" t="s">
        <v>134</v>
      </c>
      <c r="H1092" s="16">
        <v>17608</v>
      </c>
      <c r="I1092" s="16">
        <v>0</v>
      </c>
      <c r="J1092" s="16">
        <v>10802</v>
      </c>
      <c r="K1092" s="16">
        <v>9444</v>
      </c>
      <c r="L1092" s="16">
        <v>4393</v>
      </c>
      <c r="M1092" s="16">
        <v>8164</v>
      </c>
      <c r="N1092" s="16">
        <v>-2802</v>
      </c>
      <c r="O1092">
        <v>1</v>
      </c>
      <c r="P1092">
        <v>0</v>
      </c>
      <c r="Q1092" s="20">
        <v>0</v>
      </c>
      <c r="R1092" s="21">
        <v>-0.34321411073003427</v>
      </c>
    </row>
    <row r="1093" spans="1:18">
      <c r="A1093" t="s">
        <v>1650</v>
      </c>
      <c r="B1093" t="s">
        <v>89</v>
      </c>
      <c r="C1093" t="s">
        <v>162</v>
      </c>
      <c r="D1093">
        <v>2</v>
      </c>
      <c r="E1093" t="s">
        <v>132</v>
      </c>
      <c r="F1093" t="s">
        <v>133</v>
      </c>
      <c r="G1093" t="s">
        <v>134</v>
      </c>
      <c r="H1093" s="16">
        <v>17586</v>
      </c>
      <c r="I1093" s="16">
        <v>266</v>
      </c>
      <c r="J1093" s="16">
        <v>0</v>
      </c>
      <c r="K1093" s="16">
        <v>13773</v>
      </c>
      <c r="L1093" s="16">
        <v>4103</v>
      </c>
      <c r="M1093" s="16">
        <v>3813</v>
      </c>
      <c r="N1093" s="16">
        <v>-2791</v>
      </c>
      <c r="O1093">
        <v>1</v>
      </c>
      <c r="P1093">
        <v>0</v>
      </c>
      <c r="Q1093" s="20">
        <v>1.5125668145115432E-2</v>
      </c>
      <c r="R1093" s="21">
        <v>-0.7319695777602937</v>
      </c>
    </row>
    <row r="1094" spans="1:18">
      <c r="A1094" t="s">
        <v>1651</v>
      </c>
      <c r="B1094" t="s">
        <v>86</v>
      </c>
      <c r="C1094" t="s">
        <v>101</v>
      </c>
      <c r="D1094">
        <v>2</v>
      </c>
      <c r="E1094" t="s">
        <v>132</v>
      </c>
      <c r="F1094" t="s">
        <v>133</v>
      </c>
      <c r="G1094" t="s">
        <v>134</v>
      </c>
      <c r="H1094" s="16">
        <v>17513</v>
      </c>
      <c r="I1094" s="16">
        <v>0</v>
      </c>
      <c r="J1094" s="16">
        <v>10</v>
      </c>
      <c r="K1094" s="16">
        <v>13860</v>
      </c>
      <c r="L1094" s="16">
        <v>8795</v>
      </c>
      <c r="M1094" s="16">
        <v>3652</v>
      </c>
      <c r="N1094" s="16">
        <v>-822</v>
      </c>
      <c r="O1094">
        <v>2</v>
      </c>
      <c r="P1094">
        <v>0</v>
      </c>
      <c r="Q1094" s="20">
        <v>0</v>
      </c>
      <c r="R1094" s="21">
        <v>-0.22508214676889376</v>
      </c>
    </row>
    <row r="1095" spans="1:18">
      <c r="A1095" t="s">
        <v>1652</v>
      </c>
      <c r="B1095" t="s">
        <v>89</v>
      </c>
      <c r="C1095" t="s">
        <v>162</v>
      </c>
      <c r="D1095">
        <v>2</v>
      </c>
      <c r="E1095" t="s">
        <v>132</v>
      </c>
      <c r="F1095" t="s">
        <v>285</v>
      </c>
      <c r="G1095" t="s">
        <v>286</v>
      </c>
      <c r="H1095" s="16">
        <v>17490</v>
      </c>
      <c r="I1095" s="16">
        <v>0</v>
      </c>
      <c r="J1095" s="16">
        <v>0</v>
      </c>
      <c r="K1095" s="16">
        <v>11828</v>
      </c>
      <c r="L1095" s="16">
        <v>8429</v>
      </c>
      <c r="M1095" s="16">
        <v>5662</v>
      </c>
      <c r="N1095" s="16">
        <v>268</v>
      </c>
      <c r="O1095">
        <v>1</v>
      </c>
      <c r="P1095">
        <v>0</v>
      </c>
      <c r="Q1095" s="20">
        <v>0</v>
      </c>
      <c r="R1095" s="21">
        <v>4.7333097845284354E-2</v>
      </c>
    </row>
    <row r="1096" spans="1:18">
      <c r="A1096" t="s">
        <v>1653</v>
      </c>
      <c r="B1096" t="s">
        <v>74</v>
      </c>
      <c r="C1096" t="s">
        <v>104</v>
      </c>
      <c r="D1096">
        <v>2</v>
      </c>
      <c r="E1096" t="s">
        <v>132</v>
      </c>
      <c r="F1096" t="s">
        <v>133</v>
      </c>
      <c r="G1096" t="s">
        <v>134</v>
      </c>
      <c r="H1096" s="16">
        <v>17467</v>
      </c>
      <c r="I1096" s="16">
        <v>11581</v>
      </c>
      <c r="J1096" s="16">
        <v>5044</v>
      </c>
      <c r="K1096" s="16">
        <v>411</v>
      </c>
      <c r="L1096" s="16">
        <v>0</v>
      </c>
      <c r="M1096" s="16">
        <v>17056</v>
      </c>
      <c r="N1096" s="16">
        <v>789</v>
      </c>
      <c r="O1096">
        <v>0</v>
      </c>
      <c r="P1096">
        <v>0</v>
      </c>
      <c r="Q1096" s="20">
        <v>0.66302169805919731</v>
      </c>
      <c r="R1096" s="21">
        <v>4.62593808630394E-2</v>
      </c>
    </row>
    <row r="1097" spans="1:18">
      <c r="A1097" t="s">
        <v>1654</v>
      </c>
      <c r="B1097" t="s">
        <v>74</v>
      </c>
      <c r="C1097" t="s">
        <v>104</v>
      </c>
      <c r="D1097">
        <v>2</v>
      </c>
      <c r="E1097" t="s">
        <v>132</v>
      </c>
      <c r="F1097" t="s">
        <v>152</v>
      </c>
      <c r="G1097" t="s">
        <v>153</v>
      </c>
      <c r="H1097" s="16">
        <v>17381</v>
      </c>
      <c r="I1097" s="16">
        <v>10460</v>
      </c>
      <c r="J1097" s="16">
        <v>0</v>
      </c>
      <c r="K1097" s="16">
        <v>1000</v>
      </c>
      <c r="L1097" s="16">
        <v>0</v>
      </c>
      <c r="M1097" s="16">
        <v>16381</v>
      </c>
      <c r="N1097" s="16">
        <v>1087</v>
      </c>
      <c r="O1097">
        <v>0</v>
      </c>
      <c r="P1097">
        <v>0</v>
      </c>
      <c r="Q1097" s="20">
        <v>0.60180657039295782</v>
      </c>
      <c r="R1097" s="21">
        <v>6.635736524021732E-2</v>
      </c>
    </row>
    <row r="1098" spans="1:18">
      <c r="A1098" t="s">
        <v>1655</v>
      </c>
      <c r="B1098" t="s">
        <v>89</v>
      </c>
      <c r="C1098" t="s">
        <v>162</v>
      </c>
      <c r="D1098">
        <v>2</v>
      </c>
      <c r="E1098" t="s">
        <v>132</v>
      </c>
      <c r="F1098" t="s">
        <v>145</v>
      </c>
      <c r="G1098" t="s">
        <v>146</v>
      </c>
      <c r="H1098" s="16">
        <v>17138</v>
      </c>
      <c r="I1098" s="16">
        <v>0</v>
      </c>
      <c r="J1098" s="16">
        <v>11213</v>
      </c>
      <c r="K1098" s="16">
        <v>2429</v>
      </c>
      <c r="L1098" s="16">
        <v>1312</v>
      </c>
      <c r="M1098" s="16">
        <v>14709</v>
      </c>
      <c r="N1098" s="16">
        <v>-889</v>
      </c>
      <c r="O1098">
        <v>1</v>
      </c>
      <c r="P1098">
        <v>0</v>
      </c>
      <c r="Q1098" s="20">
        <v>0</v>
      </c>
      <c r="R1098" s="21">
        <v>-6.0439186892378816E-2</v>
      </c>
    </row>
    <row r="1099" spans="1:18">
      <c r="A1099" t="s">
        <v>1656</v>
      </c>
      <c r="B1099" t="s">
        <v>74</v>
      </c>
      <c r="C1099" t="s">
        <v>104</v>
      </c>
      <c r="D1099">
        <v>2</v>
      </c>
      <c r="E1099" t="s">
        <v>132</v>
      </c>
      <c r="F1099" t="s">
        <v>1657</v>
      </c>
      <c r="G1099" t="s">
        <v>169</v>
      </c>
      <c r="H1099" s="16">
        <v>17091</v>
      </c>
      <c r="I1099" s="16">
        <v>13263</v>
      </c>
      <c r="J1099" s="16">
        <v>2352</v>
      </c>
      <c r="K1099" s="16">
        <v>3390</v>
      </c>
      <c r="L1099" s="16">
        <v>588</v>
      </c>
      <c r="M1099" s="16">
        <v>13701</v>
      </c>
      <c r="N1099" s="16">
        <v>670</v>
      </c>
      <c r="O1099">
        <v>0</v>
      </c>
      <c r="P1099">
        <v>0</v>
      </c>
      <c r="Q1099" s="20">
        <v>0.77602246796559593</v>
      </c>
      <c r="R1099" s="21">
        <v>4.8901540033574192E-2</v>
      </c>
    </row>
    <row r="1100" spans="1:18">
      <c r="A1100" t="s">
        <v>1658</v>
      </c>
      <c r="B1100" t="s">
        <v>89</v>
      </c>
      <c r="C1100" t="s">
        <v>162</v>
      </c>
      <c r="D1100">
        <v>3</v>
      </c>
      <c r="E1100" t="s">
        <v>143</v>
      </c>
      <c r="F1100" t="s">
        <v>133</v>
      </c>
      <c r="G1100" t="s">
        <v>134</v>
      </c>
      <c r="H1100" s="16">
        <v>17034</v>
      </c>
      <c r="I1100" s="16">
        <v>0</v>
      </c>
      <c r="J1100" s="16">
        <v>3273</v>
      </c>
      <c r="K1100" s="16">
        <v>2833</v>
      </c>
      <c r="L1100" s="16">
        <v>0</v>
      </c>
      <c r="M1100" s="16">
        <v>14201</v>
      </c>
      <c r="N1100" s="16">
        <v>1401</v>
      </c>
      <c r="O1100">
        <v>1</v>
      </c>
      <c r="P1100">
        <v>0</v>
      </c>
      <c r="Q1100" s="20">
        <v>0</v>
      </c>
      <c r="R1100" s="21">
        <v>9.8655024294063795E-2</v>
      </c>
    </row>
    <row r="1101" spans="1:18">
      <c r="A1101" t="s">
        <v>1659</v>
      </c>
      <c r="B1101" t="s">
        <v>89</v>
      </c>
      <c r="C1101" t="s">
        <v>162</v>
      </c>
      <c r="D1101">
        <v>2</v>
      </c>
      <c r="E1101" t="s">
        <v>132</v>
      </c>
      <c r="F1101" t="s">
        <v>133</v>
      </c>
      <c r="G1101" t="s">
        <v>134</v>
      </c>
      <c r="H1101" s="16">
        <v>17015</v>
      </c>
      <c r="I1101" s="16">
        <v>0</v>
      </c>
      <c r="J1101" s="16">
        <v>8706</v>
      </c>
      <c r="K1101" s="16">
        <v>7110</v>
      </c>
      <c r="L1101" s="16">
        <v>3695</v>
      </c>
      <c r="M1101" s="16">
        <v>9905</v>
      </c>
      <c r="N1101" s="16">
        <v>438</v>
      </c>
      <c r="O1101">
        <v>1</v>
      </c>
      <c r="P1101">
        <v>0</v>
      </c>
      <c r="Q1101" s="20">
        <v>0</v>
      </c>
      <c r="R1101" s="21">
        <v>4.4220090863200404E-2</v>
      </c>
    </row>
    <row r="1102" spans="1:18">
      <c r="A1102" t="s">
        <v>1660</v>
      </c>
      <c r="B1102" t="s">
        <v>86</v>
      </c>
      <c r="C1102" t="s">
        <v>101</v>
      </c>
      <c r="D1102">
        <v>2</v>
      </c>
      <c r="E1102" t="s">
        <v>132</v>
      </c>
      <c r="F1102" t="s">
        <v>133</v>
      </c>
      <c r="G1102" t="s">
        <v>134</v>
      </c>
      <c r="H1102" s="16">
        <v>16963</v>
      </c>
      <c r="I1102" s="16">
        <v>0</v>
      </c>
      <c r="J1102" s="16">
        <v>3</v>
      </c>
      <c r="K1102" s="16">
        <v>11927</v>
      </c>
      <c r="L1102" s="16">
        <v>0</v>
      </c>
      <c r="M1102" s="16">
        <v>5036</v>
      </c>
      <c r="N1102" s="16">
        <v>851</v>
      </c>
      <c r="O1102">
        <v>2</v>
      </c>
      <c r="P1102">
        <v>0</v>
      </c>
      <c r="Q1102" s="20">
        <v>0</v>
      </c>
      <c r="R1102" s="21">
        <v>0.16898332009531375</v>
      </c>
    </row>
    <row r="1103" spans="1:18">
      <c r="A1103" t="s">
        <v>1661</v>
      </c>
      <c r="B1103" t="s">
        <v>83</v>
      </c>
      <c r="C1103" t="s">
        <v>101</v>
      </c>
      <c r="D1103">
        <v>1</v>
      </c>
      <c r="E1103" t="s">
        <v>136</v>
      </c>
      <c r="F1103" t="s">
        <v>1662</v>
      </c>
      <c r="G1103" t="s">
        <v>1663</v>
      </c>
      <c r="H1103" s="16">
        <v>16550</v>
      </c>
      <c r="I1103" s="16">
        <v>11333</v>
      </c>
      <c r="J1103" s="16">
        <v>1172</v>
      </c>
      <c r="K1103" s="16">
        <v>5269</v>
      </c>
      <c r="L1103" s="16">
        <v>3086</v>
      </c>
      <c r="M1103" s="16">
        <v>11281</v>
      </c>
      <c r="N1103" s="16">
        <v>-596</v>
      </c>
      <c r="O1103">
        <v>2</v>
      </c>
      <c r="P1103">
        <v>0</v>
      </c>
      <c r="Q1103" s="20">
        <v>0.68477341389728097</v>
      </c>
      <c r="R1103" s="21">
        <v>-5.283219572732914E-2</v>
      </c>
    </row>
    <row r="1104" spans="1:18">
      <c r="A1104" t="s">
        <v>1664</v>
      </c>
      <c r="B1104" t="s">
        <v>74</v>
      </c>
      <c r="C1104" t="s">
        <v>104</v>
      </c>
      <c r="D1104">
        <v>2</v>
      </c>
      <c r="E1104" t="s">
        <v>132</v>
      </c>
      <c r="F1104" t="s">
        <v>1665</v>
      </c>
      <c r="G1104" t="s">
        <v>134</v>
      </c>
      <c r="H1104" s="16">
        <v>16452</v>
      </c>
      <c r="I1104" s="16">
        <v>10834</v>
      </c>
      <c r="J1104" s="16">
        <v>5617</v>
      </c>
      <c r="K1104" s="16">
        <v>514</v>
      </c>
      <c r="L1104" s="16">
        <v>0</v>
      </c>
      <c r="M1104" s="16">
        <v>15938</v>
      </c>
      <c r="N1104" s="16">
        <v>660</v>
      </c>
      <c r="O1104">
        <v>0</v>
      </c>
      <c r="P1104">
        <v>0</v>
      </c>
      <c r="Q1104" s="20">
        <v>0.65852176027230735</v>
      </c>
      <c r="R1104" s="21">
        <v>4.1410465554021836E-2</v>
      </c>
    </row>
    <row r="1105" spans="1:18">
      <c r="A1105" t="s">
        <v>1666</v>
      </c>
      <c r="B1105" t="s">
        <v>89</v>
      </c>
      <c r="C1105" t="s">
        <v>162</v>
      </c>
      <c r="D1105">
        <v>2</v>
      </c>
      <c r="E1105" t="s">
        <v>132</v>
      </c>
      <c r="F1105" t="s">
        <v>295</v>
      </c>
      <c r="G1105" t="s">
        <v>292</v>
      </c>
      <c r="H1105" s="16">
        <v>16403</v>
      </c>
      <c r="I1105" s="16">
        <v>0</v>
      </c>
      <c r="J1105" s="16">
        <v>4417</v>
      </c>
      <c r="K1105" s="16">
        <v>6164</v>
      </c>
      <c r="L1105" s="16">
        <v>5542</v>
      </c>
      <c r="M1105" s="16">
        <v>10239</v>
      </c>
      <c r="N1105" s="16">
        <v>2962</v>
      </c>
      <c r="O1105">
        <v>1</v>
      </c>
      <c r="P1105">
        <v>0</v>
      </c>
      <c r="Q1105" s="20">
        <v>0</v>
      </c>
      <c r="R1105" s="21">
        <v>0.28928606309209881</v>
      </c>
    </row>
    <row r="1106" spans="1:18">
      <c r="A1106" t="s">
        <v>1667</v>
      </c>
      <c r="B1106" t="s">
        <v>86</v>
      </c>
      <c r="C1106" t="s">
        <v>101</v>
      </c>
      <c r="D1106">
        <v>2</v>
      </c>
      <c r="E1106" t="s">
        <v>132</v>
      </c>
      <c r="F1106" t="s">
        <v>145</v>
      </c>
      <c r="G1106" t="s">
        <v>146</v>
      </c>
      <c r="H1106" s="16">
        <v>15796</v>
      </c>
      <c r="I1106" s="16">
        <v>0</v>
      </c>
      <c r="J1106" s="16">
        <v>6799</v>
      </c>
      <c r="K1106" s="16">
        <v>3988</v>
      </c>
      <c r="L1106" s="16">
        <v>787</v>
      </c>
      <c r="M1106" s="16">
        <v>11808</v>
      </c>
      <c r="N1106" s="16">
        <v>371</v>
      </c>
      <c r="O1106">
        <v>3</v>
      </c>
      <c r="P1106">
        <v>0</v>
      </c>
      <c r="Q1106" s="20">
        <v>0</v>
      </c>
      <c r="R1106" s="21">
        <v>3.1419376693766939E-2</v>
      </c>
    </row>
    <row r="1107" spans="1:18">
      <c r="A1107" t="s">
        <v>1668</v>
      </c>
      <c r="B1107" t="s">
        <v>74</v>
      </c>
      <c r="C1107" t="s">
        <v>104</v>
      </c>
      <c r="D1107">
        <v>2</v>
      </c>
      <c r="E1107" t="s">
        <v>132</v>
      </c>
      <c r="F1107" t="s">
        <v>145</v>
      </c>
      <c r="G1107" t="s">
        <v>146</v>
      </c>
      <c r="H1107" s="16">
        <v>15745</v>
      </c>
      <c r="I1107" s="16">
        <v>10943</v>
      </c>
      <c r="J1107" s="16">
        <v>1872</v>
      </c>
      <c r="K1107" s="16">
        <v>1013</v>
      </c>
      <c r="L1107" s="16">
        <v>0</v>
      </c>
      <c r="M1107" s="16">
        <v>14732</v>
      </c>
      <c r="N1107" s="16">
        <v>1010</v>
      </c>
      <c r="O1107">
        <v>0</v>
      </c>
      <c r="P1107">
        <v>0</v>
      </c>
      <c r="Q1107" s="20">
        <v>0.69501429025087325</v>
      </c>
      <c r="R1107" s="21">
        <v>6.8558240564756998E-2</v>
      </c>
    </row>
    <row r="1108" spans="1:18">
      <c r="A1108" t="s">
        <v>1669</v>
      </c>
      <c r="B1108" t="s">
        <v>83</v>
      </c>
      <c r="C1108" t="s">
        <v>101</v>
      </c>
      <c r="D1108">
        <v>2</v>
      </c>
      <c r="E1108" t="s">
        <v>132</v>
      </c>
      <c r="F1108" t="s">
        <v>152</v>
      </c>
      <c r="G1108" t="s">
        <v>153</v>
      </c>
      <c r="H1108" s="16">
        <v>15684</v>
      </c>
      <c r="I1108" s="16">
        <v>10376</v>
      </c>
      <c r="J1108" s="16">
        <v>672</v>
      </c>
      <c r="K1108" s="16">
        <v>4015</v>
      </c>
      <c r="L1108" s="16">
        <v>2209</v>
      </c>
      <c r="M1108" s="16">
        <v>11669</v>
      </c>
      <c r="N1108" s="16">
        <v>-778</v>
      </c>
      <c r="O1108">
        <v>4</v>
      </c>
      <c r="P1108">
        <v>0</v>
      </c>
      <c r="Q1108" s="20">
        <v>0.66156592705942363</v>
      </c>
      <c r="R1108" s="21">
        <v>-6.6672379809752338E-2</v>
      </c>
    </row>
    <row r="1109" spans="1:18">
      <c r="A1109" t="s">
        <v>1670</v>
      </c>
      <c r="B1109" t="s">
        <v>86</v>
      </c>
      <c r="C1109" t="s">
        <v>101</v>
      </c>
      <c r="D1109">
        <v>2</v>
      </c>
      <c r="E1109" t="s">
        <v>132</v>
      </c>
      <c r="F1109" t="s">
        <v>145</v>
      </c>
      <c r="G1109" t="s">
        <v>146</v>
      </c>
      <c r="H1109" s="16">
        <v>15666</v>
      </c>
      <c r="I1109" s="16">
        <v>0</v>
      </c>
      <c r="J1109" s="16">
        <v>6796</v>
      </c>
      <c r="K1109" s="16">
        <v>7317</v>
      </c>
      <c r="L1109" s="16">
        <v>2581</v>
      </c>
      <c r="M1109" s="16">
        <v>8349</v>
      </c>
      <c r="N1109" s="16">
        <v>-84</v>
      </c>
      <c r="O1109">
        <v>3</v>
      </c>
      <c r="P1109">
        <v>0</v>
      </c>
      <c r="Q1109" s="20">
        <v>0</v>
      </c>
      <c r="R1109" s="21">
        <v>-1.006108515989939E-2</v>
      </c>
    </row>
    <row r="1110" spans="1:18">
      <c r="A1110" t="s">
        <v>1671</v>
      </c>
      <c r="B1110" t="s">
        <v>74</v>
      </c>
      <c r="C1110" t="s">
        <v>104</v>
      </c>
      <c r="D1110">
        <v>2</v>
      </c>
      <c r="E1110" t="s">
        <v>132</v>
      </c>
      <c r="F1110" t="s">
        <v>210</v>
      </c>
      <c r="G1110" t="s">
        <v>211</v>
      </c>
      <c r="H1110" s="16">
        <v>15577</v>
      </c>
      <c r="I1110" s="16">
        <v>12698</v>
      </c>
      <c r="J1110" s="16">
        <v>236</v>
      </c>
      <c r="K1110" s="16">
        <v>8616</v>
      </c>
      <c r="L1110" s="16">
        <v>8351</v>
      </c>
      <c r="M1110" s="16">
        <v>6962</v>
      </c>
      <c r="N1110" s="16">
        <v>-646</v>
      </c>
      <c r="O1110">
        <v>0</v>
      </c>
      <c r="P1110">
        <v>1</v>
      </c>
      <c r="Q1110" s="20">
        <v>0.8151762213519933</v>
      </c>
      <c r="R1110" s="21">
        <v>-9.2789428325193907E-2</v>
      </c>
    </row>
    <row r="1111" spans="1:18">
      <c r="A1111" t="s">
        <v>1672</v>
      </c>
      <c r="B1111" t="s">
        <v>83</v>
      </c>
      <c r="C1111" t="s">
        <v>101</v>
      </c>
      <c r="D1111">
        <v>2</v>
      </c>
      <c r="E1111" t="s">
        <v>132</v>
      </c>
      <c r="F1111" t="s">
        <v>285</v>
      </c>
      <c r="G1111" t="s">
        <v>286</v>
      </c>
      <c r="H1111" s="16">
        <v>15389</v>
      </c>
      <c r="I1111" s="16">
        <v>1563</v>
      </c>
      <c r="J1111" s="16">
        <v>0</v>
      </c>
      <c r="K1111" s="16">
        <v>7825</v>
      </c>
      <c r="L1111" s="16">
        <v>3083</v>
      </c>
      <c r="M1111" s="16">
        <v>7563</v>
      </c>
      <c r="N1111" s="16">
        <v>-537</v>
      </c>
      <c r="O1111">
        <v>4</v>
      </c>
      <c r="P1111">
        <v>0</v>
      </c>
      <c r="Q1111" s="20">
        <v>0.10156605367470271</v>
      </c>
      <c r="R1111" s="21">
        <v>-7.1003570011900038E-2</v>
      </c>
    </row>
    <row r="1112" spans="1:18">
      <c r="A1112" t="s">
        <v>1673</v>
      </c>
      <c r="B1112" t="s">
        <v>74</v>
      </c>
      <c r="C1112" t="s">
        <v>104</v>
      </c>
      <c r="D1112">
        <v>2</v>
      </c>
      <c r="E1112" t="s">
        <v>132</v>
      </c>
      <c r="F1112" t="s">
        <v>1674</v>
      </c>
      <c r="G1112" t="s">
        <v>146</v>
      </c>
      <c r="H1112" s="16">
        <v>15334</v>
      </c>
      <c r="I1112" s="16">
        <v>6390</v>
      </c>
      <c r="J1112" s="16">
        <v>6519</v>
      </c>
      <c r="K1112" s="16">
        <v>1135</v>
      </c>
      <c r="L1112" s="16">
        <v>0</v>
      </c>
      <c r="M1112" s="16">
        <v>14199</v>
      </c>
      <c r="N1112" s="16">
        <v>636</v>
      </c>
      <c r="O1112">
        <v>0</v>
      </c>
      <c r="P1112">
        <v>0</v>
      </c>
      <c r="Q1112" s="20">
        <v>0.41672101212990742</v>
      </c>
      <c r="R1112" s="21">
        <v>4.479188675258821E-2</v>
      </c>
    </row>
    <row r="1113" spans="1:18">
      <c r="A1113" t="s">
        <v>1675</v>
      </c>
      <c r="B1113" t="s">
        <v>89</v>
      </c>
      <c r="C1113" t="s">
        <v>162</v>
      </c>
      <c r="D1113">
        <v>2</v>
      </c>
      <c r="E1113" t="s">
        <v>132</v>
      </c>
      <c r="F1113" t="s">
        <v>210</v>
      </c>
      <c r="G1113" t="s">
        <v>211</v>
      </c>
      <c r="H1113" s="16">
        <v>15105</v>
      </c>
      <c r="I1113" s="16">
        <v>0</v>
      </c>
      <c r="J1113" s="16">
        <v>7</v>
      </c>
      <c r="K1113" s="16">
        <v>14520</v>
      </c>
      <c r="L1113" s="16">
        <v>9676</v>
      </c>
      <c r="M1113" s="16">
        <v>585</v>
      </c>
      <c r="N1113" s="16">
        <v>-2213</v>
      </c>
      <c r="O1113">
        <v>1</v>
      </c>
      <c r="P1113">
        <v>0</v>
      </c>
      <c r="Q1113" s="20">
        <v>0</v>
      </c>
      <c r="R1113" s="21">
        <v>-3.7829059829059828</v>
      </c>
    </row>
    <row r="1114" spans="1:18">
      <c r="A1114" t="s">
        <v>1676</v>
      </c>
      <c r="B1114" t="s">
        <v>74</v>
      </c>
      <c r="C1114" t="s">
        <v>104</v>
      </c>
      <c r="D1114">
        <v>2</v>
      </c>
      <c r="E1114" t="s">
        <v>132</v>
      </c>
      <c r="F1114" t="s">
        <v>133</v>
      </c>
      <c r="G1114" t="s">
        <v>134</v>
      </c>
      <c r="H1114" s="16">
        <v>14973</v>
      </c>
      <c r="I1114" s="16">
        <v>9692</v>
      </c>
      <c r="J1114" s="16">
        <v>4854</v>
      </c>
      <c r="K1114" s="16">
        <v>13456</v>
      </c>
      <c r="L1114" s="16">
        <v>13208</v>
      </c>
      <c r="M1114" s="16">
        <v>1516</v>
      </c>
      <c r="N1114" s="16">
        <v>-565</v>
      </c>
      <c r="O1114">
        <v>0</v>
      </c>
      <c r="P1114">
        <v>15</v>
      </c>
      <c r="Q1114" s="20">
        <v>0.64729847058037804</v>
      </c>
      <c r="R1114" s="21">
        <v>-0.37269129287598945</v>
      </c>
    </row>
    <row r="1115" spans="1:18">
      <c r="A1115" t="s">
        <v>1677</v>
      </c>
      <c r="B1115" t="s">
        <v>74</v>
      </c>
      <c r="C1115" t="s">
        <v>104</v>
      </c>
      <c r="D1115">
        <v>2</v>
      </c>
      <c r="E1115" t="s">
        <v>132</v>
      </c>
      <c r="F1115" t="s">
        <v>1273</v>
      </c>
      <c r="G1115" t="s">
        <v>134</v>
      </c>
      <c r="H1115" s="16">
        <v>14929</v>
      </c>
      <c r="I1115" s="16">
        <v>8375</v>
      </c>
      <c r="J1115" s="16">
        <v>5880</v>
      </c>
      <c r="K1115" s="16">
        <v>1266</v>
      </c>
      <c r="L1115" s="16">
        <v>0</v>
      </c>
      <c r="M1115" s="16">
        <v>13663</v>
      </c>
      <c r="N1115" s="16">
        <v>280</v>
      </c>
      <c r="O1115">
        <v>0</v>
      </c>
      <c r="P1115">
        <v>0</v>
      </c>
      <c r="Q1115" s="20">
        <v>0.56098867975082056</v>
      </c>
      <c r="R1115" s="21">
        <v>2.0493303081314498E-2</v>
      </c>
    </row>
    <row r="1116" spans="1:18">
      <c r="A1116" t="s">
        <v>1678</v>
      </c>
      <c r="B1116" t="s">
        <v>86</v>
      </c>
      <c r="C1116" t="s">
        <v>101</v>
      </c>
      <c r="D1116">
        <v>3</v>
      </c>
      <c r="E1116" t="s">
        <v>143</v>
      </c>
      <c r="F1116" t="s">
        <v>133</v>
      </c>
      <c r="G1116" t="s">
        <v>134</v>
      </c>
      <c r="H1116" s="16">
        <v>14731</v>
      </c>
      <c r="I1116" s="16">
        <v>0</v>
      </c>
      <c r="J1116" s="16">
        <v>6442</v>
      </c>
      <c r="K1116" s="16">
        <v>7420</v>
      </c>
      <c r="L1116" s="16">
        <v>2843</v>
      </c>
      <c r="M1116" s="16">
        <v>7311</v>
      </c>
      <c r="N1116" s="16">
        <v>-857</v>
      </c>
      <c r="O1116">
        <v>2</v>
      </c>
      <c r="P1116">
        <v>0</v>
      </c>
      <c r="Q1116" s="20">
        <v>0</v>
      </c>
      <c r="R1116" s="21">
        <v>-0.11722062645328957</v>
      </c>
    </row>
    <row r="1117" spans="1:18">
      <c r="A1117" t="s">
        <v>1679</v>
      </c>
      <c r="B1117" t="s">
        <v>89</v>
      </c>
      <c r="C1117" t="s">
        <v>162</v>
      </c>
      <c r="D1117">
        <v>3</v>
      </c>
      <c r="E1117" t="s">
        <v>143</v>
      </c>
      <c r="F1117" t="s">
        <v>133</v>
      </c>
      <c r="G1117" t="s">
        <v>134</v>
      </c>
      <c r="H1117" s="16">
        <v>14724</v>
      </c>
      <c r="I1117" s="16">
        <v>0</v>
      </c>
      <c r="J1117" s="16">
        <v>0</v>
      </c>
      <c r="K1117" s="16">
        <v>14274</v>
      </c>
      <c r="L1117" s="16">
        <v>0</v>
      </c>
      <c r="M1117" s="16">
        <v>450</v>
      </c>
      <c r="N1117" s="16">
        <v>-77</v>
      </c>
      <c r="O1117">
        <v>1</v>
      </c>
      <c r="P1117">
        <v>0</v>
      </c>
      <c r="Q1117" s="20">
        <v>0</v>
      </c>
      <c r="R1117" s="21">
        <v>-0.1711111111111111</v>
      </c>
    </row>
    <row r="1118" spans="1:18">
      <c r="A1118" t="s">
        <v>1680</v>
      </c>
      <c r="B1118" t="s">
        <v>83</v>
      </c>
      <c r="C1118" t="s">
        <v>104</v>
      </c>
      <c r="D1118">
        <v>2</v>
      </c>
      <c r="E1118" t="s">
        <v>132</v>
      </c>
      <c r="F1118" t="s">
        <v>1681</v>
      </c>
      <c r="G1118" t="s">
        <v>286</v>
      </c>
      <c r="H1118" s="16">
        <v>14241</v>
      </c>
      <c r="I1118" s="16">
        <v>9239</v>
      </c>
      <c r="J1118" s="16">
        <v>4682</v>
      </c>
      <c r="K1118" s="16">
        <v>1116</v>
      </c>
      <c r="L1118" s="16">
        <v>0</v>
      </c>
      <c r="M1118" s="16">
        <v>13126</v>
      </c>
      <c r="N1118" s="16">
        <v>1331</v>
      </c>
      <c r="O1118">
        <v>2</v>
      </c>
      <c r="P1118">
        <v>0</v>
      </c>
      <c r="Q1118" s="20">
        <v>0.6487606207429254</v>
      </c>
      <c r="R1118" s="21">
        <v>0.1014017979582508</v>
      </c>
    </row>
    <row r="1119" spans="1:18">
      <c r="A1119" t="s">
        <v>1682</v>
      </c>
      <c r="B1119" t="s">
        <v>89</v>
      </c>
      <c r="C1119" t="s">
        <v>162</v>
      </c>
      <c r="D1119">
        <v>2</v>
      </c>
      <c r="E1119" t="s">
        <v>132</v>
      </c>
      <c r="F1119" t="s">
        <v>404</v>
      </c>
      <c r="G1119" t="s">
        <v>405</v>
      </c>
      <c r="H1119" s="16">
        <v>14203</v>
      </c>
      <c r="I1119" s="16">
        <v>0</v>
      </c>
      <c r="J1119" s="16">
        <v>5292</v>
      </c>
      <c r="K1119" s="16">
        <v>7312</v>
      </c>
      <c r="L1119" s="16">
        <v>948</v>
      </c>
      <c r="M1119" s="16">
        <v>6891</v>
      </c>
      <c r="N1119" s="16">
        <v>-655</v>
      </c>
      <c r="O1119">
        <v>1</v>
      </c>
      <c r="P1119">
        <v>0</v>
      </c>
      <c r="Q1119" s="20">
        <v>0</v>
      </c>
      <c r="R1119" s="21">
        <v>-9.5051516470758962E-2</v>
      </c>
    </row>
    <row r="1120" spans="1:18">
      <c r="A1120" t="s">
        <v>1683</v>
      </c>
      <c r="B1120" t="s">
        <v>86</v>
      </c>
      <c r="C1120" t="s">
        <v>101</v>
      </c>
      <c r="D1120">
        <v>2</v>
      </c>
      <c r="E1120" t="s">
        <v>132</v>
      </c>
      <c r="F1120" t="s">
        <v>133</v>
      </c>
      <c r="G1120" t="s">
        <v>134</v>
      </c>
      <c r="H1120" s="16">
        <v>13910</v>
      </c>
      <c r="I1120" s="16">
        <v>0</v>
      </c>
      <c r="J1120" s="16">
        <v>205</v>
      </c>
      <c r="K1120" s="16">
        <v>13166</v>
      </c>
      <c r="L1120" s="16">
        <v>0</v>
      </c>
      <c r="M1120" s="16">
        <v>744</v>
      </c>
      <c r="N1120" s="16">
        <v>122</v>
      </c>
      <c r="O1120">
        <v>2</v>
      </c>
      <c r="P1120">
        <v>0</v>
      </c>
      <c r="Q1120" s="20">
        <v>0</v>
      </c>
      <c r="R1120" s="21">
        <v>0.16397849462365591</v>
      </c>
    </row>
    <row r="1121" spans="1:18">
      <c r="A1121" t="s">
        <v>1684</v>
      </c>
      <c r="B1121" t="s">
        <v>89</v>
      </c>
      <c r="C1121" t="s">
        <v>162</v>
      </c>
      <c r="D1121">
        <v>2</v>
      </c>
      <c r="E1121" t="s">
        <v>132</v>
      </c>
      <c r="F1121" t="s">
        <v>133</v>
      </c>
      <c r="G1121" t="s">
        <v>134</v>
      </c>
      <c r="H1121" s="16">
        <v>13863</v>
      </c>
      <c r="I1121" s="16">
        <v>0</v>
      </c>
      <c r="J1121" s="16">
        <v>6539</v>
      </c>
      <c r="K1121" s="16">
        <v>10490</v>
      </c>
      <c r="L1121" s="16">
        <v>4306</v>
      </c>
      <c r="M1121" s="16">
        <v>3373</v>
      </c>
      <c r="N1121" s="16">
        <v>508</v>
      </c>
      <c r="O1121">
        <v>1</v>
      </c>
      <c r="P1121">
        <v>0</v>
      </c>
      <c r="Q1121" s="20">
        <v>0</v>
      </c>
      <c r="R1121" s="21">
        <v>0.15060776756596503</v>
      </c>
    </row>
    <row r="1122" spans="1:18">
      <c r="A1122" t="s">
        <v>1685</v>
      </c>
      <c r="B1122" t="s">
        <v>74</v>
      </c>
      <c r="C1122" t="s">
        <v>104</v>
      </c>
      <c r="D1122">
        <v>2</v>
      </c>
      <c r="E1122" t="s">
        <v>132</v>
      </c>
      <c r="F1122" t="s">
        <v>190</v>
      </c>
      <c r="G1122" t="s">
        <v>191</v>
      </c>
      <c r="H1122" s="16">
        <v>13844</v>
      </c>
      <c r="I1122" s="16">
        <v>5729</v>
      </c>
      <c r="J1122" s="16">
        <v>5545</v>
      </c>
      <c r="K1122" s="16">
        <v>1367</v>
      </c>
      <c r="L1122" s="16">
        <v>320</v>
      </c>
      <c r="M1122" s="16">
        <v>12478</v>
      </c>
      <c r="N1122" s="16">
        <v>4</v>
      </c>
      <c r="O1122">
        <v>0</v>
      </c>
      <c r="P1122">
        <v>0</v>
      </c>
      <c r="Q1122" s="20">
        <v>0.41382548396417218</v>
      </c>
      <c r="R1122" s="21">
        <v>3.2056419297964416E-4</v>
      </c>
    </row>
    <row r="1123" spans="1:18">
      <c r="A1123" t="s">
        <v>1686</v>
      </c>
      <c r="B1123" t="s">
        <v>86</v>
      </c>
      <c r="C1123" t="s">
        <v>104</v>
      </c>
      <c r="D1123">
        <v>2</v>
      </c>
      <c r="E1123" t="s">
        <v>132</v>
      </c>
      <c r="F1123" t="s">
        <v>152</v>
      </c>
      <c r="G1123" t="s">
        <v>153</v>
      </c>
      <c r="H1123" s="16">
        <v>13821</v>
      </c>
      <c r="I1123" s="16">
        <v>0</v>
      </c>
      <c r="J1123" s="16">
        <v>30</v>
      </c>
      <c r="K1123" s="16">
        <v>6914</v>
      </c>
      <c r="L1123" s="16">
        <v>0</v>
      </c>
      <c r="M1123" s="16">
        <v>6906</v>
      </c>
      <c r="N1123" s="16">
        <v>77</v>
      </c>
      <c r="O1123">
        <v>3</v>
      </c>
      <c r="P1123">
        <v>0</v>
      </c>
      <c r="Q1123" s="20">
        <v>0</v>
      </c>
      <c r="R1123" s="21">
        <v>1.1149724876918621E-2</v>
      </c>
    </row>
    <row r="1124" spans="1:18">
      <c r="A1124" t="s">
        <v>1687</v>
      </c>
      <c r="B1124" t="s">
        <v>74</v>
      </c>
      <c r="C1124" t="s">
        <v>104</v>
      </c>
      <c r="D1124">
        <v>2</v>
      </c>
      <c r="E1124" t="s">
        <v>132</v>
      </c>
      <c r="F1124" t="s">
        <v>133</v>
      </c>
      <c r="G1124" t="s">
        <v>134</v>
      </c>
      <c r="H1124" s="16">
        <v>13634</v>
      </c>
      <c r="I1124" s="16">
        <v>5387</v>
      </c>
      <c r="J1124" s="16">
        <v>7601</v>
      </c>
      <c r="K1124" s="16">
        <v>1175</v>
      </c>
      <c r="L1124" s="16">
        <v>0</v>
      </c>
      <c r="M1124" s="16">
        <v>12460</v>
      </c>
      <c r="N1124" s="16">
        <v>604</v>
      </c>
      <c r="O1124">
        <v>0</v>
      </c>
      <c r="P1124">
        <v>0</v>
      </c>
      <c r="Q1124" s="20">
        <v>0.39511515329323749</v>
      </c>
      <c r="R1124" s="21">
        <v>4.8475120385232745E-2</v>
      </c>
    </row>
    <row r="1125" spans="1:18">
      <c r="A1125" t="s">
        <v>1688</v>
      </c>
      <c r="B1125" t="s">
        <v>83</v>
      </c>
      <c r="C1125" t="s">
        <v>104</v>
      </c>
      <c r="D1125">
        <v>2</v>
      </c>
      <c r="E1125" t="s">
        <v>132</v>
      </c>
      <c r="F1125" t="s">
        <v>133</v>
      </c>
      <c r="G1125" t="s">
        <v>134</v>
      </c>
      <c r="H1125" s="16">
        <v>13592</v>
      </c>
      <c r="I1125" s="16">
        <v>0</v>
      </c>
      <c r="J1125" s="16">
        <v>12579</v>
      </c>
      <c r="K1125" s="16">
        <v>8566</v>
      </c>
      <c r="L1125" s="16">
        <v>8492</v>
      </c>
      <c r="M1125" s="16">
        <v>5026</v>
      </c>
      <c r="N1125" s="16">
        <v>-158</v>
      </c>
      <c r="O1125">
        <v>2</v>
      </c>
      <c r="P1125">
        <v>0</v>
      </c>
      <c r="Q1125" s="20">
        <v>0</v>
      </c>
      <c r="R1125" s="21">
        <v>-3.1436530043772386E-2</v>
      </c>
    </row>
    <row r="1126" spans="1:18">
      <c r="A1126" t="s">
        <v>1689</v>
      </c>
      <c r="B1126" t="s">
        <v>89</v>
      </c>
      <c r="C1126" t="s">
        <v>162</v>
      </c>
      <c r="D1126">
        <v>2</v>
      </c>
      <c r="E1126" t="s">
        <v>132</v>
      </c>
      <c r="F1126" t="s">
        <v>133</v>
      </c>
      <c r="G1126" t="s">
        <v>134</v>
      </c>
      <c r="H1126" s="16">
        <v>13503</v>
      </c>
      <c r="I1126" s="16">
        <v>0</v>
      </c>
      <c r="J1126" s="16">
        <v>0</v>
      </c>
      <c r="K1126" s="16">
        <v>5159</v>
      </c>
      <c r="L1126" s="16">
        <v>392</v>
      </c>
      <c r="M1126" s="16">
        <v>8344</v>
      </c>
      <c r="N1126" s="16">
        <v>-1354</v>
      </c>
      <c r="O1126">
        <v>1</v>
      </c>
      <c r="P1126">
        <v>0</v>
      </c>
      <c r="Q1126" s="20">
        <v>0</v>
      </c>
      <c r="R1126" s="21">
        <v>-0.16227229146692235</v>
      </c>
    </row>
    <row r="1127" spans="1:18">
      <c r="A1127" t="s">
        <v>1690</v>
      </c>
      <c r="B1127" t="s">
        <v>83</v>
      </c>
      <c r="C1127" t="s">
        <v>104</v>
      </c>
      <c r="D1127">
        <v>2</v>
      </c>
      <c r="E1127" t="s">
        <v>132</v>
      </c>
      <c r="F1127" t="s">
        <v>729</v>
      </c>
      <c r="G1127" t="s">
        <v>134</v>
      </c>
      <c r="H1127" s="16">
        <v>13447</v>
      </c>
      <c r="I1127" s="16">
        <v>4629</v>
      </c>
      <c r="J1127" s="16">
        <v>5236</v>
      </c>
      <c r="K1127" s="16">
        <v>2317</v>
      </c>
      <c r="L1127" s="16">
        <v>2084</v>
      </c>
      <c r="M1127" s="16">
        <v>11130</v>
      </c>
      <c r="N1127" s="16">
        <v>357</v>
      </c>
      <c r="O1127">
        <v>2</v>
      </c>
      <c r="P1127">
        <v>0</v>
      </c>
      <c r="Q1127" s="20">
        <v>0.34424035100765971</v>
      </c>
      <c r="R1127" s="21">
        <v>3.2075471698113207E-2</v>
      </c>
    </row>
    <row r="1128" spans="1:18">
      <c r="A1128" t="s">
        <v>1691</v>
      </c>
      <c r="B1128" t="s">
        <v>89</v>
      </c>
      <c r="C1128" t="s">
        <v>162</v>
      </c>
      <c r="D1128">
        <v>2</v>
      </c>
      <c r="E1128" t="s">
        <v>132</v>
      </c>
      <c r="F1128" t="s">
        <v>133</v>
      </c>
      <c r="G1128" t="s">
        <v>134</v>
      </c>
      <c r="H1128" s="16">
        <v>13378</v>
      </c>
      <c r="I1128" s="16">
        <v>0</v>
      </c>
      <c r="J1128" s="16">
        <v>9</v>
      </c>
      <c r="K1128" s="16">
        <v>7178</v>
      </c>
      <c r="L1128" s="16">
        <v>5149</v>
      </c>
      <c r="M1128" s="16">
        <v>6200</v>
      </c>
      <c r="N1128" s="16">
        <v>-4561</v>
      </c>
      <c r="O1128">
        <v>1</v>
      </c>
      <c r="P1128">
        <v>0</v>
      </c>
      <c r="Q1128" s="20">
        <v>0</v>
      </c>
      <c r="R1128" s="21">
        <v>-0.73564516129032254</v>
      </c>
    </row>
    <row r="1129" spans="1:18">
      <c r="A1129" t="s">
        <v>1692</v>
      </c>
      <c r="B1129" t="s">
        <v>74</v>
      </c>
      <c r="C1129" t="s">
        <v>104</v>
      </c>
      <c r="D1129">
        <v>2</v>
      </c>
      <c r="E1129" t="s">
        <v>132</v>
      </c>
      <c r="F1129" t="s">
        <v>178</v>
      </c>
      <c r="G1129" t="s">
        <v>179</v>
      </c>
      <c r="H1129" s="16">
        <v>13366</v>
      </c>
      <c r="I1129" s="16">
        <v>9007</v>
      </c>
      <c r="J1129" s="16">
        <v>1699</v>
      </c>
      <c r="K1129" s="16">
        <v>1579</v>
      </c>
      <c r="L1129" s="16">
        <v>0</v>
      </c>
      <c r="M1129" s="16">
        <v>11787</v>
      </c>
      <c r="N1129" s="16">
        <v>312</v>
      </c>
      <c r="O1129">
        <v>0</v>
      </c>
      <c r="P1129">
        <v>0</v>
      </c>
      <c r="Q1129" s="20">
        <v>0.67387400867873715</v>
      </c>
      <c r="R1129" s="21">
        <v>2.6469839653855944E-2</v>
      </c>
    </row>
    <row r="1130" spans="1:18">
      <c r="A1130" t="s">
        <v>1693</v>
      </c>
      <c r="B1130" t="s">
        <v>83</v>
      </c>
      <c r="C1130" t="s">
        <v>104</v>
      </c>
      <c r="D1130">
        <v>2</v>
      </c>
      <c r="E1130" t="s">
        <v>132</v>
      </c>
      <c r="F1130" t="s">
        <v>133</v>
      </c>
      <c r="G1130" t="s">
        <v>134</v>
      </c>
      <c r="H1130" s="16">
        <v>13358</v>
      </c>
      <c r="I1130" s="16">
        <v>527</v>
      </c>
      <c r="J1130" s="16">
        <v>0</v>
      </c>
      <c r="K1130" s="16">
        <v>7257</v>
      </c>
      <c r="L1130" s="16">
        <v>0</v>
      </c>
      <c r="M1130" s="16">
        <v>6101</v>
      </c>
      <c r="N1130" s="16">
        <v>126</v>
      </c>
      <c r="O1130">
        <v>2</v>
      </c>
      <c r="P1130">
        <v>0</v>
      </c>
      <c r="Q1130" s="20">
        <v>3.9452013774517146E-2</v>
      </c>
      <c r="R1130" s="21">
        <v>2.0652352073430587E-2</v>
      </c>
    </row>
    <row r="1131" spans="1:18">
      <c r="A1131" t="s">
        <v>1694</v>
      </c>
      <c r="B1131" t="s">
        <v>83</v>
      </c>
      <c r="C1131" t="s">
        <v>104</v>
      </c>
      <c r="D1131">
        <v>2</v>
      </c>
      <c r="E1131" t="s">
        <v>132</v>
      </c>
      <c r="F1131" t="s">
        <v>133</v>
      </c>
      <c r="G1131" t="s">
        <v>134</v>
      </c>
      <c r="H1131" s="16">
        <v>13349</v>
      </c>
      <c r="I1131" s="16">
        <v>677</v>
      </c>
      <c r="J1131" s="16">
        <v>93</v>
      </c>
      <c r="K1131" s="16">
        <v>4965</v>
      </c>
      <c r="L1131" s="16">
        <v>45</v>
      </c>
      <c r="M1131" s="16">
        <v>8385</v>
      </c>
      <c r="N1131" s="16">
        <v>4274</v>
      </c>
      <c r="O1131">
        <v>2</v>
      </c>
      <c r="P1131">
        <v>0</v>
      </c>
      <c r="Q1131" s="20">
        <v>5.0715409393962095E-2</v>
      </c>
      <c r="R1131" s="21">
        <v>0.50971973762671441</v>
      </c>
    </row>
    <row r="1132" spans="1:18">
      <c r="A1132" t="s">
        <v>1695</v>
      </c>
      <c r="B1132" t="s">
        <v>89</v>
      </c>
      <c r="C1132" t="s">
        <v>162</v>
      </c>
      <c r="D1132">
        <v>2</v>
      </c>
      <c r="E1132" t="s">
        <v>132</v>
      </c>
      <c r="F1132" t="s">
        <v>291</v>
      </c>
      <c r="G1132" t="s">
        <v>292</v>
      </c>
      <c r="H1132" s="16">
        <v>13338</v>
      </c>
      <c r="I1132" s="16">
        <v>3871</v>
      </c>
      <c r="J1132" s="16">
        <v>5253</v>
      </c>
      <c r="K1132" s="16">
        <v>6561</v>
      </c>
      <c r="L1132" s="16">
        <v>0</v>
      </c>
      <c r="M1132" s="16">
        <v>6777</v>
      </c>
      <c r="N1132" s="16">
        <v>-21</v>
      </c>
      <c r="O1132">
        <v>1</v>
      </c>
      <c r="P1132">
        <v>0</v>
      </c>
      <c r="Q1132" s="20">
        <v>0.29022342180236915</v>
      </c>
      <c r="R1132" s="21">
        <v>-3.0987162461266048E-3</v>
      </c>
    </row>
    <row r="1133" spans="1:18">
      <c r="A1133" t="s">
        <v>1696</v>
      </c>
      <c r="B1133" t="s">
        <v>74</v>
      </c>
      <c r="C1133" t="s">
        <v>104</v>
      </c>
      <c r="D1133">
        <v>2</v>
      </c>
      <c r="E1133" t="s">
        <v>132</v>
      </c>
      <c r="F1133" t="s">
        <v>1697</v>
      </c>
      <c r="G1133" t="s">
        <v>169</v>
      </c>
      <c r="H1133" s="16">
        <v>13282</v>
      </c>
      <c r="I1133" s="16">
        <v>4429</v>
      </c>
      <c r="J1133" s="16">
        <v>8844</v>
      </c>
      <c r="K1133" s="16">
        <v>828</v>
      </c>
      <c r="L1133" s="16">
        <v>0</v>
      </c>
      <c r="M1133" s="16">
        <v>12455</v>
      </c>
      <c r="N1133" s="16">
        <v>610</v>
      </c>
      <c r="O1133">
        <v>0</v>
      </c>
      <c r="P1133">
        <v>0</v>
      </c>
      <c r="Q1133" s="20">
        <v>0.33345881644330672</v>
      </c>
      <c r="R1133" s="21">
        <v>4.8976314733038942E-2</v>
      </c>
    </row>
    <row r="1134" spans="1:18">
      <c r="A1134" t="s">
        <v>1698</v>
      </c>
      <c r="B1134" t="s">
        <v>83</v>
      </c>
      <c r="C1134" t="s">
        <v>104</v>
      </c>
      <c r="D1134">
        <v>2</v>
      </c>
      <c r="E1134" t="s">
        <v>132</v>
      </c>
      <c r="F1134" t="s">
        <v>1118</v>
      </c>
      <c r="G1134" t="s">
        <v>1119</v>
      </c>
      <c r="H1134" s="16">
        <v>13123</v>
      </c>
      <c r="I1134" s="16">
        <v>0</v>
      </c>
      <c r="J1134" s="16">
        <v>3505</v>
      </c>
      <c r="K1134" s="16">
        <v>2127</v>
      </c>
      <c r="L1134" s="16">
        <v>0</v>
      </c>
      <c r="M1134" s="16">
        <v>10996</v>
      </c>
      <c r="N1134" s="16">
        <v>1224</v>
      </c>
      <c r="O1134">
        <v>2</v>
      </c>
      <c r="P1134">
        <v>0</v>
      </c>
      <c r="Q1134" s="20">
        <v>0</v>
      </c>
      <c r="R1134" s="21">
        <v>0.11131320480174609</v>
      </c>
    </row>
    <row r="1135" spans="1:18">
      <c r="A1135" t="s">
        <v>1699</v>
      </c>
      <c r="B1135" t="s">
        <v>86</v>
      </c>
      <c r="C1135" t="s">
        <v>101</v>
      </c>
      <c r="D1135">
        <v>2</v>
      </c>
      <c r="E1135" t="s">
        <v>132</v>
      </c>
      <c r="F1135" t="s">
        <v>133</v>
      </c>
      <c r="G1135" t="s">
        <v>134</v>
      </c>
      <c r="H1135" s="16">
        <v>13070</v>
      </c>
      <c r="I1135" s="16">
        <v>0</v>
      </c>
      <c r="J1135" s="16">
        <v>6953</v>
      </c>
      <c r="K1135" s="16">
        <v>8056</v>
      </c>
      <c r="L1135" s="16">
        <v>0</v>
      </c>
      <c r="M1135" s="16">
        <v>5014</v>
      </c>
      <c r="N1135" s="16">
        <v>-686</v>
      </c>
      <c r="O1135">
        <v>2</v>
      </c>
      <c r="P1135">
        <v>0</v>
      </c>
      <c r="Q1135" s="20">
        <v>0</v>
      </c>
      <c r="R1135" s="21">
        <v>-0.13681691264459514</v>
      </c>
    </row>
    <row r="1136" spans="1:18">
      <c r="A1136" t="s">
        <v>1700</v>
      </c>
      <c r="B1136" t="s">
        <v>74</v>
      </c>
      <c r="C1136" t="s">
        <v>104</v>
      </c>
      <c r="D1136">
        <v>2</v>
      </c>
      <c r="E1136" t="s">
        <v>132</v>
      </c>
      <c r="F1136" t="s">
        <v>463</v>
      </c>
      <c r="G1136" t="s">
        <v>211</v>
      </c>
      <c r="H1136" s="16">
        <v>13009</v>
      </c>
      <c r="I1136" s="16">
        <v>1068</v>
      </c>
      <c r="J1136" s="16">
        <v>1</v>
      </c>
      <c r="K1136" s="16">
        <v>11296</v>
      </c>
      <c r="L1136" s="16">
        <v>10785</v>
      </c>
      <c r="M1136" s="16">
        <v>1713</v>
      </c>
      <c r="N1136" s="16">
        <v>8</v>
      </c>
      <c r="O1136">
        <v>0</v>
      </c>
      <c r="P1136">
        <v>2</v>
      </c>
      <c r="Q1136" s="20">
        <v>8.209700976247214E-2</v>
      </c>
      <c r="R1136" s="21">
        <v>4.6701692936368944E-3</v>
      </c>
    </row>
    <row r="1137" spans="1:18">
      <c r="A1137" t="s">
        <v>1701</v>
      </c>
      <c r="B1137" t="s">
        <v>83</v>
      </c>
      <c r="C1137" t="s">
        <v>104</v>
      </c>
      <c r="D1137">
        <v>2</v>
      </c>
      <c r="E1137" t="s">
        <v>132</v>
      </c>
      <c r="F1137" t="s">
        <v>815</v>
      </c>
      <c r="G1137" t="s">
        <v>206</v>
      </c>
      <c r="H1137" s="16">
        <v>12970</v>
      </c>
      <c r="I1137" s="16">
        <v>3996</v>
      </c>
      <c r="J1137" s="16">
        <v>4001</v>
      </c>
      <c r="K1137" s="16">
        <v>249</v>
      </c>
      <c r="L1137" s="16">
        <v>235</v>
      </c>
      <c r="M1137" s="16">
        <v>12721</v>
      </c>
      <c r="N1137" s="16">
        <v>-32</v>
      </c>
      <c r="O1137">
        <v>2</v>
      </c>
      <c r="P1137">
        <v>0</v>
      </c>
      <c r="Q1137" s="20">
        <v>0.30809560524286816</v>
      </c>
      <c r="R1137" s="21">
        <v>-2.5155255090008647E-3</v>
      </c>
    </row>
    <row r="1138" spans="1:18">
      <c r="A1138" t="s">
        <v>1702</v>
      </c>
      <c r="B1138" t="s">
        <v>74</v>
      </c>
      <c r="C1138" t="s">
        <v>104</v>
      </c>
      <c r="D1138">
        <v>2</v>
      </c>
      <c r="E1138" t="s">
        <v>132</v>
      </c>
      <c r="F1138" t="s">
        <v>1703</v>
      </c>
      <c r="G1138" t="s">
        <v>134</v>
      </c>
      <c r="H1138" s="16">
        <v>12959</v>
      </c>
      <c r="I1138" s="16">
        <v>8855</v>
      </c>
      <c r="J1138" s="16">
        <v>4016</v>
      </c>
      <c r="K1138" s="16">
        <v>241</v>
      </c>
      <c r="L1138" s="16">
        <v>0</v>
      </c>
      <c r="M1138" s="16">
        <v>12719</v>
      </c>
      <c r="N1138" s="16">
        <v>767</v>
      </c>
      <c r="O1138">
        <v>0</v>
      </c>
      <c r="P1138">
        <v>0</v>
      </c>
      <c r="Q1138" s="20">
        <v>0.68330889729145772</v>
      </c>
      <c r="R1138" s="21">
        <v>6.0303482978221558E-2</v>
      </c>
    </row>
    <row r="1139" spans="1:18">
      <c r="A1139" t="s">
        <v>1704</v>
      </c>
      <c r="B1139" t="s">
        <v>83</v>
      </c>
      <c r="C1139" t="s">
        <v>104</v>
      </c>
      <c r="D1139">
        <v>2</v>
      </c>
      <c r="E1139" t="s">
        <v>132</v>
      </c>
      <c r="F1139" t="s">
        <v>1409</v>
      </c>
      <c r="G1139" t="s">
        <v>134</v>
      </c>
      <c r="H1139" s="16">
        <v>12548</v>
      </c>
      <c r="I1139" s="16">
        <v>89</v>
      </c>
      <c r="J1139" s="16">
        <v>3586</v>
      </c>
      <c r="K1139" s="16">
        <v>7503</v>
      </c>
      <c r="L1139" s="16">
        <v>7393</v>
      </c>
      <c r="M1139" s="16">
        <v>5045</v>
      </c>
      <c r="N1139" s="16">
        <v>-332</v>
      </c>
      <c r="O1139">
        <v>2</v>
      </c>
      <c r="P1139">
        <v>0</v>
      </c>
      <c r="Q1139" s="20">
        <v>7.0927637870576987E-3</v>
      </c>
      <c r="R1139" s="21">
        <v>-6.5807730426164515E-2</v>
      </c>
    </row>
    <row r="1140" spans="1:18">
      <c r="A1140" t="s">
        <v>1705</v>
      </c>
      <c r="B1140" t="s">
        <v>74</v>
      </c>
      <c r="C1140" t="s">
        <v>104</v>
      </c>
      <c r="D1140">
        <v>2</v>
      </c>
      <c r="E1140" t="s">
        <v>132</v>
      </c>
      <c r="F1140" t="s">
        <v>1706</v>
      </c>
      <c r="G1140" t="s">
        <v>134</v>
      </c>
      <c r="H1140" s="16">
        <v>12522</v>
      </c>
      <c r="I1140" s="16">
        <v>7628</v>
      </c>
      <c r="J1140" s="16">
        <v>4886</v>
      </c>
      <c r="K1140" s="16">
        <v>115</v>
      </c>
      <c r="L1140" s="16">
        <v>0</v>
      </c>
      <c r="M1140" s="16">
        <v>12406</v>
      </c>
      <c r="N1140" s="16">
        <v>921</v>
      </c>
      <c r="O1140">
        <v>0</v>
      </c>
      <c r="P1140">
        <v>0</v>
      </c>
      <c r="Q1140" s="20">
        <v>0.60916786455837724</v>
      </c>
      <c r="R1140" s="21">
        <v>7.4238271803965819E-2</v>
      </c>
    </row>
    <row r="1141" spans="1:18">
      <c r="A1141" t="s">
        <v>1707</v>
      </c>
      <c r="B1141" t="s">
        <v>83</v>
      </c>
      <c r="C1141" t="s">
        <v>104</v>
      </c>
      <c r="D1141">
        <v>2</v>
      </c>
      <c r="E1141" t="s">
        <v>132</v>
      </c>
      <c r="F1141" t="s">
        <v>1708</v>
      </c>
      <c r="G1141" t="s">
        <v>169</v>
      </c>
      <c r="H1141" s="16">
        <v>12371</v>
      </c>
      <c r="I1141" s="16">
        <v>558</v>
      </c>
      <c r="J1141" s="16">
        <v>0</v>
      </c>
      <c r="K1141" s="16">
        <v>4310</v>
      </c>
      <c r="L1141" s="16">
        <v>0</v>
      </c>
      <c r="M1141" s="16">
        <v>8062</v>
      </c>
      <c r="N1141" s="16">
        <v>2935</v>
      </c>
      <c r="O1141">
        <v>2</v>
      </c>
      <c r="P1141">
        <v>0</v>
      </c>
      <c r="Q1141" s="20">
        <v>4.510548864279363E-2</v>
      </c>
      <c r="R1141" s="21">
        <v>0.36405358471843213</v>
      </c>
    </row>
    <row r="1142" spans="1:18">
      <c r="A1142" t="s">
        <v>1709</v>
      </c>
      <c r="B1142" t="s">
        <v>86</v>
      </c>
      <c r="C1142" t="s">
        <v>101</v>
      </c>
      <c r="D1142">
        <v>3</v>
      </c>
      <c r="E1142" t="s">
        <v>143</v>
      </c>
      <c r="F1142" t="s">
        <v>205</v>
      </c>
      <c r="G1142" t="s">
        <v>206</v>
      </c>
      <c r="H1142" s="16">
        <v>12342</v>
      </c>
      <c r="I1142" s="16">
        <v>0</v>
      </c>
      <c r="J1142" s="16">
        <v>0</v>
      </c>
      <c r="K1142" s="16">
        <v>1839</v>
      </c>
      <c r="L1142" s="16">
        <v>241</v>
      </c>
      <c r="M1142" s="16">
        <v>10503</v>
      </c>
      <c r="N1142" s="16">
        <v>-386</v>
      </c>
      <c r="O1142">
        <v>2</v>
      </c>
      <c r="P1142">
        <v>0</v>
      </c>
      <c r="Q1142" s="20">
        <v>0</v>
      </c>
      <c r="R1142" s="21">
        <v>-3.6751404360658858E-2</v>
      </c>
    </row>
    <row r="1143" spans="1:18">
      <c r="A1143" t="s">
        <v>1710</v>
      </c>
      <c r="B1143" t="s">
        <v>86</v>
      </c>
      <c r="C1143" t="s">
        <v>101</v>
      </c>
      <c r="D1143">
        <v>2</v>
      </c>
      <c r="E1143" t="s">
        <v>132</v>
      </c>
      <c r="F1143" t="s">
        <v>133</v>
      </c>
      <c r="G1143" t="s">
        <v>134</v>
      </c>
      <c r="H1143" s="16">
        <v>12087</v>
      </c>
      <c r="I1143" s="16">
        <v>0</v>
      </c>
      <c r="J1143" s="16">
        <v>8791</v>
      </c>
      <c r="K1143" s="16">
        <v>3850</v>
      </c>
      <c r="L1143" s="16">
        <v>923</v>
      </c>
      <c r="M1143" s="16">
        <v>8237</v>
      </c>
      <c r="N1143" s="16">
        <v>-1812</v>
      </c>
      <c r="O1143">
        <v>2</v>
      </c>
      <c r="P1143">
        <v>0</v>
      </c>
      <c r="Q1143" s="20">
        <v>0</v>
      </c>
      <c r="R1143" s="21">
        <v>-0.21998300352069927</v>
      </c>
    </row>
    <row r="1144" spans="1:18">
      <c r="A1144" t="s">
        <v>1711</v>
      </c>
      <c r="B1144" t="s">
        <v>83</v>
      </c>
      <c r="C1144" t="s">
        <v>104</v>
      </c>
      <c r="D1144">
        <v>2</v>
      </c>
      <c r="E1144" t="s">
        <v>132</v>
      </c>
      <c r="F1144" t="s">
        <v>1445</v>
      </c>
      <c r="G1144" t="s">
        <v>134</v>
      </c>
      <c r="H1144" s="16">
        <v>12085</v>
      </c>
      <c r="I1144" s="16">
        <v>1117</v>
      </c>
      <c r="J1144" s="16">
        <v>8970</v>
      </c>
      <c r="K1144" s="16">
        <v>2397</v>
      </c>
      <c r="L1144" s="16">
        <v>0</v>
      </c>
      <c r="M1144" s="16">
        <v>9688</v>
      </c>
      <c r="N1144" s="16">
        <v>-635</v>
      </c>
      <c r="O1144">
        <v>2</v>
      </c>
      <c r="P1144">
        <v>0</v>
      </c>
      <c r="Q1144" s="20">
        <v>9.2428630533719483E-2</v>
      </c>
      <c r="R1144" s="21">
        <v>-6.5545004128819154E-2</v>
      </c>
    </row>
    <row r="1145" spans="1:18">
      <c r="A1145" t="s">
        <v>1712</v>
      </c>
      <c r="B1145" t="s">
        <v>74</v>
      </c>
      <c r="C1145" t="s">
        <v>104</v>
      </c>
      <c r="D1145">
        <v>2</v>
      </c>
      <c r="E1145" t="s">
        <v>132</v>
      </c>
      <c r="F1145" t="s">
        <v>133</v>
      </c>
      <c r="G1145" t="s">
        <v>134</v>
      </c>
      <c r="H1145" s="16">
        <v>12062</v>
      </c>
      <c r="I1145" s="16">
        <v>6234</v>
      </c>
      <c r="J1145" s="16">
        <v>5308</v>
      </c>
      <c r="K1145" s="16">
        <v>118</v>
      </c>
      <c r="L1145" s="16">
        <v>0</v>
      </c>
      <c r="M1145" s="16">
        <v>11944</v>
      </c>
      <c r="N1145" s="16">
        <v>561</v>
      </c>
      <c r="O1145">
        <v>0</v>
      </c>
      <c r="P1145">
        <v>0</v>
      </c>
      <c r="Q1145" s="20">
        <v>0.51682971314873161</v>
      </c>
      <c r="R1145" s="21">
        <v>4.6969189551239118E-2</v>
      </c>
    </row>
    <row r="1146" spans="1:18">
      <c r="A1146" t="s">
        <v>1713</v>
      </c>
      <c r="B1146" t="s">
        <v>74</v>
      </c>
      <c r="C1146" t="s">
        <v>104</v>
      </c>
      <c r="D1146">
        <v>2</v>
      </c>
      <c r="E1146" t="s">
        <v>132</v>
      </c>
      <c r="F1146" t="s">
        <v>133</v>
      </c>
      <c r="G1146" t="s">
        <v>134</v>
      </c>
      <c r="H1146" s="16">
        <v>11988</v>
      </c>
      <c r="I1146" s="16">
        <v>6249</v>
      </c>
      <c r="J1146" s="16">
        <v>5676</v>
      </c>
      <c r="K1146" s="16">
        <v>823</v>
      </c>
      <c r="L1146" s="16">
        <v>0</v>
      </c>
      <c r="M1146" s="16">
        <v>11166</v>
      </c>
      <c r="N1146" s="16">
        <v>617</v>
      </c>
      <c r="O1146">
        <v>0</v>
      </c>
      <c r="P1146">
        <v>0</v>
      </c>
      <c r="Q1146" s="20">
        <v>0.52127127127127126</v>
      </c>
      <c r="R1146" s="21">
        <v>5.5257030270463907E-2</v>
      </c>
    </row>
    <row r="1147" spans="1:18">
      <c r="A1147" t="s">
        <v>1714</v>
      </c>
      <c r="B1147" t="s">
        <v>83</v>
      </c>
      <c r="C1147" t="s">
        <v>104</v>
      </c>
      <c r="D1147">
        <v>2</v>
      </c>
      <c r="E1147" t="s">
        <v>132</v>
      </c>
      <c r="F1147" t="s">
        <v>1715</v>
      </c>
      <c r="G1147" t="s">
        <v>134</v>
      </c>
      <c r="H1147" s="16">
        <v>11985</v>
      </c>
      <c r="I1147" s="16">
        <v>7686</v>
      </c>
      <c r="J1147" s="16">
        <v>4178</v>
      </c>
      <c r="K1147" s="16">
        <v>1055</v>
      </c>
      <c r="L1147" s="16">
        <v>0</v>
      </c>
      <c r="M1147" s="16">
        <v>10931</v>
      </c>
      <c r="N1147" s="16">
        <v>849</v>
      </c>
      <c r="O1147">
        <v>2</v>
      </c>
      <c r="P1147">
        <v>0</v>
      </c>
      <c r="Q1147" s="20">
        <v>0.64130162703379223</v>
      </c>
      <c r="R1147" s="21">
        <v>7.7669014728753094E-2</v>
      </c>
    </row>
    <row r="1148" spans="1:18">
      <c r="A1148" t="s">
        <v>1716</v>
      </c>
      <c r="B1148" t="s">
        <v>86</v>
      </c>
      <c r="C1148" t="s">
        <v>104</v>
      </c>
      <c r="D1148">
        <v>2</v>
      </c>
      <c r="E1148" t="s">
        <v>132</v>
      </c>
      <c r="F1148" t="s">
        <v>783</v>
      </c>
      <c r="G1148" t="s">
        <v>744</v>
      </c>
      <c r="H1148" s="16">
        <v>11970</v>
      </c>
      <c r="I1148" s="16">
        <v>0</v>
      </c>
      <c r="J1148" s="16">
        <v>1525</v>
      </c>
      <c r="K1148" s="16">
        <v>4863</v>
      </c>
      <c r="L1148" s="16">
        <v>0</v>
      </c>
      <c r="M1148" s="16">
        <v>7107</v>
      </c>
      <c r="N1148" s="16">
        <v>-530</v>
      </c>
      <c r="O1148">
        <v>13</v>
      </c>
      <c r="P1148">
        <v>0</v>
      </c>
      <c r="Q1148" s="20">
        <v>0</v>
      </c>
      <c r="R1148" s="21">
        <v>-7.4574363303785002E-2</v>
      </c>
    </row>
    <row r="1149" spans="1:18">
      <c r="A1149" t="s">
        <v>1717</v>
      </c>
      <c r="B1149" t="s">
        <v>74</v>
      </c>
      <c r="C1149" t="s">
        <v>104</v>
      </c>
      <c r="D1149">
        <v>2</v>
      </c>
      <c r="E1149" t="s">
        <v>132</v>
      </c>
      <c r="F1149" t="s">
        <v>220</v>
      </c>
      <c r="G1149" t="s">
        <v>134</v>
      </c>
      <c r="H1149" s="16">
        <v>11948</v>
      </c>
      <c r="I1149" s="16">
        <v>10617</v>
      </c>
      <c r="J1149" s="16">
        <v>1300</v>
      </c>
      <c r="K1149" s="16">
        <v>885</v>
      </c>
      <c r="L1149" s="16">
        <v>0</v>
      </c>
      <c r="M1149" s="16">
        <v>11063</v>
      </c>
      <c r="N1149" s="16">
        <v>524</v>
      </c>
      <c r="O1149">
        <v>0</v>
      </c>
      <c r="P1149">
        <v>0</v>
      </c>
      <c r="Q1149" s="20">
        <v>0.88860060261131568</v>
      </c>
      <c r="R1149" s="21">
        <v>4.7365090843351713E-2</v>
      </c>
    </row>
    <row r="1150" spans="1:18">
      <c r="A1150" t="s">
        <v>1718</v>
      </c>
      <c r="B1150" t="s">
        <v>83</v>
      </c>
      <c r="C1150" t="s">
        <v>104</v>
      </c>
      <c r="D1150">
        <v>2</v>
      </c>
      <c r="E1150" t="s">
        <v>132</v>
      </c>
      <c r="F1150" t="s">
        <v>783</v>
      </c>
      <c r="G1150" t="s">
        <v>744</v>
      </c>
      <c r="H1150" s="16">
        <v>11851</v>
      </c>
      <c r="I1150" s="16">
        <v>0</v>
      </c>
      <c r="J1150" s="16">
        <v>9304</v>
      </c>
      <c r="K1150" s="16">
        <v>1566</v>
      </c>
      <c r="L1150" s="16">
        <v>1395</v>
      </c>
      <c r="M1150" s="16">
        <v>10285</v>
      </c>
      <c r="N1150" s="16">
        <v>136</v>
      </c>
      <c r="O1150">
        <v>2</v>
      </c>
      <c r="P1150">
        <v>0</v>
      </c>
      <c r="Q1150" s="20">
        <v>0</v>
      </c>
      <c r="R1150" s="21">
        <v>1.3223140495867768E-2</v>
      </c>
    </row>
    <row r="1151" spans="1:18">
      <c r="A1151" t="s">
        <v>1719</v>
      </c>
      <c r="B1151" t="s">
        <v>74</v>
      </c>
      <c r="C1151" t="s">
        <v>104</v>
      </c>
      <c r="D1151">
        <v>2</v>
      </c>
      <c r="E1151" t="s">
        <v>132</v>
      </c>
      <c r="F1151" t="s">
        <v>168</v>
      </c>
      <c r="G1151" t="s">
        <v>169</v>
      </c>
      <c r="H1151" s="16">
        <v>11788</v>
      </c>
      <c r="I1151" s="16">
        <v>10356</v>
      </c>
      <c r="J1151" s="16">
        <v>269</v>
      </c>
      <c r="K1151" s="16">
        <v>1507</v>
      </c>
      <c r="L1151" s="16">
        <v>0</v>
      </c>
      <c r="M1151" s="16">
        <v>10281</v>
      </c>
      <c r="N1151" s="16">
        <v>-1302</v>
      </c>
      <c r="O1151">
        <v>0</v>
      </c>
      <c r="P1151">
        <v>0</v>
      </c>
      <c r="Q1151" s="20">
        <v>0.87852052935188329</v>
      </c>
      <c r="R1151" s="21">
        <v>-0.12664137729792821</v>
      </c>
    </row>
    <row r="1152" spans="1:18">
      <c r="A1152" t="s">
        <v>1720</v>
      </c>
      <c r="B1152" t="s">
        <v>74</v>
      </c>
      <c r="C1152" t="s">
        <v>104</v>
      </c>
      <c r="D1152">
        <v>2</v>
      </c>
      <c r="E1152" t="s">
        <v>132</v>
      </c>
      <c r="F1152" t="s">
        <v>190</v>
      </c>
      <c r="G1152" t="s">
        <v>191</v>
      </c>
      <c r="H1152" s="16">
        <v>11776</v>
      </c>
      <c r="I1152" s="16">
        <v>8649</v>
      </c>
      <c r="J1152" s="16">
        <v>1216</v>
      </c>
      <c r="K1152" s="16">
        <v>4862</v>
      </c>
      <c r="L1152" s="16">
        <v>3335</v>
      </c>
      <c r="M1152" s="16">
        <v>6914</v>
      </c>
      <c r="N1152" s="16">
        <v>67</v>
      </c>
      <c r="O1152">
        <v>0</v>
      </c>
      <c r="P1152">
        <v>0</v>
      </c>
      <c r="Q1152" s="20">
        <v>0.73445991847826086</v>
      </c>
      <c r="R1152" s="21">
        <v>9.6904830778131324E-3</v>
      </c>
    </row>
    <row r="1153" spans="1:18">
      <c r="A1153" t="s">
        <v>1721</v>
      </c>
      <c r="B1153" t="s">
        <v>74</v>
      </c>
      <c r="C1153" t="s">
        <v>104</v>
      </c>
      <c r="D1153">
        <v>2</v>
      </c>
      <c r="E1153" t="s">
        <v>132</v>
      </c>
      <c r="F1153" t="s">
        <v>145</v>
      </c>
      <c r="G1153" t="s">
        <v>146</v>
      </c>
      <c r="H1153" s="16">
        <v>11718</v>
      </c>
      <c r="I1153" s="16">
        <v>7200</v>
      </c>
      <c r="J1153" s="16">
        <v>2683</v>
      </c>
      <c r="K1153" s="16">
        <v>4302</v>
      </c>
      <c r="L1153" s="16">
        <v>2683</v>
      </c>
      <c r="M1153" s="16">
        <v>7416</v>
      </c>
      <c r="N1153" s="16">
        <v>-56</v>
      </c>
      <c r="O1153">
        <v>0</v>
      </c>
      <c r="P1153">
        <v>2</v>
      </c>
      <c r="Q1153" s="20">
        <v>0.61443932411674351</v>
      </c>
      <c r="R1153" s="21">
        <v>-7.551240560949299E-3</v>
      </c>
    </row>
    <row r="1154" spans="1:18">
      <c r="A1154" t="s">
        <v>1722</v>
      </c>
      <c r="B1154" t="s">
        <v>89</v>
      </c>
      <c r="C1154" t="s">
        <v>162</v>
      </c>
      <c r="D1154">
        <v>2</v>
      </c>
      <c r="E1154" t="s">
        <v>132</v>
      </c>
      <c r="F1154" t="s">
        <v>210</v>
      </c>
      <c r="G1154" t="s">
        <v>211</v>
      </c>
      <c r="H1154" s="16">
        <v>11642</v>
      </c>
      <c r="I1154" s="16">
        <v>0</v>
      </c>
      <c r="J1154" s="16">
        <v>1472</v>
      </c>
      <c r="K1154" s="16">
        <v>3756</v>
      </c>
      <c r="L1154" s="16">
        <v>1351</v>
      </c>
      <c r="M1154" s="16">
        <v>7886</v>
      </c>
      <c r="N1154" s="16">
        <v>2399</v>
      </c>
      <c r="O1154">
        <v>1</v>
      </c>
      <c r="P1154">
        <v>0</v>
      </c>
      <c r="Q1154" s="20">
        <v>0</v>
      </c>
      <c r="R1154" s="21">
        <v>0.30420999239158003</v>
      </c>
    </row>
    <row r="1155" spans="1:18">
      <c r="A1155" t="s">
        <v>1723</v>
      </c>
      <c r="B1155" t="s">
        <v>83</v>
      </c>
      <c r="C1155" t="s">
        <v>104</v>
      </c>
      <c r="D1155">
        <v>3</v>
      </c>
      <c r="E1155" t="s">
        <v>143</v>
      </c>
      <c r="F1155" t="s">
        <v>145</v>
      </c>
      <c r="G1155" t="s">
        <v>146</v>
      </c>
      <c r="H1155" s="16">
        <v>11539</v>
      </c>
      <c r="I1155" s="16">
        <v>2495</v>
      </c>
      <c r="J1155" s="16">
        <v>483</v>
      </c>
      <c r="K1155" s="16">
        <v>2794</v>
      </c>
      <c r="L1155" s="16">
        <v>572</v>
      </c>
      <c r="M1155" s="16">
        <v>8745</v>
      </c>
      <c r="N1155" s="16">
        <v>1090</v>
      </c>
      <c r="O1155">
        <v>2</v>
      </c>
      <c r="P1155">
        <v>0</v>
      </c>
      <c r="Q1155" s="20">
        <v>0.21622324291533063</v>
      </c>
      <c r="R1155" s="21">
        <v>0.12464265294453973</v>
      </c>
    </row>
    <row r="1156" spans="1:18">
      <c r="A1156" t="s">
        <v>1724</v>
      </c>
      <c r="B1156" t="s">
        <v>74</v>
      </c>
      <c r="C1156" t="s">
        <v>104</v>
      </c>
      <c r="D1156">
        <v>2</v>
      </c>
      <c r="E1156" t="s">
        <v>132</v>
      </c>
      <c r="F1156" t="s">
        <v>404</v>
      </c>
      <c r="G1156" t="s">
        <v>405</v>
      </c>
      <c r="H1156" s="16">
        <v>11501</v>
      </c>
      <c r="I1156" s="16">
        <v>9574</v>
      </c>
      <c r="J1156" s="16">
        <v>1187</v>
      </c>
      <c r="K1156" s="16">
        <v>4397</v>
      </c>
      <c r="L1156" s="16">
        <v>4098</v>
      </c>
      <c r="M1156" s="16">
        <v>7103</v>
      </c>
      <c r="N1156" s="16">
        <v>81</v>
      </c>
      <c r="O1156">
        <v>0</v>
      </c>
      <c r="P1156">
        <v>1</v>
      </c>
      <c r="Q1156" s="20">
        <v>0.83244935223024086</v>
      </c>
      <c r="R1156" s="21">
        <v>1.1403632268055752E-2</v>
      </c>
    </row>
    <row r="1157" spans="1:18">
      <c r="A1157" t="s">
        <v>1725</v>
      </c>
      <c r="B1157" t="s">
        <v>86</v>
      </c>
      <c r="C1157" t="s">
        <v>101</v>
      </c>
      <c r="D1157">
        <v>2</v>
      </c>
      <c r="E1157" t="s">
        <v>132</v>
      </c>
      <c r="F1157" t="s">
        <v>168</v>
      </c>
      <c r="G1157" t="s">
        <v>169</v>
      </c>
      <c r="H1157" s="16">
        <v>11443</v>
      </c>
      <c r="I1157" s="16">
        <v>0</v>
      </c>
      <c r="J1157" s="16">
        <v>1466</v>
      </c>
      <c r="K1157" s="16">
        <v>2480</v>
      </c>
      <c r="L1157" s="16">
        <v>939</v>
      </c>
      <c r="M1157" s="16">
        <v>8963</v>
      </c>
      <c r="N1157" s="16">
        <v>-273</v>
      </c>
      <c r="O1157">
        <v>2</v>
      </c>
      <c r="P1157">
        <v>0</v>
      </c>
      <c r="Q1157" s="20">
        <v>0</v>
      </c>
      <c r="R1157" s="21">
        <v>-3.0458551824166017E-2</v>
      </c>
    </row>
    <row r="1158" spans="1:18">
      <c r="A1158" t="s">
        <v>1726</v>
      </c>
      <c r="B1158" t="s">
        <v>83</v>
      </c>
      <c r="C1158" t="s">
        <v>104</v>
      </c>
      <c r="D1158">
        <v>2</v>
      </c>
      <c r="E1158" t="s">
        <v>132</v>
      </c>
      <c r="F1158" t="s">
        <v>197</v>
      </c>
      <c r="G1158" t="s">
        <v>198</v>
      </c>
      <c r="H1158" s="16">
        <v>11427</v>
      </c>
      <c r="I1158" s="16">
        <v>5439</v>
      </c>
      <c r="J1158" s="16">
        <v>5322</v>
      </c>
      <c r="K1158" s="16">
        <v>434</v>
      </c>
      <c r="L1158" s="16">
        <v>345</v>
      </c>
      <c r="M1158" s="16">
        <v>10993</v>
      </c>
      <c r="N1158" s="16">
        <v>32</v>
      </c>
      <c r="O1158">
        <v>2</v>
      </c>
      <c r="P1158">
        <v>0</v>
      </c>
      <c r="Q1158" s="20">
        <v>0.47597794696770807</v>
      </c>
      <c r="R1158" s="21">
        <v>2.9109433275720915E-3</v>
      </c>
    </row>
    <row r="1159" spans="1:18">
      <c r="A1159" t="s">
        <v>1727</v>
      </c>
      <c r="B1159" t="s">
        <v>89</v>
      </c>
      <c r="C1159" t="s">
        <v>162</v>
      </c>
      <c r="D1159">
        <v>2</v>
      </c>
      <c r="E1159" t="s">
        <v>132</v>
      </c>
      <c r="F1159" t="s">
        <v>322</v>
      </c>
      <c r="G1159" t="s">
        <v>311</v>
      </c>
      <c r="H1159" s="16">
        <v>11331</v>
      </c>
      <c r="I1159" s="16">
        <v>0</v>
      </c>
      <c r="J1159" s="16">
        <v>0</v>
      </c>
      <c r="K1159" s="16">
        <v>4708</v>
      </c>
      <c r="L1159" s="16">
        <v>4067</v>
      </c>
      <c r="M1159" s="16">
        <v>6622</v>
      </c>
      <c r="N1159" s="16">
        <v>-1562</v>
      </c>
      <c r="O1159">
        <v>1</v>
      </c>
      <c r="P1159">
        <v>0</v>
      </c>
      <c r="Q1159" s="20">
        <v>0</v>
      </c>
      <c r="R1159" s="21">
        <v>-0.23588039867109634</v>
      </c>
    </row>
    <row r="1160" spans="1:18">
      <c r="A1160" t="s">
        <v>1728</v>
      </c>
      <c r="B1160" t="s">
        <v>83</v>
      </c>
      <c r="C1160" t="s">
        <v>104</v>
      </c>
      <c r="D1160">
        <v>2</v>
      </c>
      <c r="E1160" t="s">
        <v>132</v>
      </c>
      <c r="F1160" t="s">
        <v>152</v>
      </c>
      <c r="G1160" t="s">
        <v>153</v>
      </c>
      <c r="H1160" s="16">
        <v>11329</v>
      </c>
      <c r="I1160" s="16">
        <v>1216</v>
      </c>
      <c r="J1160" s="16">
        <v>4669</v>
      </c>
      <c r="K1160" s="16">
        <v>186</v>
      </c>
      <c r="L1160" s="16">
        <v>0</v>
      </c>
      <c r="M1160" s="16">
        <v>11143</v>
      </c>
      <c r="N1160" s="16">
        <v>-621</v>
      </c>
      <c r="O1160">
        <v>2</v>
      </c>
      <c r="P1160">
        <v>0</v>
      </c>
      <c r="Q1160" s="20">
        <v>0.10733515756024362</v>
      </c>
      <c r="R1160" s="21">
        <v>-5.5730054742887912E-2</v>
      </c>
    </row>
    <row r="1161" spans="1:18">
      <c r="A1161" t="s">
        <v>1729</v>
      </c>
      <c r="B1161" t="s">
        <v>83</v>
      </c>
      <c r="C1161" t="s">
        <v>104</v>
      </c>
      <c r="D1161">
        <v>2</v>
      </c>
      <c r="E1161" t="s">
        <v>132</v>
      </c>
      <c r="F1161" t="s">
        <v>197</v>
      </c>
      <c r="G1161" t="s">
        <v>198</v>
      </c>
      <c r="H1161" s="16">
        <v>11215</v>
      </c>
      <c r="I1161" s="16">
        <v>6230</v>
      </c>
      <c r="J1161" s="16">
        <v>4116</v>
      </c>
      <c r="K1161" s="16">
        <v>717</v>
      </c>
      <c r="L1161" s="16">
        <v>0</v>
      </c>
      <c r="M1161" s="16">
        <v>10498</v>
      </c>
      <c r="N1161" s="16">
        <v>1004</v>
      </c>
      <c r="O1161">
        <v>2</v>
      </c>
      <c r="P1161">
        <v>0</v>
      </c>
      <c r="Q1161" s="20">
        <v>0.555506018724922</v>
      </c>
      <c r="R1161" s="21">
        <v>9.5637264240807776E-2</v>
      </c>
    </row>
    <row r="1162" spans="1:18">
      <c r="A1162" t="s">
        <v>1730</v>
      </c>
      <c r="B1162" t="s">
        <v>86</v>
      </c>
      <c r="C1162" t="s">
        <v>101</v>
      </c>
      <c r="D1162">
        <v>2</v>
      </c>
      <c r="E1162" t="s">
        <v>132</v>
      </c>
      <c r="F1162" t="s">
        <v>133</v>
      </c>
      <c r="G1162" t="s">
        <v>134</v>
      </c>
      <c r="H1162" s="16">
        <v>11175</v>
      </c>
      <c r="I1162" s="16">
        <v>0</v>
      </c>
      <c r="J1162" s="16">
        <v>5875</v>
      </c>
      <c r="K1162" s="16">
        <v>1130</v>
      </c>
      <c r="L1162" s="16">
        <v>0</v>
      </c>
      <c r="M1162" s="16">
        <v>10045</v>
      </c>
      <c r="N1162" s="16">
        <v>1082</v>
      </c>
      <c r="O1162">
        <v>2</v>
      </c>
      <c r="P1162">
        <v>0</v>
      </c>
      <c r="Q1162" s="20">
        <v>0</v>
      </c>
      <c r="R1162" s="21">
        <v>0.107715281234445</v>
      </c>
    </row>
    <row r="1163" spans="1:18">
      <c r="A1163" t="s">
        <v>1731</v>
      </c>
      <c r="B1163" t="s">
        <v>74</v>
      </c>
      <c r="C1163" t="s">
        <v>104</v>
      </c>
      <c r="D1163">
        <v>2</v>
      </c>
      <c r="E1163" t="s">
        <v>132</v>
      </c>
      <c r="F1163" t="s">
        <v>1732</v>
      </c>
      <c r="G1163" t="s">
        <v>134</v>
      </c>
      <c r="H1163" s="16">
        <v>11075</v>
      </c>
      <c r="I1163" s="16">
        <v>6828</v>
      </c>
      <c r="J1163" s="16">
        <v>3774</v>
      </c>
      <c r="K1163" s="16">
        <v>274</v>
      </c>
      <c r="L1163" s="16">
        <v>0</v>
      </c>
      <c r="M1163" s="16">
        <v>10801</v>
      </c>
      <c r="N1163" s="16">
        <v>664</v>
      </c>
      <c r="O1163">
        <v>0</v>
      </c>
      <c r="P1163">
        <v>0</v>
      </c>
      <c r="Q1163" s="20">
        <v>0.61652370203160267</v>
      </c>
      <c r="R1163" s="21">
        <v>6.1475789278770482E-2</v>
      </c>
    </row>
    <row r="1164" spans="1:18">
      <c r="A1164" t="s">
        <v>1733</v>
      </c>
      <c r="B1164" t="s">
        <v>74</v>
      </c>
      <c r="C1164" t="s">
        <v>104</v>
      </c>
      <c r="D1164">
        <v>2</v>
      </c>
      <c r="E1164" t="s">
        <v>132</v>
      </c>
      <c r="F1164" t="s">
        <v>1225</v>
      </c>
      <c r="G1164" t="s">
        <v>134</v>
      </c>
      <c r="H1164" s="16">
        <v>11046</v>
      </c>
      <c r="I1164" s="16">
        <v>44</v>
      </c>
      <c r="J1164" s="16">
        <v>16</v>
      </c>
      <c r="K1164" s="16">
        <v>2315</v>
      </c>
      <c r="L1164" s="16">
        <v>0</v>
      </c>
      <c r="M1164" s="16">
        <v>8731</v>
      </c>
      <c r="N1164" s="16">
        <v>-310</v>
      </c>
      <c r="O1164">
        <v>0</v>
      </c>
      <c r="P1164">
        <v>0</v>
      </c>
      <c r="Q1164" s="20">
        <v>3.9833423863842119E-3</v>
      </c>
      <c r="R1164" s="21">
        <v>-3.5505669453670827E-2</v>
      </c>
    </row>
    <row r="1165" spans="1:18">
      <c r="A1165" t="s">
        <v>1734</v>
      </c>
      <c r="B1165" t="s">
        <v>83</v>
      </c>
      <c r="C1165" t="s">
        <v>104</v>
      </c>
      <c r="D1165">
        <v>2</v>
      </c>
      <c r="E1165" t="s">
        <v>132</v>
      </c>
      <c r="F1165" t="s">
        <v>172</v>
      </c>
      <c r="G1165" t="s">
        <v>173</v>
      </c>
      <c r="H1165" s="16">
        <v>10985</v>
      </c>
      <c r="I1165" s="16">
        <v>9076</v>
      </c>
      <c r="J1165" s="16">
        <v>0</v>
      </c>
      <c r="K1165" s="16">
        <v>6826</v>
      </c>
      <c r="L1165" s="16">
        <v>0</v>
      </c>
      <c r="M1165" s="16">
        <v>4158</v>
      </c>
      <c r="N1165" s="16">
        <v>836</v>
      </c>
      <c r="O1165">
        <v>2</v>
      </c>
      <c r="P1165">
        <v>0</v>
      </c>
      <c r="Q1165" s="20">
        <v>0.82621756941283564</v>
      </c>
      <c r="R1165" s="21">
        <v>0.20105820105820105</v>
      </c>
    </row>
    <row r="1166" spans="1:18">
      <c r="A1166" t="s">
        <v>1735</v>
      </c>
      <c r="B1166" t="s">
        <v>83</v>
      </c>
      <c r="C1166" t="s">
        <v>104</v>
      </c>
      <c r="D1166">
        <v>2</v>
      </c>
      <c r="E1166" t="s">
        <v>132</v>
      </c>
      <c r="F1166" t="s">
        <v>791</v>
      </c>
      <c r="G1166" t="s">
        <v>169</v>
      </c>
      <c r="H1166" s="16">
        <v>10941</v>
      </c>
      <c r="I1166" s="16">
        <v>3527</v>
      </c>
      <c r="J1166" s="16">
        <v>3981</v>
      </c>
      <c r="K1166" s="16">
        <v>4837</v>
      </c>
      <c r="L1166" s="16">
        <v>1058</v>
      </c>
      <c r="M1166" s="16">
        <v>6104</v>
      </c>
      <c r="N1166" s="16">
        <v>21</v>
      </c>
      <c r="O1166">
        <v>2</v>
      </c>
      <c r="P1166">
        <v>0</v>
      </c>
      <c r="Q1166" s="20">
        <v>0.32236541449593276</v>
      </c>
      <c r="R1166" s="21">
        <v>3.4403669724770644E-3</v>
      </c>
    </row>
    <row r="1167" spans="1:18">
      <c r="A1167" t="s">
        <v>1736</v>
      </c>
      <c r="B1167" t="s">
        <v>74</v>
      </c>
      <c r="C1167" t="s">
        <v>104</v>
      </c>
      <c r="D1167">
        <v>2</v>
      </c>
      <c r="E1167" t="s">
        <v>132</v>
      </c>
      <c r="F1167" t="s">
        <v>1737</v>
      </c>
      <c r="G1167" t="s">
        <v>134</v>
      </c>
      <c r="H1167" s="16">
        <v>10893</v>
      </c>
      <c r="I1167" s="16">
        <v>6681</v>
      </c>
      <c r="J1167" s="16">
        <v>0</v>
      </c>
      <c r="K1167" s="16">
        <v>1603</v>
      </c>
      <c r="L1167" s="16">
        <v>0</v>
      </c>
      <c r="M1167" s="16">
        <v>9290</v>
      </c>
      <c r="N1167" s="16">
        <v>199</v>
      </c>
      <c r="O1167">
        <v>0</v>
      </c>
      <c r="P1167">
        <v>0</v>
      </c>
      <c r="Q1167" s="20">
        <v>0.61332966125034427</v>
      </c>
      <c r="R1167" s="21">
        <v>2.1420882669537136E-2</v>
      </c>
    </row>
    <row r="1168" spans="1:18">
      <c r="A1168" t="s">
        <v>1738</v>
      </c>
      <c r="B1168" t="s">
        <v>86</v>
      </c>
      <c r="C1168" t="s">
        <v>101</v>
      </c>
      <c r="D1168">
        <v>2</v>
      </c>
      <c r="E1168" t="s">
        <v>132</v>
      </c>
      <c r="F1168" t="s">
        <v>133</v>
      </c>
      <c r="G1168" t="s">
        <v>134</v>
      </c>
      <c r="H1168" s="16">
        <v>10748</v>
      </c>
      <c r="I1168" s="16">
        <v>0</v>
      </c>
      <c r="J1168" s="16">
        <v>6686</v>
      </c>
      <c r="K1168" s="16">
        <v>1216</v>
      </c>
      <c r="L1168" s="16">
        <v>0</v>
      </c>
      <c r="M1168" s="16">
        <v>9532</v>
      </c>
      <c r="N1168" s="16">
        <v>-1049</v>
      </c>
      <c r="O1168">
        <v>2</v>
      </c>
      <c r="P1168">
        <v>0</v>
      </c>
      <c r="Q1168" s="20">
        <v>0</v>
      </c>
      <c r="R1168" s="21">
        <v>-0.11005035669324381</v>
      </c>
    </row>
    <row r="1169" spans="1:18">
      <c r="A1169" t="s">
        <v>1739</v>
      </c>
      <c r="B1169" t="s">
        <v>83</v>
      </c>
      <c r="C1169" t="s">
        <v>104</v>
      </c>
      <c r="D1169">
        <v>2</v>
      </c>
      <c r="E1169" t="s">
        <v>132</v>
      </c>
      <c r="F1169" t="s">
        <v>944</v>
      </c>
      <c r="G1169" t="s">
        <v>945</v>
      </c>
      <c r="H1169" s="16">
        <v>10684</v>
      </c>
      <c r="I1169" s="16">
        <v>841</v>
      </c>
      <c r="J1169" s="16">
        <v>9597</v>
      </c>
      <c r="K1169" s="16">
        <v>182</v>
      </c>
      <c r="L1169" s="16">
        <v>0</v>
      </c>
      <c r="M1169" s="16">
        <v>10501</v>
      </c>
      <c r="N1169" s="16">
        <v>219</v>
      </c>
      <c r="O1169">
        <v>2</v>
      </c>
      <c r="P1169">
        <v>0</v>
      </c>
      <c r="Q1169" s="20">
        <v>7.8715836765256453E-2</v>
      </c>
      <c r="R1169" s="21">
        <v>2.0855156651747454E-2</v>
      </c>
    </row>
    <row r="1170" spans="1:18">
      <c r="A1170" t="s">
        <v>1740</v>
      </c>
      <c r="B1170" t="s">
        <v>83</v>
      </c>
      <c r="C1170" t="s">
        <v>104</v>
      </c>
      <c r="D1170">
        <v>2</v>
      </c>
      <c r="E1170" t="s">
        <v>132</v>
      </c>
      <c r="F1170" t="s">
        <v>1741</v>
      </c>
      <c r="G1170" t="s">
        <v>169</v>
      </c>
      <c r="H1170" s="16">
        <v>10488</v>
      </c>
      <c r="I1170" s="16">
        <v>6763</v>
      </c>
      <c r="J1170" s="16">
        <v>2931</v>
      </c>
      <c r="K1170" s="16">
        <v>2326</v>
      </c>
      <c r="L1170" s="16">
        <v>0</v>
      </c>
      <c r="M1170" s="16">
        <v>8162</v>
      </c>
      <c r="N1170" s="16">
        <v>550</v>
      </c>
      <c r="O1170">
        <v>2</v>
      </c>
      <c r="P1170">
        <v>0</v>
      </c>
      <c r="Q1170" s="20">
        <v>0.64483218916857366</v>
      </c>
      <c r="R1170" s="21">
        <v>6.7385444743935305E-2</v>
      </c>
    </row>
    <row r="1171" spans="1:18">
      <c r="A1171" t="s">
        <v>1742</v>
      </c>
      <c r="B1171" t="s">
        <v>83</v>
      </c>
      <c r="C1171" t="s">
        <v>104</v>
      </c>
      <c r="D1171">
        <v>2</v>
      </c>
      <c r="E1171" t="s">
        <v>132</v>
      </c>
      <c r="F1171" t="s">
        <v>145</v>
      </c>
      <c r="G1171" t="s">
        <v>146</v>
      </c>
      <c r="H1171" s="16">
        <v>10404</v>
      </c>
      <c r="I1171" s="16">
        <v>9160</v>
      </c>
      <c r="J1171" s="16">
        <v>210</v>
      </c>
      <c r="K1171" s="16">
        <v>170</v>
      </c>
      <c r="L1171" s="16">
        <v>0</v>
      </c>
      <c r="M1171" s="16">
        <v>10234</v>
      </c>
      <c r="N1171" s="16">
        <v>20</v>
      </c>
      <c r="O1171">
        <v>2</v>
      </c>
      <c r="P1171">
        <v>0</v>
      </c>
      <c r="Q1171" s="20">
        <v>0.88043060361399461</v>
      </c>
      <c r="R1171" s="21">
        <v>1.9542700801250734E-3</v>
      </c>
    </row>
    <row r="1172" spans="1:18">
      <c r="A1172" t="s">
        <v>1743</v>
      </c>
      <c r="B1172" t="s">
        <v>74</v>
      </c>
      <c r="C1172" t="s">
        <v>104</v>
      </c>
      <c r="D1172">
        <v>2</v>
      </c>
      <c r="E1172" t="s">
        <v>132</v>
      </c>
      <c r="F1172" t="s">
        <v>1744</v>
      </c>
      <c r="G1172" t="s">
        <v>153</v>
      </c>
      <c r="H1172" s="16">
        <v>10324</v>
      </c>
      <c r="I1172" s="16">
        <v>6603</v>
      </c>
      <c r="J1172" s="16">
        <v>110</v>
      </c>
      <c r="K1172" s="16">
        <v>4288</v>
      </c>
      <c r="L1172" s="16">
        <v>3278</v>
      </c>
      <c r="M1172" s="16">
        <v>6036</v>
      </c>
      <c r="N1172" s="16">
        <v>100</v>
      </c>
      <c r="O1172">
        <v>0</v>
      </c>
      <c r="P1172">
        <v>0</v>
      </c>
      <c r="Q1172" s="20">
        <v>0.6395776830685781</v>
      </c>
      <c r="R1172" s="21">
        <v>1.656726308813784E-2</v>
      </c>
    </row>
    <row r="1173" spans="1:18">
      <c r="A1173" t="s">
        <v>1745</v>
      </c>
      <c r="B1173" t="s">
        <v>74</v>
      </c>
      <c r="C1173" t="s">
        <v>104</v>
      </c>
      <c r="D1173">
        <v>2</v>
      </c>
      <c r="E1173" t="s">
        <v>132</v>
      </c>
      <c r="F1173" t="s">
        <v>1746</v>
      </c>
      <c r="G1173" t="s">
        <v>134</v>
      </c>
      <c r="H1173" s="16">
        <v>10035</v>
      </c>
      <c r="I1173" s="16">
        <v>6012</v>
      </c>
      <c r="J1173" s="16">
        <v>3780</v>
      </c>
      <c r="K1173" s="16">
        <v>652</v>
      </c>
      <c r="L1173" s="16">
        <v>0</v>
      </c>
      <c r="M1173" s="16">
        <v>9383</v>
      </c>
      <c r="N1173" s="16">
        <v>433</v>
      </c>
      <c r="O1173">
        <v>0</v>
      </c>
      <c r="P1173">
        <v>0</v>
      </c>
      <c r="Q1173" s="20">
        <v>0.59910313901345291</v>
      </c>
      <c r="R1173" s="21">
        <v>4.6147287647873812E-2</v>
      </c>
    </row>
    <row r="1174" spans="1:18">
      <c r="A1174" t="s">
        <v>1747</v>
      </c>
      <c r="B1174" t="s">
        <v>74</v>
      </c>
      <c r="C1174" t="s">
        <v>104</v>
      </c>
      <c r="D1174">
        <v>2</v>
      </c>
      <c r="E1174" t="s">
        <v>132</v>
      </c>
      <c r="F1174" t="s">
        <v>168</v>
      </c>
      <c r="G1174" t="s">
        <v>169</v>
      </c>
      <c r="H1174" s="16">
        <v>9956</v>
      </c>
      <c r="I1174" s="16">
        <v>3761</v>
      </c>
      <c r="J1174" s="16">
        <v>5844</v>
      </c>
      <c r="K1174" s="16">
        <v>660</v>
      </c>
      <c r="L1174" s="16">
        <v>0</v>
      </c>
      <c r="M1174" s="16">
        <v>9296</v>
      </c>
      <c r="N1174" s="16">
        <v>71</v>
      </c>
      <c r="O1174">
        <v>0</v>
      </c>
      <c r="P1174">
        <v>0</v>
      </c>
      <c r="Q1174" s="20">
        <v>0.3777621534752913</v>
      </c>
      <c r="R1174" s="21">
        <v>7.6376936316695353E-3</v>
      </c>
    </row>
    <row r="1175" spans="1:18">
      <c r="A1175" t="s">
        <v>1748</v>
      </c>
      <c r="B1175" t="s">
        <v>83</v>
      </c>
      <c r="C1175" t="s">
        <v>104</v>
      </c>
      <c r="D1175">
        <v>2</v>
      </c>
      <c r="E1175" t="s">
        <v>132</v>
      </c>
      <c r="F1175" t="s">
        <v>133</v>
      </c>
      <c r="G1175" t="s">
        <v>134</v>
      </c>
      <c r="H1175" s="16">
        <v>9918</v>
      </c>
      <c r="I1175" s="16">
        <v>25</v>
      </c>
      <c r="J1175" s="16">
        <v>6487</v>
      </c>
      <c r="K1175" s="16">
        <v>4559</v>
      </c>
      <c r="L1175" s="16">
        <v>879</v>
      </c>
      <c r="M1175" s="16">
        <v>5359</v>
      </c>
      <c r="N1175" s="16">
        <v>-714</v>
      </c>
      <c r="O1175">
        <v>2</v>
      </c>
      <c r="P1175">
        <v>0</v>
      </c>
      <c r="Q1175" s="20">
        <v>2.5206694898164952E-3</v>
      </c>
      <c r="R1175" s="21">
        <v>-0.13323381227841016</v>
      </c>
    </row>
    <row r="1176" spans="1:18">
      <c r="A1176" t="s">
        <v>1749</v>
      </c>
      <c r="B1176" t="s">
        <v>83</v>
      </c>
      <c r="C1176" t="s">
        <v>104</v>
      </c>
      <c r="D1176">
        <v>2</v>
      </c>
      <c r="E1176" t="s">
        <v>132</v>
      </c>
      <c r="F1176" t="s">
        <v>145</v>
      </c>
      <c r="G1176" t="s">
        <v>146</v>
      </c>
      <c r="H1176" s="16">
        <v>9701</v>
      </c>
      <c r="I1176" s="16">
        <v>707</v>
      </c>
      <c r="J1176" s="16">
        <v>7925</v>
      </c>
      <c r="K1176" s="16">
        <v>78</v>
      </c>
      <c r="L1176" s="16">
        <v>0</v>
      </c>
      <c r="M1176" s="16">
        <v>9623</v>
      </c>
      <c r="N1176" s="16">
        <v>-1163</v>
      </c>
      <c r="O1176">
        <v>2</v>
      </c>
      <c r="P1176">
        <v>0</v>
      </c>
      <c r="Q1176" s="20">
        <v>7.2879084630450466E-2</v>
      </c>
      <c r="R1176" s="21">
        <v>-0.12085628182479476</v>
      </c>
    </row>
    <row r="1177" spans="1:18">
      <c r="A1177" t="s">
        <v>1750</v>
      </c>
      <c r="B1177" t="s">
        <v>74</v>
      </c>
      <c r="C1177" t="s">
        <v>104</v>
      </c>
      <c r="D1177">
        <v>2</v>
      </c>
      <c r="E1177" t="s">
        <v>132</v>
      </c>
      <c r="F1177" t="s">
        <v>1586</v>
      </c>
      <c r="G1177" t="s">
        <v>134</v>
      </c>
      <c r="H1177" s="16">
        <v>9685</v>
      </c>
      <c r="I1177" s="16">
        <v>9281</v>
      </c>
      <c r="J1177" s="16">
        <v>78</v>
      </c>
      <c r="K1177" s="16">
        <v>606</v>
      </c>
      <c r="L1177" s="16">
        <v>0</v>
      </c>
      <c r="M1177" s="16">
        <v>9079</v>
      </c>
      <c r="N1177" s="16">
        <v>210</v>
      </c>
      <c r="O1177">
        <v>0</v>
      </c>
      <c r="P1177">
        <v>0</v>
      </c>
      <c r="Q1177" s="20">
        <v>0.95828600929272068</v>
      </c>
      <c r="R1177" s="21">
        <v>2.313030069390902E-2</v>
      </c>
    </row>
    <row r="1178" spans="1:18">
      <c r="A1178" t="s">
        <v>1751</v>
      </c>
      <c r="B1178" t="s">
        <v>74</v>
      </c>
      <c r="C1178" t="s">
        <v>104</v>
      </c>
      <c r="D1178">
        <v>2</v>
      </c>
      <c r="E1178" t="s">
        <v>132</v>
      </c>
      <c r="F1178" t="s">
        <v>137</v>
      </c>
      <c r="G1178" t="s">
        <v>138</v>
      </c>
      <c r="H1178" s="16">
        <v>9521</v>
      </c>
      <c r="I1178" s="16">
        <v>7948</v>
      </c>
      <c r="J1178" s="16">
        <v>112</v>
      </c>
      <c r="K1178" s="16">
        <v>4008</v>
      </c>
      <c r="L1178" s="16">
        <v>3576</v>
      </c>
      <c r="M1178" s="16">
        <v>5513</v>
      </c>
      <c r="N1178" s="16">
        <v>17</v>
      </c>
      <c r="O1178">
        <v>0</v>
      </c>
      <c r="P1178">
        <v>0</v>
      </c>
      <c r="Q1178" s="20">
        <v>0.83478626194727445</v>
      </c>
      <c r="R1178" s="21">
        <v>3.0836205332849627E-3</v>
      </c>
    </row>
    <row r="1179" spans="1:18">
      <c r="A1179" t="s">
        <v>1752</v>
      </c>
      <c r="B1179" t="s">
        <v>83</v>
      </c>
      <c r="C1179" t="s">
        <v>104</v>
      </c>
      <c r="D1179">
        <v>2</v>
      </c>
      <c r="E1179" t="s">
        <v>132</v>
      </c>
      <c r="F1179" t="s">
        <v>178</v>
      </c>
      <c r="G1179" t="s">
        <v>179</v>
      </c>
      <c r="H1179" s="16">
        <v>9491</v>
      </c>
      <c r="I1179" s="16">
        <v>3307</v>
      </c>
      <c r="J1179" s="16">
        <v>0</v>
      </c>
      <c r="K1179" s="16">
        <v>97</v>
      </c>
      <c r="L1179" s="16">
        <v>9</v>
      </c>
      <c r="M1179" s="16">
        <v>9394</v>
      </c>
      <c r="N1179" s="16">
        <v>-87</v>
      </c>
      <c r="O1179">
        <v>2</v>
      </c>
      <c r="P1179">
        <v>0</v>
      </c>
      <c r="Q1179" s="20">
        <v>0.34843535981456114</v>
      </c>
      <c r="R1179" s="21">
        <v>-9.2612305727059821E-3</v>
      </c>
    </row>
    <row r="1180" spans="1:18">
      <c r="A1180" t="s">
        <v>1753</v>
      </c>
      <c r="B1180" t="s">
        <v>89</v>
      </c>
      <c r="C1180" t="s">
        <v>162</v>
      </c>
      <c r="D1180">
        <v>2</v>
      </c>
      <c r="E1180" t="s">
        <v>132</v>
      </c>
      <c r="F1180" t="s">
        <v>205</v>
      </c>
      <c r="G1180" t="s">
        <v>206</v>
      </c>
      <c r="H1180" s="16">
        <v>9444</v>
      </c>
      <c r="I1180" s="16">
        <v>0</v>
      </c>
      <c r="J1180" s="16">
        <v>6077</v>
      </c>
      <c r="K1180" s="16">
        <v>2925</v>
      </c>
      <c r="L1180" s="16">
        <v>0</v>
      </c>
      <c r="M1180" s="16">
        <v>6518</v>
      </c>
      <c r="N1180" s="16">
        <v>-4894</v>
      </c>
      <c r="O1180">
        <v>1</v>
      </c>
      <c r="P1180">
        <v>0</v>
      </c>
      <c r="Q1180" s="20">
        <v>0</v>
      </c>
      <c r="R1180" s="21">
        <v>-0.75084381712181647</v>
      </c>
    </row>
    <row r="1181" spans="1:18">
      <c r="A1181" t="s">
        <v>1754</v>
      </c>
      <c r="B1181" t="s">
        <v>83</v>
      </c>
      <c r="C1181" t="s">
        <v>104</v>
      </c>
      <c r="D1181">
        <v>3</v>
      </c>
      <c r="E1181" t="s">
        <v>143</v>
      </c>
      <c r="F1181" t="s">
        <v>133</v>
      </c>
      <c r="G1181" t="s">
        <v>134</v>
      </c>
      <c r="H1181" s="16">
        <v>9418</v>
      </c>
      <c r="I1181" s="16">
        <v>2</v>
      </c>
      <c r="J1181" s="16">
        <v>9178</v>
      </c>
      <c r="K1181" s="16">
        <v>353</v>
      </c>
      <c r="L1181" s="16">
        <v>201</v>
      </c>
      <c r="M1181" s="16">
        <v>9065</v>
      </c>
      <c r="N1181" s="16">
        <v>239</v>
      </c>
      <c r="O1181">
        <v>2</v>
      </c>
      <c r="P1181">
        <v>0</v>
      </c>
      <c r="Q1181" s="20">
        <v>2.1235931195582927E-4</v>
      </c>
      <c r="R1181" s="21">
        <v>2.6365140650854938E-2</v>
      </c>
    </row>
    <row r="1182" spans="1:18">
      <c r="A1182" t="s">
        <v>1755</v>
      </c>
      <c r="B1182" t="s">
        <v>74</v>
      </c>
      <c r="C1182" t="s">
        <v>104</v>
      </c>
      <c r="D1182">
        <v>2</v>
      </c>
      <c r="E1182" t="s">
        <v>132</v>
      </c>
      <c r="F1182" t="s">
        <v>1756</v>
      </c>
      <c r="G1182" t="s">
        <v>169</v>
      </c>
      <c r="H1182" s="16">
        <v>9234</v>
      </c>
      <c r="I1182" s="16">
        <v>6207</v>
      </c>
      <c r="J1182" s="16">
        <v>2132</v>
      </c>
      <c r="K1182" s="16">
        <v>868</v>
      </c>
      <c r="L1182" s="16">
        <v>0</v>
      </c>
      <c r="M1182" s="16">
        <v>8367</v>
      </c>
      <c r="N1182" s="16">
        <v>202</v>
      </c>
      <c r="O1182">
        <v>0</v>
      </c>
      <c r="P1182">
        <v>0</v>
      </c>
      <c r="Q1182" s="20">
        <v>0.67218973359324241</v>
      </c>
      <c r="R1182" s="21">
        <v>2.4142464443647663E-2</v>
      </c>
    </row>
    <row r="1183" spans="1:18">
      <c r="A1183" t="s">
        <v>1757</v>
      </c>
      <c r="B1183" t="s">
        <v>74</v>
      </c>
      <c r="C1183" t="s">
        <v>104</v>
      </c>
      <c r="D1183">
        <v>2</v>
      </c>
      <c r="E1183" t="s">
        <v>132</v>
      </c>
      <c r="F1183" t="s">
        <v>145</v>
      </c>
      <c r="G1183" t="s">
        <v>146</v>
      </c>
      <c r="H1183" s="16">
        <v>9217</v>
      </c>
      <c r="I1183" s="16">
        <v>905</v>
      </c>
      <c r="J1183" s="16">
        <v>0</v>
      </c>
      <c r="K1183" s="16">
        <v>222</v>
      </c>
      <c r="L1183" s="16">
        <v>89</v>
      </c>
      <c r="M1183" s="16">
        <v>8995</v>
      </c>
      <c r="N1183" s="16">
        <v>41</v>
      </c>
      <c r="O1183">
        <v>0</v>
      </c>
      <c r="P1183">
        <v>1</v>
      </c>
      <c r="Q1183" s="20">
        <v>9.8188130628187043E-2</v>
      </c>
      <c r="R1183" s="21">
        <v>4.5580878265703171E-3</v>
      </c>
    </row>
    <row r="1184" spans="1:18">
      <c r="A1184" t="s">
        <v>1758</v>
      </c>
      <c r="B1184" t="s">
        <v>86</v>
      </c>
      <c r="C1184" t="s">
        <v>101</v>
      </c>
      <c r="D1184">
        <v>2</v>
      </c>
      <c r="E1184" t="s">
        <v>132</v>
      </c>
      <c r="F1184" t="s">
        <v>133</v>
      </c>
      <c r="G1184" t="s">
        <v>134</v>
      </c>
      <c r="H1184" s="16">
        <v>9210</v>
      </c>
      <c r="I1184" s="16">
        <v>0</v>
      </c>
      <c r="J1184" s="16">
        <v>8589</v>
      </c>
      <c r="K1184" s="16">
        <v>638</v>
      </c>
      <c r="L1184" s="16">
        <v>0</v>
      </c>
      <c r="M1184" s="16">
        <v>8572</v>
      </c>
      <c r="N1184" s="16">
        <v>-7174</v>
      </c>
      <c r="O1184">
        <v>2</v>
      </c>
      <c r="P1184">
        <v>0</v>
      </c>
      <c r="Q1184" s="20">
        <v>0</v>
      </c>
      <c r="R1184" s="21">
        <v>-0.83691087260849273</v>
      </c>
    </row>
    <row r="1185" spans="1:18">
      <c r="A1185" t="s">
        <v>1759</v>
      </c>
      <c r="B1185" t="s">
        <v>74</v>
      </c>
      <c r="C1185" t="s">
        <v>104</v>
      </c>
      <c r="D1185">
        <v>2</v>
      </c>
      <c r="E1185" t="s">
        <v>132</v>
      </c>
      <c r="F1185" t="s">
        <v>133</v>
      </c>
      <c r="G1185" t="s">
        <v>134</v>
      </c>
      <c r="H1185" s="16">
        <v>9160</v>
      </c>
      <c r="I1185" s="16">
        <v>3302</v>
      </c>
      <c r="J1185" s="16">
        <v>5793</v>
      </c>
      <c r="K1185" s="16">
        <v>350</v>
      </c>
      <c r="L1185" s="16">
        <v>0</v>
      </c>
      <c r="M1185" s="16">
        <v>8810</v>
      </c>
      <c r="N1185" s="16">
        <v>184</v>
      </c>
      <c r="O1185">
        <v>0</v>
      </c>
      <c r="P1185">
        <v>0</v>
      </c>
      <c r="Q1185" s="20">
        <v>0.36048034934497819</v>
      </c>
      <c r="R1185" s="21">
        <v>2.0885357548240637E-2</v>
      </c>
    </row>
    <row r="1186" spans="1:18">
      <c r="A1186" t="s">
        <v>1760</v>
      </c>
      <c r="B1186" t="s">
        <v>74</v>
      </c>
      <c r="C1186" t="s">
        <v>104</v>
      </c>
      <c r="D1186">
        <v>2</v>
      </c>
      <c r="E1186" t="s">
        <v>132</v>
      </c>
      <c r="F1186" t="s">
        <v>855</v>
      </c>
      <c r="G1186" t="s">
        <v>134</v>
      </c>
      <c r="H1186" s="16">
        <v>9142</v>
      </c>
      <c r="I1186" s="16">
        <v>8109</v>
      </c>
      <c r="J1186" s="16">
        <v>456</v>
      </c>
      <c r="K1186" s="16">
        <v>217</v>
      </c>
      <c r="L1186" s="16">
        <v>0</v>
      </c>
      <c r="M1186" s="16">
        <v>8925</v>
      </c>
      <c r="N1186" s="16">
        <v>575</v>
      </c>
      <c r="O1186">
        <v>0</v>
      </c>
      <c r="P1186">
        <v>0</v>
      </c>
      <c r="Q1186" s="20">
        <v>0.88700503172172396</v>
      </c>
      <c r="R1186" s="21">
        <v>6.4425770308123242E-2</v>
      </c>
    </row>
    <row r="1187" spans="1:18">
      <c r="A1187" t="s">
        <v>1761</v>
      </c>
      <c r="B1187" t="s">
        <v>89</v>
      </c>
      <c r="C1187" t="s">
        <v>162</v>
      </c>
      <c r="D1187">
        <v>2</v>
      </c>
      <c r="E1187" t="s">
        <v>132</v>
      </c>
      <c r="F1187" t="s">
        <v>913</v>
      </c>
      <c r="G1187" t="s">
        <v>206</v>
      </c>
      <c r="H1187" s="16">
        <v>9121</v>
      </c>
      <c r="I1187" s="16">
        <v>0</v>
      </c>
      <c r="J1187" s="16">
        <v>9111</v>
      </c>
      <c r="K1187" s="16">
        <v>21</v>
      </c>
      <c r="L1187" s="16">
        <v>1</v>
      </c>
      <c r="M1187" s="16">
        <v>9100</v>
      </c>
      <c r="N1187" s="16">
        <v>211</v>
      </c>
      <c r="O1187">
        <v>1</v>
      </c>
      <c r="P1187">
        <v>0</v>
      </c>
      <c r="Q1187" s="20">
        <v>0</v>
      </c>
      <c r="R1187" s="21">
        <v>2.3186813186813187E-2</v>
      </c>
    </row>
    <row r="1188" spans="1:18">
      <c r="A1188" t="s">
        <v>1762</v>
      </c>
      <c r="B1188" t="s">
        <v>86</v>
      </c>
      <c r="C1188" t="s">
        <v>101</v>
      </c>
      <c r="D1188">
        <v>2</v>
      </c>
      <c r="E1188" t="s">
        <v>132</v>
      </c>
      <c r="F1188" t="s">
        <v>152</v>
      </c>
      <c r="G1188" t="s">
        <v>153</v>
      </c>
      <c r="H1188" s="16">
        <v>9060</v>
      </c>
      <c r="I1188" s="16">
        <v>0</v>
      </c>
      <c r="J1188" s="16">
        <v>7979</v>
      </c>
      <c r="K1188" s="16">
        <v>1618</v>
      </c>
      <c r="L1188" s="16">
        <v>0</v>
      </c>
      <c r="M1188" s="16">
        <v>7442</v>
      </c>
      <c r="N1188" s="16">
        <v>83</v>
      </c>
      <c r="O1188">
        <v>1</v>
      </c>
      <c r="P1188">
        <v>0</v>
      </c>
      <c r="Q1188" s="20">
        <v>0</v>
      </c>
      <c r="R1188" s="21">
        <v>1.1152915882827198E-2</v>
      </c>
    </row>
    <row r="1189" spans="1:18">
      <c r="A1189" t="s">
        <v>1763</v>
      </c>
      <c r="B1189" t="s">
        <v>74</v>
      </c>
      <c r="C1189" t="s">
        <v>104</v>
      </c>
      <c r="D1189">
        <v>2</v>
      </c>
      <c r="E1189" t="s">
        <v>132</v>
      </c>
      <c r="F1189" t="s">
        <v>190</v>
      </c>
      <c r="G1189" t="s">
        <v>191</v>
      </c>
      <c r="H1189" s="16">
        <v>9031</v>
      </c>
      <c r="I1189" s="16">
        <v>1409</v>
      </c>
      <c r="J1189" s="16">
        <v>7312</v>
      </c>
      <c r="K1189" s="16">
        <v>1187</v>
      </c>
      <c r="L1189" s="16">
        <v>0</v>
      </c>
      <c r="M1189" s="16">
        <v>7844</v>
      </c>
      <c r="N1189" s="16">
        <v>117</v>
      </c>
      <c r="O1189">
        <v>0</v>
      </c>
      <c r="P1189">
        <v>1</v>
      </c>
      <c r="Q1189" s="20">
        <v>0.15601815967224006</v>
      </c>
      <c r="R1189" s="21">
        <v>1.4915859255481898E-2</v>
      </c>
    </row>
    <row r="1190" spans="1:18">
      <c r="A1190" t="s">
        <v>1764</v>
      </c>
      <c r="B1190" t="s">
        <v>89</v>
      </c>
      <c r="C1190" t="s">
        <v>162</v>
      </c>
      <c r="D1190">
        <v>2</v>
      </c>
      <c r="E1190" t="s">
        <v>132</v>
      </c>
      <c r="F1190" t="s">
        <v>145</v>
      </c>
      <c r="G1190" t="s">
        <v>146</v>
      </c>
      <c r="H1190" s="16">
        <v>8963</v>
      </c>
      <c r="I1190" s="16">
        <v>0</v>
      </c>
      <c r="J1190" s="16">
        <v>1024</v>
      </c>
      <c r="K1190" s="16">
        <v>3667</v>
      </c>
      <c r="L1190" s="16">
        <v>2982</v>
      </c>
      <c r="M1190" s="16">
        <v>5296</v>
      </c>
      <c r="N1190" s="16">
        <v>-187</v>
      </c>
      <c r="O1190">
        <v>1</v>
      </c>
      <c r="P1190">
        <v>0</v>
      </c>
      <c r="Q1190" s="20">
        <v>0</v>
      </c>
      <c r="R1190" s="21">
        <v>-3.530966767371601E-2</v>
      </c>
    </row>
    <row r="1191" spans="1:18">
      <c r="A1191" t="s">
        <v>1765</v>
      </c>
      <c r="B1191" t="s">
        <v>74</v>
      </c>
      <c r="C1191" t="s">
        <v>104</v>
      </c>
      <c r="D1191">
        <v>2</v>
      </c>
      <c r="E1191" t="s">
        <v>132</v>
      </c>
      <c r="F1191" t="s">
        <v>1766</v>
      </c>
      <c r="G1191" t="s">
        <v>134</v>
      </c>
      <c r="H1191" s="16">
        <v>8818</v>
      </c>
      <c r="I1191" s="16">
        <v>6421</v>
      </c>
      <c r="J1191" s="16">
        <v>2387</v>
      </c>
      <c r="K1191" s="16">
        <v>171</v>
      </c>
      <c r="L1191" s="16">
        <v>0</v>
      </c>
      <c r="M1191" s="16">
        <v>8647</v>
      </c>
      <c r="N1191" s="16">
        <v>413</v>
      </c>
      <c r="O1191">
        <v>0</v>
      </c>
      <c r="P1191">
        <v>0</v>
      </c>
      <c r="Q1191" s="20">
        <v>0.72816965298253578</v>
      </c>
      <c r="R1191" s="21">
        <v>4.7762229675031805E-2</v>
      </c>
    </row>
    <row r="1192" spans="1:18">
      <c r="A1192" t="s">
        <v>1767</v>
      </c>
      <c r="B1192" t="s">
        <v>74</v>
      </c>
      <c r="C1192" t="s">
        <v>104</v>
      </c>
      <c r="D1192">
        <v>2</v>
      </c>
      <c r="E1192" t="s">
        <v>132</v>
      </c>
      <c r="F1192" t="s">
        <v>1768</v>
      </c>
      <c r="G1192" t="s">
        <v>134</v>
      </c>
      <c r="H1192" s="16">
        <v>8796</v>
      </c>
      <c r="I1192" s="16">
        <v>4653</v>
      </c>
      <c r="J1192" s="16">
        <v>3862</v>
      </c>
      <c r="K1192" s="16">
        <v>525</v>
      </c>
      <c r="L1192" s="16">
        <v>0</v>
      </c>
      <c r="M1192" s="16">
        <v>8271</v>
      </c>
      <c r="N1192" s="16">
        <v>-86</v>
      </c>
      <c r="O1192">
        <v>0</v>
      </c>
      <c r="P1192">
        <v>0</v>
      </c>
      <c r="Q1192" s="20">
        <v>0.52899045020463842</v>
      </c>
      <c r="R1192" s="21">
        <v>-1.0397775359690485E-2</v>
      </c>
    </row>
    <row r="1193" spans="1:18">
      <c r="A1193" t="s">
        <v>1769</v>
      </c>
      <c r="B1193" t="s">
        <v>74</v>
      </c>
      <c r="C1193" t="s">
        <v>104</v>
      </c>
      <c r="D1193">
        <v>2</v>
      </c>
      <c r="E1193" t="s">
        <v>132</v>
      </c>
      <c r="F1193" t="s">
        <v>133</v>
      </c>
      <c r="G1193" t="s">
        <v>134</v>
      </c>
      <c r="H1193" s="16">
        <v>8696</v>
      </c>
      <c r="I1193" s="16">
        <v>2318</v>
      </c>
      <c r="J1193" s="16">
        <v>5733</v>
      </c>
      <c r="K1193" s="16">
        <v>359</v>
      </c>
      <c r="L1193" s="16">
        <v>0</v>
      </c>
      <c r="M1193" s="16">
        <v>8337</v>
      </c>
      <c r="N1193" s="16">
        <v>240</v>
      </c>
      <c r="O1193">
        <v>0</v>
      </c>
      <c r="P1193">
        <v>0</v>
      </c>
      <c r="Q1193" s="20">
        <v>0.26655933762649492</v>
      </c>
      <c r="R1193" s="21">
        <v>2.8787333573227779E-2</v>
      </c>
    </row>
    <row r="1194" spans="1:18">
      <c r="A1194" t="s">
        <v>1770</v>
      </c>
      <c r="B1194" t="s">
        <v>89</v>
      </c>
      <c r="C1194" t="s">
        <v>162</v>
      </c>
      <c r="D1194">
        <v>3</v>
      </c>
      <c r="E1194" t="s">
        <v>143</v>
      </c>
      <c r="F1194" t="s">
        <v>133</v>
      </c>
      <c r="G1194" t="s">
        <v>134</v>
      </c>
      <c r="H1194" s="16">
        <v>8679</v>
      </c>
      <c r="I1194" s="16">
        <v>0</v>
      </c>
      <c r="J1194" s="16">
        <v>8242</v>
      </c>
      <c r="K1194" s="16">
        <v>153</v>
      </c>
      <c r="L1194" s="16">
        <v>0</v>
      </c>
      <c r="M1194" s="16">
        <v>8526</v>
      </c>
      <c r="N1194" s="16">
        <v>331</v>
      </c>
      <c r="O1194">
        <v>1</v>
      </c>
      <c r="P1194">
        <v>0</v>
      </c>
      <c r="Q1194" s="20">
        <v>0</v>
      </c>
      <c r="R1194" s="21">
        <v>3.8822425521932914E-2</v>
      </c>
    </row>
    <row r="1195" spans="1:18">
      <c r="A1195" t="s">
        <v>1771</v>
      </c>
      <c r="B1195" t="s">
        <v>74</v>
      </c>
      <c r="C1195" t="s">
        <v>104</v>
      </c>
      <c r="D1195">
        <v>2</v>
      </c>
      <c r="E1195" t="s">
        <v>132</v>
      </c>
      <c r="F1195" t="s">
        <v>1772</v>
      </c>
      <c r="G1195" t="s">
        <v>134</v>
      </c>
      <c r="H1195" s="16">
        <v>8603</v>
      </c>
      <c r="I1195" s="16">
        <v>4592</v>
      </c>
      <c r="J1195" s="16">
        <v>3672</v>
      </c>
      <c r="K1195" s="16">
        <v>573</v>
      </c>
      <c r="L1195" s="16">
        <v>0</v>
      </c>
      <c r="M1195" s="16">
        <v>8031</v>
      </c>
      <c r="N1195" s="16">
        <v>408</v>
      </c>
      <c r="O1195">
        <v>0</v>
      </c>
      <c r="P1195">
        <v>0</v>
      </c>
      <c r="Q1195" s="20">
        <v>0.5337672904800651</v>
      </c>
      <c r="R1195" s="21">
        <v>5.0803137840866638E-2</v>
      </c>
    </row>
    <row r="1196" spans="1:18">
      <c r="A1196" t="s">
        <v>1773</v>
      </c>
      <c r="B1196" t="s">
        <v>74</v>
      </c>
      <c r="C1196" t="s">
        <v>104</v>
      </c>
      <c r="D1196">
        <v>2</v>
      </c>
      <c r="E1196" t="s">
        <v>132</v>
      </c>
      <c r="F1196" t="s">
        <v>133</v>
      </c>
      <c r="G1196" t="s">
        <v>134</v>
      </c>
      <c r="H1196" s="16">
        <v>8487</v>
      </c>
      <c r="I1196" s="16">
        <v>6203</v>
      </c>
      <c r="J1196" s="16">
        <v>2228</v>
      </c>
      <c r="K1196" s="16">
        <v>159</v>
      </c>
      <c r="L1196" s="16">
        <v>0</v>
      </c>
      <c r="M1196" s="16">
        <v>8329</v>
      </c>
      <c r="N1196" s="16">
        <v>347</v>
      </c>
      <c r="O1196">
        <v>0</v>
      </c>
      <c r="P1196">
        <v>0</v>
      </c>
      <c r="Q1196" s="20">
        <v>0.73088252621656646</v>
      </c>
      <c r="R1196" s="21">
        <v>4.1661664065313964E-2</v>
      </c>
    </row>
    <row r="1197" spans="1:18">
      <c r="A1197" t="s">
        <v>1774</v>
      </c>
      <c r="B1197" t="s">
        <v>86</v>
      </c>
      <c r="C1197" t="s">
        <v>104</v>
      </c>
      <c r="D1197">
        <v>2</v>
      </c>
      <c r="E1197" t="s">
        <v>132</v>
      </c>
      <c r="F1197" t="s">
        <v>133</v>
      </c>
      <c r="G1197" t="s">
        <v>134</v>
      </c>
      <c r="H1197" s="16">
        <v>8455</v>
      </c>
      <c r="I1197" s="16">
        <v>0</v>
      </c>
      <c r="J1197" s="16">
        <v>531</v>
      </c>
      <c r="K1197" s="16">
        <v>1537</v>
      </c>
      <c r="L1197" s="16">
        <v>0</v>
      </c>
      <c r="M1197" s="16">
        <v>6918</v>
      </c>
      <c r="N1197" s="16">
        <v>-658</v>
      </c>
      <c r="O1197">
        <v>2</v>
      </c>
      <c r="P1197">
        <v>0</v>
      </c>
      <c r="Q1197" s="20">
        <v>0</v>
      </c>
      <c r="R1197" s="21">
        <v>-9.5114194854004047E-2</v>
      </c>
    </row>
    <row r="1198" spans="1:18">
      <c r="A1198" t="s">
        <v>1775</v>
      </c>
      <c r="B1198" t="s">
        <v>83</v>
      </c>
      <c r="C1198" t="s">
        <v>104</v>
      </c>
      <c r="D1198">
        <v>2</v>
      </c>
      <c r="E1198" t="s">
        <v>132</v>
      </c>
      <c r="F1198" t="s">
        <v>1464</v>
      </c>
      <c r="G1198" t="s">
        <v>134</v>
      </c>
      <c r="H1198" s="16">
        <v>8426</v>
      </c>
      <c r="I1198" s="16">
        <v>3350</v>
      </c>
      <c r="J1198" s="16">
        <v>5067</v>
      </c>
      <c r="K1198" s="16">
        <v>36</v>
      </c>
      <c r="L1198" s="16">
        <v>0</v>
      </c>
      <c r="M1198" s="16">
        <v>8390</v>
      </c>
      <c r="N1198" s="16">
        <v>144</v>
      </c>
      <c r="O1198">
        <v>2</v>
      </c>
      <c r="P1198">
        <v>0</v>
      </c>
      <c r="Q1198" s="20">
        <v>0.39757892238309994</v>
      </c>
      <c r="R1198" s="21">
        <v>1.7163289630512515E-2</v>
      </c>
    </row>
    <row r="1199" spans="1:18">
      <c r="A1199" t="s">
        <v>1776</v>
      </c>
      <c r="B1199" t="s">
        <v>86</v>
      </c>
      <c r="C1199" t="s">
        <v>104</v>
      </c>
      <c r="D1199">
        <v>2</v>
      </c>
      <c r="E1199" t="s">
        <v>132</v>
      </c>
      <c r="F1199" t="s">
        <v>145</v>
      </c>
      <c r="G1199" t="s">
        <v>146</v>
      </c>
      <c r="H1199" s="16">
        <v>8224</v>
      </c>
      <c r="I1199" s="16">
        <v>0</v>
      </c>
      <c r="J1199" s="16">
        <v>7189</v>
      </c>
      <c r="K1199" s="16">
        <v>3362</v>
      </c>
      <c r="L1199" s="16">
        <v>0</v>
      </c>
      <c r="M1199" s="16">
        <v>4862</v>
      </c>
      <c r="N1199" s="16">
        <v>3365</v>
      </c>
      <c r="O1199">
        <v>3</v>
      </c>
      <c r="P1199">
        <v>0</v>
      </c>
      <c r="Q1199" s="20">
        <v>0</v>
      </c>
      <c r="R1199" s="21">
        <v>0.69210201563142737</v>
      </c>
    </row>
    <row r="1200" spans="1:18">
      <c r="A1200" t="s">
        <v>1777</v>
      </c>
      <c r="B1200" t="s">
        <v>83</v>
      </c>
      <c r="C1200" t="s">
        <v>104</v>
      </c>
      <c r="D1200">
        <v>2</v>
      </c>
      <c r="E1200" t="s">
        <v>132</v>
      </c>
      <c r="F1200" t="s">
        <v>234</v>
      </c>
      <c r="G1200" t="s">
        <v>206</v>
      </c>
      <c r="H1200" s="16">
        <v>8222</v>
      </c>
      <c r="I1200" s="16">
        <v>5975</v>
      </c>
      <c r="J1200" s="16">
        <v>1895</v>
      </c>
      <c r="K1200" s="16">
        <v>1734</v>
      </c>
      <c r="L1200" s="16">
        <v>0</v>
      </c>
      <c r="M1200" s="16">
        <v>6488</v>
      </c>
      <c r="N1200" s="16">
        <v>-345</v>
      </c>
      <c r="O1200">
        <v>2</v>
      </c>
      <c r="P1200">
        <v>0</v>
      </c>
      <c r="Q1200" s="20">
        <v>0.72670882996837749</v>
      </c>
      <c r="R1200" s="21">
        <v>-5.3175092478421698E-2</v>
      </c>
    </row>
    <row r="1201" spans="1:18">
      <c r="A1201" t="s">
        <v>1778</v>
      </c>
      <c r="B1201" t="s">
        <v>89</v>
      </c>
      <c r="C1201" t="s">
        <v>162</v>
      </c>
      <c r="D1201">
        <v>3</v>
      </c>
      <c r="E1201" t="s">
        <v>143</v>
      </c>
      <c r="F1201" t="s">
        <v>133</v>
      </c>
      <c r="G1201" t="s">
        <v>134</v>
      </c>
      <c r="H1201" s="16">
        <v>8193</v>
      </c>
      <c r="I1201" s="16">
        <v>0</v>
      </c>
      <c r="J1201" s="16">
        <v>3532</v>
      </c>
      <c r="K1201" s="16">
        <v>3978</v>
      </c>
      <c r="L1201" s="16">
        <v>3745</v>
      </c>
      <c r="M1201" s="16">
        <v>4215</v>
      </c>
      <c r="N1201" s="16">
        <v>-1457</v>
      </c>
      <c r="O1201">
        <v>1</v>
      </c>
      <c r="P1201">
        <v>0</v>
      </c>
      <c r="Q1201" s="20">
        <v>0</v>
      </c>
      <c r="R1201" s="21">
        <v>-0.34567022538552789</v>
      </c>
    </row>
    <row r="1202" spans="1:18">
      <c r="A1202" t="s">
        <v>1779</v>
      </c>
      <c r="B1202" t="s">
        <v>74</v>
      </c>
      <c r="C1202" t="s">
        <v>104</v>
      </c>
      <c r="D1202">
        <v>2</v>
      </c>
      <c r="E1202" t="s">
        <v>132</v>
      </c>
      <c r="F1202" t="s">
        <v>404</v>
      </c>
      <c r="G1202" t="s">
        <v>405</v>
      </c>
      <c r="H1202" s="16">
        <v>8183</v>
      </c>
      <c r="I1202" s="16">
        <v>4013</v>
      </c>
      <c r="J1202" s="16">
        <v>3718</v>
      </c>
      <c r="K1202" s="16">
        <v>3138</v>
      </c>
      <c r="L1202" s="16">
        <v>2787</v>
      </c>
      <c r="M1202" s="16">
        <v>5045</v>
      </c>
      <c r="N1202" s="16">
        <v>238</v>
      </c>
      <c r="O1202">
        <v>0</v>
      </c>
      <c r="P1202">
        <v>0</v>
      </c>
      <c r="Q1202" s="20">
        <v>0.4904069412196016</v>
      </c>
      <c r="R1202" s="21">
        <v>4.717542120911794E-2</v>
      </c>
    </row>
    <row r="1203" spans="1:18">
      <c r="A1203" t="s">
        <v>1780</v>
      </c>
      <c r="B1203" t="s">
        <v>74</v>
      </c>
      <c r="C1203" t="s">
        <v>104</v>
      </c>
      <c r="D1203">
        <v>2</v>
      </c>
      <c r="E1203" t="s">
        <v>132</v>
      </c>
      <c r="F1203" t="s">
        <v>133</v>
      </c>
      <c r="G1203" t="s">
        <v>134</v>
      </c>
      <c r="H1203" s="16">
        <v>8170</v>
      </c>
      <c r="I1203" s="16">
        <v>5121</v>
      </c>
      <c r="J1203" s="16">
        <v>2470</v>
      </c>
      <c r="K1203" s="16">
        <v>354</v>
      </c>
      <c r="L1203" s="16">
        <v>0</v>
      </c>
      <c r="M1203" s="16">
        <v>7816</v>
      </c>
      <c r="N1203" s="16">
        <v>223</v>
      </c>
      <c r="O1203">
        <v>0</v>
      </c>
      <c r="P1203">
        <v>0</v>
      </c>
      <c r="Q1203" s="20">
        <v>0.62680538555691556</v>
      </c>
      <c r="R1203" s="21">
        <v>2.853121801432958E-2</v>
      </c>
    </row>
    <row r="1204" spans="1:18">
      <c r="A1204" t="s">
        <v>1781</v>
      </c>
      <c r="B1204" t="s">
        <v>83</v>
      </c>
      <c r="C1204" t="s">
        <v>104</v>
      </c>
      <c r="D1204">
        <v>2</v>
      </c>
      <c r="E1204" t="s">
        <v>132</v>
      </c>
      <c r="F1204" t="s">
        <v>540</v>
      </c>
      <c r="G1204" t="s">
        <v>153</v>
      </c>
      <c r="H1204" s="16">
        <v>8047</v>
      </c>
      <c r="I1204" s="16">
        <v>0</v>
      </c>
      <c r="J1204" s="16">
        <v>4578</v>
      </c>
      <c r="K1204" s="16">
        <v>2665</v>
      </c>
      <c r="L1204" s="16">
        <v>2224</v>
      </c>
      <c r="M1204" s="16">
        <v>5382</v>
      </c>
      <c r="N1204" s="16">
        <v>125</v>
      </c>
      <c r="O1204">
        <v>2</v>
      </c>
      <c r="P1204">
        <v>0</v>
      </c>
      <c r="Q1204" s="20">
        <v>0</v>
      </c>
      <c r="R1204" s="21">
        <v>2.3225566703827572E-2</v>
      </c>
    </row>
    <row r="1205" spans="1:18">
      <c r="A1205" t="s">
        <v>1782</v>
      </c>
      <c r="B1205" t="s">
        <v>74</v>
      </c>
      <c r="C1205" t="s">
        <v>104</v>
      </c>
      <c r="D1205">
        <v>2</v>
      </c>
      <c r="E1205" t="s">
        <v>132</v>
      </c>
      <c r="F1205" t="s">
        <v>1783</v>
      </c>
      <c r="G1205" t="s">
        <v>153</v>
      </c>
      <c r="H1205" s="16">
        <v>7990</v>
      </c>
      <c r="I1205" s="16">
        <v>6628</v>
      </c>
      <c r="J1205" s="16">
        <v>0</v>
      </c>
      <c r="K1205" s="16">
        <v>293</v>
      </c>
      <c r="L1205" s="16">
        <v>0</v>
      </c>
      <c r="M1205" s="16">
        <v>7697</v>
      </c>
      <c r="N1205" s="16">
        <v>323</v>
      </c>
      <c r="O1205">
        <v>0</v>
      </c>
      <c r="P1205">
        <v>0</v>
      </c>
      <c r="Q1205" s="20">
        <v>0.82953692115143929</v>
      </c>
      <c r="R1205" s="21">
        <v>4.1964401714953879E-2</v>
      </c>
    </row>
    <row r="1206" spans="1:18">
      <c r="A1206" t="s">
        <v>1784</v>
      </c>
      <c r="B1206" t="s">
        <v>83</v>
      </c>
      <c r="C1206" t="s">
        <v>104</v>
      </c>
      <c r="D1206">
        <v>2</v>
      </c>
      <c r="E1206" t="s">
        <v>132</v>
      </c>
      <c r="F1206" t="s">
        <v>133</v>
      </c>
      <c r="G1206" t="s">
        <v>134</v>
      </c>
      <c r="H1206" s="16">
        <v>7880</v>
      </c>
      <c r="I1206" s="16">
        <v>0</v>
      </c>
      <c r="J1206" s="16">
        <v>5506</v>
      </c>
      <c r="K1206" s="16">
        <v>2715</v>
      </c>
      <c r="L1206" s="16">
        <v>2283</v>
      </c>
      <c r="M1206" s="16">
        <v>5165</v>
      </c>
      <c r="N1206" s="16">
        <v>121</v>
      </c>
      <c r="O1206">
        <v>2</v>
      </c>
      <c r="P1206">
        <v>0</v>
      </c>
      <c r="Q1206" s="20">
        <v>0</v>
      </c>
      <c r="R1206" s="21">
        <v>2.3426911907066795E-2</v>
      </c>
    </row>
    <row r="1207" spans="1:18">
      <c r="A1207" t="s">
        <v>1785</v>
      </c>
      <c r="B1207" t="s">
        <v>86</v>
      </c>
      <c r="C1207" t="s">
        <v>101</v>
      </c>
      <c r="D1207">
        <v>2</v>
      </c>
      <c r="E1207" t="s">
        <v>132</v>
      </c>
      <c r="F1207" t="s">
        <v>133</v>
      </c>
      <c r="G1207" t="s">
        <v>134</v>
      </c>
      <c r="H1207" s="16">
        <v>7844</v>
      </c>
      <c r="I1207" s="16">
        <v>0</v>
      </c>
      <c r="J1207" s="16">
        <v>6598</v>
      </c>
      <c r="K1207" s="16">
        <v>3704</v>
      </c>
      <c r="L1207" s="16">
        <v>0</v>
      </c>
      <c r="M1207" s="16">
        <v>4140</v>
      </c>
      <c r="N1207" s="16">
        <v>-75</v>
      </c>
      <c r="O1207">
        <v>2</v>
      </c>
      <c r="P1207">
        <v>0</v>
      </c>
      <c r="Q1207" s="20">
        <v>0</v>
      </c>
      <c r="R1207" s="21">
        <v>-1.8115942028985508E-2</v>
      </c>
    </row>
    <row r="1208" spans="1:18">
      <c r="A1208" t="s">
        <v>1786</v>
      </c>
      <c r="B1208" t="s">
        <v>86</v>
      </c>
      <c r="C1208" t="s">
        <v>101</v>
      </c>
      <c r="D1208">
        <v>3</v>
      </c>
      <c r="E1208" t="s">
        <v>143</v>
      </c>
      <c r="F1208" t="s">
        <v>145</v>
      </c>
      <c r="G1208" t="s">
        <v>146</v>
      </c>
      <c r="H1208" s="16">
        <v>7667</v>
      </c>
      <c r="I1208" s="16">
        <v>0</v>
      </c>
      <c r="J1208" s="16">
        <v>5686</v>
      </c>
      <c r="K1208" s="16">
        <v>5382</v>
      </c>
      <c r="L1208" s="16">
        <v>0</v>
      </c>
      <c r="M1208" s="16">
        <v>2285</v>
      </c>
      <c r="N1208" s="16">
        <v>-559</v>
      </c>
      <c r="O1208">
        <v>2</v>
      </c>
      <c r="P1208">
        <v>0</v>
      </c>
      <c r="Q1208" s="20">
        <v>0</v>
      </c>
      <c r="R1208" s="21">
        <v>-0.24463894967177244</v>
      </c>
    </row>
    <row r="1209" spans="1:18">
      <c r="A1209" t="s">
        <v>1787</v>
      </c>
      <c r="B1209" t="s">
        <v>86</v>
      </c>
      <c r="C1209" t="s">
        <v>101</v>
      </c>
      <c r="D1209">
        <v>2</v>
      </c>
      <c r="E1209" t="s">
        <v>132</v>
      </c>
      <c r="F1209" t="s">
        <v>145</v>
      </c>
      <c r="G1209" t="s">
        <v>146</v>
      </c>
      <c r="H1209" s="16">
        <v>7644</v>
      </c>
      <c r="I1209" s="16">
        <v>0</v>
      </c>
      <c r="J1209" s="16">
        <v>6020</v>
      </c>
      <c r="K1209" s="16">
        <v>11239</v>
      </c>
      <c r="L1209" s="16">
        <v>0</v>
      </c>
      <c r="M1209" s="16">
        <v>-3595</v>
      </c>
      <c r="N1209" s="16">
        <v>-2745</v>
      </c>
      <c r="O1209">
        <v>2</v>
      </c>
      <c r="P1209">
        <v>0</v>
      </c>
      <c r="Q1209" s="20">
        <v>0</v>
      </c>
      <c r="R1209" s="21">
        <v>0.76356050069541026</v>
      </c>
    </row>
    <row r="1210" spans="1:18">
      <c r="A1210" t="s">
        <v>1788</v>
      </c>
      <c r="B1210" t="s">
        <v>74</v>
      </c>
      <c r="C1210" t="s">
        <v>104</v>
      </c>
      <c r="D1210">
        <v>2</v>
      </c>
      <c r="E1210" t="s">
        <v>132</v>
      </c>
      <c r="F1210" t="s">
        <v>1789</v>
      </c>
      <c r="G1210" t="s">
        <v>134</v>
      </c>
      <c r="H1210" s="16">
        <v>7509</v>
      </c>
      <c r="I1210" s="16">
        <v>3543</v>
      </c>
      <c r="J1210" s="16">
        <v>3690</v>
      </c>
      <c r="K1210" s="16">
        <v>1336</v>
      </c>
      <c r="L1210" s="16">
        <v>927</v>
      </c>
      <c r="M1210" s="16">
        <v>6173</v>
      </c>
      <c r="N1210" s="16">
        <v>432</v>
      </c>
      <c r="O1210">
        <v>0</v>
      </c>
      <c r="P1210">
        <v>0</v>
      </c>
      <c r="Q1210" s="20">
        <v>0.47183379944067122</v>
      </c>
      <c r="R1210" s="21">
        <v>6.9982180463307953E-2</v>
      </c>
    </row>
    <row r="1211" spans="1:18">
      <c r="A1211" t="s">
        <v>1790</v>
      </c>
      <c r="B1211" t="s">
        <v>86</v>
      </c>
      <c r="C1211" t="s">
        <v>104</v>
      </c>
      <c r="D1211">
        <v>2</v>
      </c>
      <c r="E1211" t="s">
        <v>132</v>
      </c>
      <c r="F1211" t="s">
        <v>1276</v>
      </c>
      <c r="G1211" t="s">
        <v>153</v>
      </c>
      <c r="H1211" s="16">
        <v>7420</v>
      </c>
      <c r="I1211" s="16">
        <v>0</v>
      </c>
      <c r="J1211" s="16">
        <v>30</v>
      </c>
      <c r="K1211" s="16">
        <v>3198</v>
      </c>
      <c r="L1211" s="16">
        <v>0</v>
      </c>
      <c r="M1211" s="16">
        <v>4222</v>
      </c>
      <c r="N1211" s="16">
        <v>380</v>
      </c>
      <c r="O1211">
        <v>3</v>
      </c>
      <c r="P1211">
        <v>0</v>
      </c>
      <c r="Q1211" s="20">
        <v>0</v>
      </c>
      <c r="R1211" s="21">
        <v>9.0004737091425868E-2</v>
      </c>
    </row>
    <row r="1212" spans="1:18">
      <c r="A1212" t="s">
        <v>1791</v>
      </c>
      <c r="B1212" t="s">
        <v>86</v>
      </c>
      <c r="C1212" t="s">
        <v>101</v>
      </c>
      <c r="D1212">
        <v>2</v>
      </c>
      <c r="E1212" t="s">
        <v>132</v>
      </c>
      <c r="F1212" t="s">
        <v>145</v>
      </c>
      <c r="G1212" t="s">
        <v>146</v>
      </c>
      <c r="H1212" s="16">
        <v>7358</v>
      </c>
      <c r="I1212" s="16">
        <v>0</v>
      </c>
      <c r="J1212" s="16">
        <v>119</v>
      </c>
      <c r="K1212" s="16">
        <v>5156</v>
      </c>
      <c r="L1212" s="16">
        <v>0</v>
      </c>
      <c r="M1212" s="16">
        <v>2202</v>
      </c>
      <c r="N1212" s="16">
        <v>-83</v>
      </c>
      <c r="O1212">
        <v>2</v>
      </c>
      <c r="P1212">
        <v>0</v>
      </c>
      <c r="Q1212" s="20">
        <v>0</v>
      </c>
      <c r="R1212" s="21">
        <v>-3.7693006357856496E-2</v>
      </c>
    </row>
    <row r="1213" spans="1:18">
      <c r="A1213" t="s">
        <v>1792</v>
      </c>
      <c r="B1213" t="s">
        <v>83</v>
      </c>
      <c r="C1213" t="s">
        <v>104</v>
      </c>
      <c r="D1213">
        <v>2</v>
      </c>
      <c r="E1213" t="s">
        <v>132</v>
      </c>
      <c r="F1213" t="s">
        <v>372</v>
      </c>
      <c r="G1213" t="s">
        <v>153</v>
      </c>
      <c r="H1213" s="16">
        <v>7334</v>
      </c>
      <c r="I1213" s="16">
        <v>460</v>
      </c>
      <c r="J1213" s="16">
        <v>362</v>
      </c>
      <c r="K1213" s="16">
        <v>2296</v>
      </c>
      <c r="L1213" s="16">
        <v>0</v>
      </c>
      <c r="M1213" s="16">
        <v>5039</v>
      </c>
      <c r="N1213" s="16">
        <v>18</v>
      </c>
      <c r="O1213">
        <v>2</v>
      </c>
      <c r="P1213">
        <v>0</v>
      </c>
      <c r="Q1213" s="20">
        <v>6.2721570766293977E-2</v>
      </c>
      <c r="R1213" s="21">
        <v>3.5721373288350863E-3</v>
      </c>
    </row>
    <row r="1214" spans="1:18">
      <c r="A1214" t="s">
        <v>1793</v>
      </c>
      <c r="B1214" t="s">
        <v>83</v>
      </c>
      <c r="C1214" t="s">
        <v>104</v>
      </c>
      <c r="D1214">
        <v>2</v>
      </c>
      <c r="E1214" t="s">
        <v>132</v>
      </c>
      <c r="F1214" t="s">
        <v>1794</v>
      </c>
      <c r="G1214" t="s">
        <v>169</v>
      </c>
      <c r="H1214" s="16">
        <v>7287</v>
      </c>
      <c r="I1214" s="16">
        <v>0</v>
      </c>
      <c r="J1214" s="16">
        <v>1702</v>
      </c>
      <c r="K1214" s="16">
        <v>5748</v>
      </c>
      <c r="L1214" s="16">
        <v>0</v>
      </c>
      <c r="M1214" s="16">
        <v>1538</v>
      </c>
      <c r="N1214" s="16">
        <v>41</v>
      </c>
      <c r="O1214">
        <v>2</v>
      </c>
      <c r="P1214">
        <v>0</v>
      </c>
      <c r="Q1214" s="20">
        <v>0</v>
      </c>
      <c r="R1214" s="21">
        <v>2.6657997399219768E-2</v>
      </c>
    </row>
    <row r="1215" spans="1:18">
      <c r="A1215" t="s">
        <v>1795</v>
      </c>
      <c r="B1215" t="s">
        <v>74</v>
      </c>
      <c r="C1215" t="s">
        <v>104</v>
      </c>
      <c r="D1215">
        <v>2</v>
      </c>
      <c r="E1215" t="s">
        <v>132</v>
      </c>
      <c r="F1215" t="s">
        <v>939</v>
      </c>
      <c r="G1215" t="s">
        <v>169</v>
      </c>
      <c r="H1215" s="16">
        <v>7203</v>
      </c>
      <c r="I1215" s="16">
        <v>2951</v>
      </c>
      <c r="J1215" s="16">
        <v>3522</v>
      </c>
      <c r="K1215" s="16">
        <v>331</v>
      </c>
      <c r="L1215" s="16">
        <v>0</v>
      </c>
      <c r="M1215" s="16">
        <v>6872</v>
      </c>
      <c r="N1215" s="16">
        <v>335</v>
      </c>
      <c r="O1215">
        <v>0</v>
      </c>
      <c r="P1215">
        <v>0</v>
      </c>
      <c r="Q1215" s="20">
        <v>0.40969040677495489</v>
      </c>
      <c r="R1215" s="21">
        <v>4.8748544819557628E-2</v>
      </c>
    </row>
    <row r="1216" spans="1:18">
      <c r="A1216" t="s">
        <v>1796</v>
      </c>
      <c r="B1216" t="s">
        <v>74</v>
      </c>
      <c r="C1216" t="s">
        <v>104</v>
      </c>
      <c r="D1216">
        <v>2</v>
      </c>
      <c r="E1216" t="s">
        <v>132</v>
      </c>
      <c r="F1216" t="s">
        <v>1797</v>
      </c>
      <c r="G1216" t="s">
        <v>134</v>
      </c>
      <c r="H1216" s="16">
        <v>7181</v>
      </c>
      <c r="I1216" s="16">
        <v>3915</v>
      </c>
      <c r="J1216" s="16">
        <v>2900</v>
      </c>
      <c r="K1216" s="16">
        <v>404</v>
      </c>
      <c r="L1216" s="16">
        <v>0</v>
      </c>
      <c r="M1216" s="16">
        <v>6777</v>
      </c>
      <c r="N1216" s="16">
        <v>-53</v>
      </c>
      <c r="O1216">
        <v>0</v>
      </c>
      <c r="P1216">
        <v>1</v>
      </c>
      <c r="Q1216" s="20">
        <v>0.54518869238267653</v>
      </c>
      <c r="R1216" s="21">
        <v>-7.820569573557621E-3</v>
      </c>
    </row>
    <row r="1217" spans="1:18">
      <c r="A1217" t="s">
        <v>1798</v>
      </c>
      <c r="B1217" t="s">
        <v>83</v>
      </c>
      <c r="C1217" t="s">
        <v>104</v>
      </c>
      <c r="D1217">
        <v>2</v>
      </c>
      <c r="E1217" t="s">
        <v>132</v>
      </c>
      <c r="F1217" t="s">
        <v>168</v>
      </c>
      <c r="G1217" t="s">
        <v>169</v>
      </c>
      <c r="H1217" s="16">
        <v>7176</v>
      </c>
      <c r="I1217" s="16">
        <v>5185</v>
      </c>
      <c r="J1217" s="16">
        <v>10</v>
      </c>
      <c r="K1217" s="16">
        <v>150</v>
      </c>
      <c r="L1217" s="16">
        <v>0</v>
      </c>
      <c r="M1217" s="16">
        <v>7025</v>
      </c>
      <c r="N1217" s="16">
        <v>356</v>
      </c>
      <c r="O1217">
        <v>2</v>
      </c>
      <c r="P1217">
        <v>0</v>
      </c>
      <c r="Q1217" s="20">
        <v>0.72254738015607578</v>
      </c>
      <c r="R1217" s="21">
        <v>5.0676156583629894E-2</v>
      </c>
    </row>
    <row r="1218" spans="1:18">
      <c r="A1218" t="s">
        <v>1799</v>
      </c>
      <c r="B1218" t="s">
        <v>86</v>
      </c>
      <c r="C1218" t="s">
        <v>101</v>
      </c>
      <c r="D1218">
        <v>2</v>
      </c>
      <c r="E1218" t="s">
        <v>132</v>
      </c>
      <c r="F1218" t="s">
        <v>145</v>
      </c>
      <c r="G1218" t="s">
        <v>146</v>
      </c>
      <c r="H1218" s="16">
        <v>7056</v>
      </c>
      <c r="I1218" s="16">
        <v>0</v>
      </c>
      <c r="J1218" s="16">
        <v>2042</v>
      </c>
      <c r="K1218" s="16">
        <v>3872</v>
      </c>
      <c r="L1218" s="16">
        <v>0</v>
      </c>
      <c r="M1218" s="16">
        <v>3185</v>
      </c>
      <c r="N1218" s="16">
        <v>211</v>
      </c>
      <c r="O1218">
        <v>2</v>
      </c>
      <c r="P1218">
        <v>0</v>
      </c>
      <c r="Q1218" s="20">
        <v>0</v>
      </c>
      <c r="R1218" s="21">
        <v>6.6248037676609112E-2</v>
      </c>
    </row>
    <row r="1219" spans="1:18">
      <c r="A1219" t="s">
        <v>1800</v>
      </c>
      <c r="B1219" t="s">
        <v>74</v>
      </c>
      <c r="C1219" t="s">
        <v>104</v>
      </c>
      <c r="D1219">
        <v>2</v>
      </c>
      <c r="E1219" t="s">
        <v>132</v>
      </c>
      <c r="F1219" t="s">
        <v>1801</v>
      </c>
      <c r="G1219" t="s">
        <v>146</v>
      </c>
      <c r="H1219" s="16">
        <v>6929</v>
      </c>
      <c r="I1219" s="16">
        <v>1965</v>
      </c>
      <c r="J1219" s="16">
        <v>2930</v>
      </c>
      <c r="K1219" s="16">
        <v>575</v>
      </c>
      <c r="L1219" s="16">
        <v>0</v>
      </c>
      <c r="M1219" s="16">
        <v>6354</v>
      </c>
      <c r="N1219" s="16">
        <v>-37</v>
      </c>
      <c r="O1219">
        <v>0</v>
      </c>
      <c r="P1219">
        <v>1</v>
      </c>
      <c r="Q1219" s="20">
        <v>0.28359070572954248</v>
      </c>
      <c r="R1219" s="21">
        <v>-5.8231035568146053E-3</v>
      </c>
    </row>
    <row r="1220" spans="1:18">
      <c r="A1220" t="s">
        <v>1802</v>
      </c>
      <c r="B1220" t="s">
        <v>86</v>
      </c>
      <c r="C1220" t="s">
        <v>101</v>
      </c>
      <c r="D1220">
        <v>2</v>
      </c>
      <c r="E1220" t="s">
        <v>132</v>
      </c>
      <c r="F1220" t="s">
        <v>133</v>
      </c>
      <c r="G1220" t="s">
        <v>134</v>
      </c>
      <c r="H1220" s="16">
        <v>6923</v>
      </c>
      <c r="I1220" s="16">
        <v>0</v>
      </c>
      <c r="J1220" s="16">
        <v>6074</v>
      </c>
      <c r="K1220" s="16">
        <v>865</v>
      </c>
      <c r="L1220" s="16">
        <v>10</v>
      </c>
      <c r="M1220" s="16">
        <v>6058</v>
      </c>
      <c r="N1220" s="16">
        <v>-1675</v>
      </c>
      <c r="O1220">
        <v>2</v>
      </c>
      <c r="P1220">
        <v>0</v>
      </c>
      <c r="Q1220" s="20">
        <v>0</v>
      </c>
      <c r="R1220" s="21">
        <v>-0.27649389237372068</v>
      </c>
    </row>
    <row r="1221" spans="1:18">
      <c r="A1221" t="s">
        <v>1803</v>
      </c>
      <c r="B1221" t="s">
        <v>74</v>
      </c>
      <c r="C1221" t="s">
        <v>104</v>
      </c>
      <c r="D1221">
        <v>2</v>
      </c>
      <c r="E1221" t="s">
        <v>132</v>
      </c>
      <c r="F1221" t="s">
        <v>152</v>
      </c>
      <c r="G1221" t="s">
        <v>153</v>
      </c>
      <c r="H1221" s="16">
        <v>6912</v>
      </c>
      <c r="I1221" s="16">
        <v>899</v>
      </c>
      <c r="J1221" s="16">
        <v>0</v>
      </c>
      <c r="K1221" s="16">
        <v>856</v>
      </c>
      <c r="L1221" s="16">
        <v>0</v>
      </c>
      <c r="M1221" s="16">
        <v>6056</v>
      </c>
      <c r="N1221" s="16">
        <v>40</v>
      </c>
      <c r="O1221">
        <v>0</v>
      </c>
      <c r="P1221">
        <v>0</v>
      </c>
      <c r="Q1221" s="20">
        <v>0.13006365740740741</v>
      </c>
      <c r="R1221" s="21">
        <v>6.6050198150594455E-3</v>
      </c>
    </row>
    <row r="1222" spans="1:18">
      <c r="A1222" t="s">
        <v>1804</v>
      </c>
      <c r="B1222" t="s">
        <v>86</v>
      </c>
      <c r="C1222" t="s">
        <v>101</v>
      </c>
      <c r="D1222">
        <v>2</v>
      </c>
      <c r="E1222" t="s">
        <v>132</v>
      </c>
      <c r="F1222" t="s">
        <v>145</v>
      </c>
      <c r="G1222" t="s">
        <v>146</v>
      </c>
      <c r="H1222" s="16">
        <v>6903</v>
      </c>
      <c r="I1222" s="16">
        <v>0</v>
      </c>
      <c r="J1222" s="16">
        <v>0</v>
      </c>
      <c r="K1222" s="16">
        <v>1991</v>
      </c>
      <c r="L1222" s="16">
        <v>0</v>
      </c>
      <c r="M1222" s="16">
        <v>4911</v>
      </c>
      <c r="N1222" s="16">
        <v>318</v>
      </c>
      <c r="O1222">
        <v>3</v>
      </c>
      <c r="P1222">
        <v>0</v>
      </c>
      <c r="Q1222" s="20">
        <v>0</v>
      </c>
      <c r="R1222" s="21">
        <v>6.4752596212584002E-2</v>
      </c>
    </row>
    <row r="1223" spans="1:18">
      <c r="A1223" t="s">
        <v>1805</v>
      </c>
      <c r="B1223" t="s">
        <v>74</v>
      </c>
      <c r="C1223" t="s">
        <v>104</v>
      </c>
      <c r="D1223">
        <v>2</v>
      </c>
      <c r="E1223" t="s">
        <v>132</v>
      </c>
      <c r="F1223" t="s">
        <v>586</v>
      </c>
      <c r="G1223" t="s">
        <v>169</v>
      </c>
      <c r="H1223" s="16">
        <v>6858</v>
      </c>
      <c r="I1223" s="16">
        <v>4299</v>
      </c>
      <c r="J1223" s="16">
        <v>2260</v>
      </c>
      <c r="K1223" s="16">
        <v>1137</v>
      </c>
      <c r="L1223" s="16">
        <v>0</v>
      </c>
      <c r="M1223" s="16">
        <v>5721</v>
      </c>
      <c r="N1223" s="16">
        <v>192</v>
      </c>
      <c r="O1223">
        <v>0</v>
      </c>
      <c r="P1223">
        <v>0</v>
      </c>
      <c r="Q1223" s="20">
        <v>0.62685914260717412</v>
      </c>
      <c r="R1223" s="21">
        <v>3.3560566334556896E-2</v>
      </c>
    </row>
    <row r="1224" spans="1:18">
      <c r="A1224" t="s">
        <v>1806</v>
      </c>
      <c r="B1224" t="s">
        <v>74</v>
      </c>
      <c r="C1224" t="s">
        <v>104</v>
      </c>
      <c r="D1224">
        <v>2</v>
      </c>
      <c r="E1224" t="s">
        <v>132</v>
      </c>
      <c r="F1224" t="s">
        <v>1797</v>
      </c>
      <c r="G1224" t="s">
        <v>134</v>
      </c>
      <c r="H1224" s="16">
        <v>6685</v>
      </c>
      <c r="I1224" s="16">
        <v>3503</v>
      </c>
      <c r="J1224" s="16">
        <v>2907</v>
      </c>
      <c r="K1224" s="16">
        <v>589</v>
      </c>
      <c r="L1224" s="16">
        <v>0</v>
      </c>
      <c r="M1224" s="16">
        <v>6096</v>
      </c>
      <c r="N1224" s="16">
        <v>332</v>
      </c>
      <c r="O1224">
        <v>0</v>
      </c>
      <c r="P1224">
        <v>0</v>
      </c>
      <c r="Q1224" s="20">
        <v>0.52400897531787582</v>
      </c>
      <c r="R1224" s="21">
        <v>5.446194225721785E-2</v>
      </c>
    </row>
    <row r="1225" spans="1:18">
      <c r="A1225" t="s">
        <v>1807</v>
      </c>
      <c r="B1225" t="s">
        <v>74</v>
      </c>
      <c r="C1225" t="s">
        <v>104</v>
      </c>
      <c r="D1225">
        <v>2</v>
      </c>
      <c r="E1225" t="s">
        <v>132</v>
      </c>
      <c r="F1225" t="s">
        <v>1566</v>
      </c>
      <c r="G1225" t="s">
        <v>169</v>
      </c>
      <c r="H1225" s="16">
        <v>6684</v>
      </c>
      <c r="I1225" s="16">
        <v>1637</v>
      </c>
      <c r="J1225" s="16">
        <v>4632</v>
      </c>
      <c r="K1225" s="16">
        <v>549</v>
      </c>
      <c r="L1225" s="16">
        <v>0</v>
      </c>
      <c r="M1225" s="16">
        <v>6135</v>
      </c>
      <c r="N1225" s="16">
        <v>147</v>
      </c>
      <c r="O1225">
        <v>0</v>
      </c>
      <c r="P1225">
        <v>0</v>
      </c>
      <c r="Q1225" s="20">
        <v>0.24491322561340514</v>
      </c>
      <c r="R1225" s="21">
        <v>2.3960880195599023E-2</v>
      </c>
    </row>
    <row r="1226" spans="1:18">
      <c r="A1226" t="s">
        <v>1808</v>
      </c>
      <c r="B1226" t="s">
        <v>83</v>
      </c>
      <c r="C1226" t="s">
        <v>104</v>
      </c>
      <c r="D1226">
        <v>2</v>
      </c>
      <c r="E1226" t="s">
        <v>132</v>
      </c>
      <c r="F1226" t="s">
        <v>133</v>
      </c>
      <c r="G1226" t="s">
        <v>134</v>
      </c>
      <c r="H1226" s="16">
        <v>6618</v>
      </c>
      <c r="I1226" s="16">
        <v>116</v>
      </c>
      <c r="J1226" s="16">
        <v>6087</v>
      </c>
      <c r="K1226" s="16">
        <v>228</v>
      </c>
      <c r="L1226" s="16">
        <v>0</v>
      </c>
      <c r="M1226" s="16">
        <v>6390</v>
      </c>
      <c r="N1226" s="16">
        <v>114</v>
      </c>
      <c r="O1226">
        <v>2</v>
      </c>
      <c r="P1226">
        <v>0</v>
      </c>
      <c r="Q1226" s="20">
        <v>1.7527954064672106E-2</v>
      </c>
      <c r="R1226" s="21">
        <v>1.7840375586854459E-2</v>
      </c>
    </row>
    <row r="1227" spans="1:18">
      <c r="A1227" t="s">
        <v>1809</v>
      </c>
      <c r="B1227" t="s">
        <v>74</v>
      </c>
      <c r="C1227" t="s">
        <v>104</v>
      </c>
      <c r="D1227">
        <v>2</v>
      </c>
      <c r="E1227" t="s">
        <v>132</v>
      </c>
      <c r="F1227" t="s">
        <v>823</v>
      </c>
      <c r="G1227" t="s">
        <v>134</v>
      </c>
      <c r="H1227" s="16">
        <v>6613</v>
      </c>
      <c r="I1227" s="16">
        <v>2866</v>
      </c>
      <c r="J1227" s="16">
        <v>3513</v>
      </c>
      <c r="K1227" s="16">
        <v>525</v>
      </c>
      <c r="L1227" s="16">
        <v>0</v>
      </c>
      <c r="M1227" s="16">
        <v>6088</v>
      </c>
      <c r="N1227" s="16">
        <v>145</v>
      </c>
      <c r="O1227">
        <v>0</v>
      </c>
      <c r="P1227">
        <v>0</v>
      </c>
      <c r="Q1227" s="20">
        <v>0.433388779676395</v>
      </c>
      <c r="R1227" s="21">
        <v>2.3817345597897503E-2</v>
      </c>
    </row>
    <row r="1228" spans="1:18">
      <c r="A1228" t="s">
        <v>1810</v>
      </c>
      <c r="B1228" t="s">
        <v>86</v>
      </c>
      <c r="C1228" t="s">
        <v>104</v>
      </c>
      <c r="D1228">
        <v>2</v>
      </c>
      <c r="E1228" t="s">
        <v>132</v>
      </c>
      <c r="F1228" t="s">
        <v>1811</v>
      </c>
      <c r="G1228" t="s">
        <v>206</v>
      </c>
      <c r="H1228" s="16">
        <v>6481</v>
      </c>
      <c r="I1228" s="16">
        <v>0</v>
      </c>
      <c r="J1228" s="16">
        <v>521</v>
      </c>
      <c r="K1228" s="16">
        <v>1430</v>
      </c>
      <c r="L1228" s="16">
        <v>0</v>
      </c>
      <c r="M1228" s="16">
        <v>5052</v>
      </c>
      <c r="N1228" s="16">
        <v>1</v>
      </c>
      <c r="O1228">
        <v>10</v>
      </c>
      <c r="P1228">
        <v>0</v>
      </c>
      <c r="Q1228" s="20">
        <v>0</v>
      </c>
      <c r="R1228" s="21">
        <v>1.9794140934283451E-4</v>
      </c>
    </row>
    <row r="1229" spans="1:18">
      <c r="A1229" t="s">
        <v>1812</v>
      </c>
      <c r="B1229" t="s">
        <v>86</v>
      </c>
      <c r="C1229" t="s">
        <v>101</v>
      </c>
      <c r="D1229">
        <v>2</v>
      </c>
      <c r="E1229" t="s">
        <v>132</v>
      </c>
      <c r="F1229" t="s">
        <v>178</v>
      </c>
      <c r="G1229" t="s">
        <v>179</v>
      </c>
      <c r="H1229" s="16">
        <v>6414</v>
      </c>
      <c r="I1229" s="16">
        <v>0</v>
      </c>
      <c r="J1229" s="16">
        <v>809</v>
      </c>
      <c r="K1229" s="16">
        <v>1577</v>
      </c>
      <c r="L1229" s="16">
        <v>0</v>
      </c>
      <c r="M1229" s="16">
        <v>4837</v>
      </c>
      <c r="N1229" s="16">
        <v>-26</v>
      </c>
      <c r="O1229">
        <v>2</v>
      </c>
      <c r="P1229">
        <v>0</v>
      </c>
      <c r="Q1229" s="20">
        <v>0</v>
      </c>
      <c r="R1229" s="21">
        <v>-5.3752325821790365E-3</v>
      </c>
    </row>
    <row r="1230" spans="1:18">
      <c r="A1230" t="s">
        <v>1813</v>
      </c>
      <c r="B1230" t="s">
        <v>74</v>
      </c>
      <c r="C1230" t="s">
        <v>104</v>
      </c>
      <c r="D1230">
        <v>2</v>
      </c>
      <c r="E1230" t="s">
        <v>132</v>
      </c>
      <c r="F1230" t="s">
        <v>1814</v>
      </c>
      <c r="G1230" t="s">
        <v>169</v>
      </c>
      <c r="H1230" s="16">
        <v>6407</v>
      </c>
      <c r="I1230" s="16">
        <v>1620</v>
      </c>
      <c r="J1230" s="16">
        <v>4645</v>
      </c>
      <c r="K1230" s="16">
        <v>665</v>
      </c>
      <c r="L1230" s="16">
        <v>0</v>
      </c>
      <c r="M1230" s="16">
        <v>5742</v>
      </c>
      <c r="N1230" s="16">
        <v>259</v>
      </c>
      <c r="O1230">
        <v>0</v>
      </c>
      <c r="P1230">
        <v>0</v>
      </c>
      <c r="Q1230" s="20">
        <v>0.25284844701108161</v>
      </c>
      <c r="R1230" s="21">
        <v>4.5106234761407175E-2</v>
      </c>
    </row>
    <row r="1231" spans="1:18">
      <c r="A1231" t="s">
        <v>1815</v>
      </c>
      <c r="B1231" t="s">
        <v>83</v>
      </c>
      <c r="C1231" t="s">
        <v>104</v>
      </c>
      <c r="D1231">
        <v>3</v>
      </c>
      <c r="E1231" t="s">
        <v>143</v>
      </c>
      <c r="F1231" t="s">
        <v>133</v>
      </c>
      <c r="G1231" t="s">
        <v>134</v>
      </c>
      <c r="H1231" s="16">
        <v>6373</v>
      </c>
      <c r="I1231" s="16">
        <v>0</v>
      </c>
      <c r="J1231" s="16">
        <v>6346</v>
      </c>
      <c r="K1231" s="16">
        <v>4</v>
      </c>
      <c r="L1231" s="16">
        <v>0</v>
      </c>
      <c r="M1231" s="16">
        <v>6369</v>
      </c>
      <c r="N1231" s="16">
        <v>-40</v>
      </c>
      <c r="O1231">
        <v>2</v>
      </c>
      <c r="P1231">
        <v>0</v>
      </c>
      <c r="Q1231" s="20">
        <v>0</v>
      </c>
      <c r="R1231" s="21">
        <v>-6.2804207881928089E-3</v>
      </c>
    </row>
    <row r="1232" spans="1:18">
      <c r="A1232" t="s">
        <v>1816</v>
      </c>
      <c r="B1232" t="s">
        <v>86</v>
      </c>
      <c r="C1232" t="s">
        <v>98</v>
      </c>
      <c r="D1232">
        <v>2</v>
      </c>
      <c r="E1232" t="s">
        <v>132</v>
      </c>
      <c r="F1232" t="s">
        <v>145</v>
      </c>
      <c r="G1232" t="s">
        <v>146</v>
      </c>
      <c r="H1232" s="16">
        <v>6274</v>
      </c>
      <c r="I1232" s="16">
        <v>0</v>
      </c>
      <c r="J1232" s="16">
        <v>0</v>
      </c>
      <c r="K1232" s="16">
        <v>2262</v>
      </c>
      <c r="L1232" s="16">
        <v>0</v>
      </c>
      <c r="M1232" s="16">
        <v>4012</v>
      </c>
      <c r="N1232" s="16">
        <v>-2305</v>
      </c>
      <c r="O1232">
        <v>2</v>
      </c>
      <c r="P1232">
        <v>0</v>
      </c>
      <c r="Q1232" s="20">
        <v>0</v>
      </c>
      <c r="R1232" s="21">
        <v>-0.57452642073778659</v>
      </c>
    </row>
    <row r="1233" spans="1:18">
      <c r="A1233" t="s">
        <v>1817</v>
      </c>
      <c r="B1233" t="s">
        <v>83</v>
      </c>
      <c r="C1233" t="s">
        <v>104</v>
      </c>
      <c r="D1233">
        <v>2</v>
      </c>
      <c r="E1233" t="s">
        <v>132</v>
      </c>
      <c r="F1233" t="s">
        <v>463</v>
      </c>
      <c r="G1233" t="s">
        <v>211</v>
      </c>
      <c r="H1233" s="16">
        <v>6263</v>
      </c>
      <c r="I1233" s="16">
        <v>3384</v>
      </c>
      <c r="J1233" s="16">
        <v>2088</v>
      </c>
      <c r="K1233" s="16">
        <v>4381</v>
      </c>
      <c r="L1233" s="16">
        <v>4216</v>
      </c>
      <c r="M1233" s="16">
        <v>1882</v>
      </c>
      <c r="N1233" s="16">
        <v>-891</v>
      </c>
      <c r="O1233">
        <v>2</v>
      </c>
      <c r="P1233">
        <v>0</v>
      </c>
      <c r="Q1233" s="20">
        <v>0.54031614242375858</v>
      </c>
      <c r="R1233" s="21">
        <v>-0.47343251859723701</v>
      </c>
    </row>
    <row r="1234" spans="1:18">
      <c r="A1234" t="s">
        <v>1818</v>
      </c>
      <c r="B1234" t="s">
        <v>74</v>
      </c>
      <c r="C1234" t="s">
        <v>104</v>
      </c>
      <c r="D1234">
        <v>2</v>
      </c>
      <c r="E1234" t="s">
        <v>132</v>
      </c>
      <c r="F1234" t="s">
        <v>1801</v>
      </c>
      <c r="G1234" t="s">
        <v>146</v>
      </c>
      <c r="H1234" s="16">
        <v>6257</v>
      </c>
      <c r="I1234" s="16">
        <v>1211</v>
      </c>
      <c r="J1234" s="16">
        <v>3878</v>
      </c>
      <c r="K1234" s="16">
        <v>868</v>
      </c>
      <c r="L1234" s="16">
        <v>0</v>
      </c>
      <c r="M1234" s="16">
        <v>5390</v>
      </c>
      <c r="N1234" s="16">
        <v>242</v>
      </c>
      <c r="O1234">
        <v>0</v>
      </c>
      <c r="P1234">
        <v>0</v>
      </c>
      <c r="Q1234" s="20">
        <v>0.19354323158062969</v>
      </c>
      <c r="R1234" s="21">
        <v>4.4897959183673466E-2</v>
      </c>
    </row>
    <row r="1235" spans="1:18">
      <c r="A1235" t="s">
        <v>1819</v>
      </c>
      <c r="B1235" t="s">
        <v>86</v>
      </c>
      <c r="C1235" t="s">
        <v>101</v>
      </c>
      <c r="D1235">
        <v>2</v>
      </c>
      <c r="E1235" t="s">
        <v>132</v>
      </c>
      <c r="F1235" t="s">
        <v>783</v>
      </c>
      <c r="G1235" t="s">
        <v>744</v>
      </c>
      <c r="H1235" s="16">
        <v>6235</v>
      </c>
      <c r="I1235" s="16">
        <v>0</v>
      </c>
      <c r="J1235" s="16">
        <v>0</v>
      </c>
      <c r="K1235" s="16">
        <v>1095</v>
      </c>
      <c r="L1235" s="16">
        <v>0</v>
      </c>
      <c r="M1235" s="16">
        <v>5140</v>
      </c>
      <c r="N1235" s="16">
        <v>-351</v>
      </c>
      <c r="O1235">
        <v>13</v>
      </c>
      <c r="P1235">
        <v>0</v>
      </c>
      <c r="Q1235" s="20">
        <v>0</v>
      </c>
      <c r="R1235" s="21">
        <v>-6.8287937743190655E-2</v>
      </c>
    </row>
    <row r="1236" spans="1:18">
      <c r="A1236" t="s">
        <v>1820</v>
      </c>
      <c r="B1236" t="s">
        <v>74</v>
      </c>
      <c r="C1236" t="s">
        <v>104</v>
      </c>
      <c r="D1236">
        <v>2</v>
      </c>
      <c r="E1236" t="s">
        <v>132</v>
      </c>
      <c r="F1236" t="s">
        <v>1821</v>
      </c>
      <c r="G1236" t="s">
        <v>134</v>
      </c>
      <c r="H1236" s="16">
        <v>6162</v>
      </c>
      <c r="I1236" s="16">
        <v>2916</v>
      </c>
      <c r="J1236" s="16">
        <v>2828</v>
      </c>
      <c r="K1236" s="16">
        <v>109</v>
      </c>
      <c r="L1236" s="16">
        <v>0</v>
      </c>
      <c r="M1236" s="16">
        <v>6053</v>
      </c>
      <c r="N1236" s="16">
        <v>534</v>
      </c>
      <c r="O1236">
        <v>0</v>
      </c>
      <c r="P1236">
        <v>0</v>
      </c>
      <c r="Q1236" s="20">
        <v>0.47322297955209347</v>
      </c>
      <c r="R1236" s="21">
        <v>8.8220716999834789E-2</v>
      </c>
    </row>
    <row r="1237" spans="1:18">
      <c r="A1237" t="s">
        <v>1822</v>
      </c>
      <c r="B1237" t="s">
        <v>89</v>
      </c>
      <c r="C1237" t="s">
        <v>104</v>
      </c>
      <c r="D1237">
        <v>2</v>
      </c>
      <c r="E1237" t="s">
        <v>132</v>
      </c>
      <c r="F1237" t="s">
        <v>133</v>
      </c>
      <c r="G1237" t="s">
        <v>134</v>
      </c>
      <c r="H1237" s="16">
        <v>6091</v>
      </c>
      <c r="I1237" s="16">
        <v>0</v>
      </c>
      <c r="J1237" s="16">
        <v>4617</v>
      </c>
      <c r="K1237" s="16">
        <v>3621</v>
      </c>
      <c r="L1237" s="16">
        <v>0</v>
      </c>
      <c r="M1237" s="16">
        <v>2469</v>
      </c>
      <c r="N1237" s="16">
        <v>22</v>
      </c>
      <c r="O1237">
        <v>1</v>
      </c>
      <c r="P1237">
        <v>0</v>
      </c>
      <c r="Q1237" s="20">
        <v>0</v>
      </c>
      <c r="R1237" s="21">
        <v>8.910490076954233E-3</v>
      </c>
    </row>
    <row r="1238" spans="1:18">
      <c r="A1238" t="s">
        <v>1823</v>
      </c>
      <c r="B1238" t="s">
        <v>89</v>
      </c>
      <c r="C1238" t="s">
        <v>162</v>
      </c>
      <c r="D1238">
        <v>2</v>
      </c>
      <c r="E1238" t="s">
        <v>132</v>
      </c>
      <c r="F1238" t="s">
        <v>220</v>
      </c>
      <c r="G1238" t="s">
        <v>134</v>
      </c>
      <c r="H1238" s="16">
        <v>6080</v>
      </c>
      <c r="I1238" s="16">
        <v>0</v>
      </c>
      <c r="J1238" s="16">
        <v>5884</v>
      </c>
      <c r="K1238" s="16">
        <v>46</v>
      </c>
      <c r="L1238" s="16">
        <v>2</v>
      </c>
      <c r="M1238" s="16">
        <v>6033</v>
      </c>
      <c r="N1238" s="16">
        <v>55</v>
      </c>
      <c r="O1238">
        <v>1</v>
      </c>
      <c r="P1238">
        <v>0</v>
      </c>
      <c r="Q1238" s="20">
        <v>0</v>
      </c>
      <c r="R1238" s="21">
        <v>9.1165257749046911E-3</v>
      </c>
    </row>
    <row r="1239" spans="1:18">
      <c r="A1239" t="s">
        <v>1824</v>
      </c>
      <c r="B1239" t="s">
        <v>89</v>
      </c>
      <c r="C1239" t="s">
        <v>162</v>
      </c>
      <c r="D1239">
        <v>2</v>
      </c>
      <c r="E1239" t="s">
        <v>132</v>
      </c>
      <c r="F1239" t="s">
        <v>163</v>
      </c>
      <c r="G1239" t="s">
        <v>134</v>
      </c>
      <c r="H1239" s="16">
        <v>6034</v>
      </c>
      <c r="I1239" s="16">
        <v>0</v>
      </c>
      <c r="J1239" s="16">
        <v>5892</v>
      </c>
      <c r="K1239" s="16">
        <v>195</v>
      </c>
      <c r="L1239" s="16">
        <v>0</v>
      </c>
      <c r="M1239" s="16">
        <v>5840</v>
      </c>
      <c r="N1239" s="16">
        <v>147</v>
      </c>
      <c r="O1239">
        <v>1</v>
      </c>
      <c r="P1239">
        <v>0</v>
      </c>
      <c r="Q1239" s="20">
        <v>0</v>
      </c>
      <c r="R1239" s="21">
        <v>2.5171232876712329E-2</v>
      </c>
    </row>
    <row r="1240" spans="1:18">
      <c r="A1240" t="s">
        <v>1825</v>
      </c>
      <c r="B1240" t="s">
        <v>86</v>
      </c>
      <c r="C1240" t="s">
        <v>101</v>
      </c>
      <c r="D1240">
        <v>2</v>
      </c>
      <c r="E1240" t="s">
        <v>132</v>
      </c>
      <c r="F1240" t="s">
        <v>411</v>
      </c>
      <c r="G1240" t="s">
        <v>134</v>
      </c>
      <c r="H1240" s="16">
        <v>6020</v>
      </c>
      <c r="I1240" s="16">
        <v>0</v>
      </c>
      <c r="J1240" s="16">
        <v>5714</v>
      </c>
      <c r="K1240" s="16">
        <v>205</v>
      </c>
      <c r="L1240" s="16">
        <v>0</v>
      </c>
      <c r="M1240" s="16">
        <v>5815</v>
      </c>
      <c r="N1240" s="16">
        <v>-162</v>
      </c>
      <c r="O1240">
        <v>3</v>
      </c>
      <c r="P1240">
        <v>0</v>
      </c>
      <c r="Q1240" s="20">
        <v>0</v>
      </c>
      <c r="R1240" s="21">
        <v>-2.7858985382631127E-2</v>
      </c>
    </row>
    <row r="1241" spans="1:18">
      <c r="A1241" t="s">
        <v>1826</v>
      </c>
      <c r="B1241" t="s">
        <v>89</v>
      </c>
      <c r="C1241" t="s">
        <v>162</v>
      </c>
      <c r="D1241">
        <v>2</v>
      </c>
      <c r="E1241" t="s">
        <v>132</v>
      </c>
      <c r="F1241" t="s">
        <v>168</v>
      </c>
      <c r="G1241" t="s">
        <v>169</v>
      </c>
      <c r="H1241" s="16">
        <v>6017</v>
      </c>
      <c r="I1241" s="16">
        <v>0</v>
      </c>
      <c r="J1241" s="16">
        <v>5512</v>
      </c>
      <c r="K1241" s="16">
        <v>155</v>
      </c>
      <c r="L1241" s="16">
        <v>126</v>
      </c>
      <c r="M1241" s="16">
        <v>5863</v>
      </c>
      <c r="N1241" s="16">
        <v>103</v>
      </c>
      <c r="O1241">
        <v>1</v>
      </c>
      <c r="P1241">
        <v>0</v>
      </c>
      <c r="Q1241" s="20">
        <v>0</v>
      </c>
      <c r="R1241" s="21">
        <v>1.7567798055602935E-2</v>
      </c>
    </row>
    <row r="1242" spans="1:18">
      <c r="A1242" t="s">
        <v>1827</v>
      </c>
      <c r="B1242" t="s">
        <v>83</v>
      </c>
      <c r="C1242" t="s">
        <v>104</v>
      </c>
      <c r="D1242">
        <v>2</v>
      </c>
      <c r="E1242" t="s">
        <v>132</v>
      </c>
      <c r="F1242" t="s">
        <v>152</v>
      </c>
      <c r="G1242" t="s">
        <v>153</v>
      </c>
      <c r="H1242" s="16">
        <v>6003</v>
      </c>
      <c r="I1242" s="16">
        <v>952</v>
      </c>
      <c r="J1242" s="16">
        <v>0</v>
      </c>
      <c r="K1242" s="16">
        <v>947</v>
      </c>
      <c r="L1242" s="16">
        <v>163</v>
      </c>
      <c r="M1242" s="16">
        <v>5056</v>
      </c>
      <c r="N1242" s="16">
        <v>711</v>
      </c>
      <c r="O1242">
        <v>2</v>
      </c>
      <c r="P1242">
        <v>0</v>
      </c>
      <c r="Q1242" s="20">
        <v>0.15858737298017658</v>
      </c>
      <c r="R1242" s="21">
        <v>0.140625</v>
      </c>
    </row>
    <row r="1243" spans="1:18">
      <c r="A1243" t="s">
        <v>1828</v>
      </c>
      <c r="B1243" t="s">
        <v>74</v>
      </c>
      <c r="C1243" t="s">
        <v>104</v>
      </c>
      <c r="D1243">
        <v>2</v>
      </c>
      <c r="E1243" t="s">
        <v>132</v>
      </c>
      <c r="F1243" t="s">
        <v>823</v>
      </c>
      <c r="G1243" t="s">
        <v>134</v>
      </c>
      <c r="H1243" s="16">
        <v>5972</v>
      </c>
      <c r="I1243" s="16">
        <v>3004</v>
      </c>
      <c r="J1243" s="16">
        <v>2774</v>
      </c>
      <c r="K1243" s="16">
        <v>731</v>
      </c>
      <c r="L1243" s="16">
        <v>463</v>
      </c>
      <c r="M1243" s="16">
        <v>5241</v>
      </c>
      <c r="N1243" s="16">
        <v>38</v>
      </c>
      <c r="O1243">
        <v>0</v>
      </c>
      <c r="P1243">
        <v>0</v>
      </c>
      <c r="Q1243" s="20">
        <v>0.50301406563965168</v>
      </c>
      <c r="R1243" s="21">
        <v>7.2505247090249953E-3</v>
      </c>
    </row>
    <row r="1244" spans="1:18">
      <c r="A1244" t="s">
        <v>1829</v>
      </c>
      <c r="B1244" t="s">
        <v>86</v>
      </c>
      <c r="C1244" t="s">
        <v>104</v>
      </c>
      <c r="D1244">
        <v>2</v>
      </c>
      <c r="E1244" t="s">
        <v>132</v>
      </c>
      <c r="F1244" t="s">
        <v>810</v>
      </c>
      <c r="G1244" t="s">
        <v>134</v>
      </c>
      <c r="H1244" s="16">
        <v>5967</v>
      </c>
      <c r="I1244" s="16">
        <v>0</v>
      </c>
      <c r="J1244" s="16">
        <v>0</v>
      </c>
      <c r="K1244" s="16">
        <v>1263</v>
      </c>
      <c r="L1244" s="16">
        <v>0</v>
      </c>
      <c r="M1244" s="16">
        <v>4703</v>
      </c>
      <c r="N1244" s="16">
        <v>278</v>
      </c>
      <c r="O1244">
        <v>2</v>
      </c>
      <c r="P1244">
        <v>0</v>
      </c>
      <c r="Q1244" s="20">
        <v>0</v>
      </c>
      <c r="R1244" s="21">
        <v>5.9111205613438231E-2</v>
      </c>
    </row>
    <row r="1245" spans="1:18">
      <c r="A1245" t="s">
        <v>1830</v>
      </c>
      <c r="B1245" t="s">
        <v>86</v>
      </c>
      <c r="C1245" t="s">
        <v>101</v>
      </c>
      <c r="D1245">
        <v>2</v>
      </c>
      <c r="E1245" t="s">
        <v>132</v>
      </c>
      <c r="F1245" t="s">
        <v>1831</v>
      </c>
      <c r="G1245" t="s">
        <v>134</v>
      </c>
      <c r="H1245" s="16">
        <v>5935</v>
      </c>
      <c r="I1245" s="16">
        <v>0</v>
      </c>
      <c r="J1245" s="16">
        <v>3689</v>
      </c>
      <c r="K1245" s="16">
        <v>251</v>
      </c>
      <c r="L1245" s="16">
        <v>5</v>
      </c>
      <c r="M1245" s="16">
        <v>5683</v>
      </c>
      <c r="N1245" s="16">
        <v>225</v>
      </c>
      <c r="O1245">
        <v>2</v>
      </c>
      <c r="P1245">
        <v>0</v>
      </c>
      <c r="Q1245" s="20">
        <v>0</v>
      </c>
      <c r="R1245" s="21">
        <v>3.959176491289812E-2</v>
      </c>
    </row>
    <row r="1246" spans="1:18">
      <c r="A1246" t="s">
        <v>1832</v>
      </c>
      <c r="B1246" t="s">
        <v>83</v>
      </c>
      <c r="C1246" t="s">
        <v>104</v>
      </c>
      <c r="D1246">
        <v>2</v>
      </c>
      <c r="E1246" t="s">
        <v>132</v>
      </c>
      <c r="F1246" t="s">
        <v>295</v>
      </c>
      <c r="G1246" t="s">
        <v>292</v>
      </c>
      <c r="H1246" s="16">
        <v>5934</v>
      </c>
      <c r="I1246" s="16">
        <v>504</v>
      </c>
      <c r="J1246" s="16">
        <v>101</v>
      </c>
      <c r="K1246" s="16">
        <v>3109</v>
      </c>
      <c r="L1246" s="16">
        <v>0</v>
      </c>
      <c r="M1246" s="16">
        <v>2825</v>
      </c>
      <c r="N1246" s="16">
        <v>-399</v>
      </c>
      <c r="O1246">
        <v>2</v>
      </c>
      <c r="P1246">
        <v>0</v>
      </c>
      <c r="Q1246" s="20">
        <v>8.4934277047522752E-2</v>
      </c>
      <c r="R1246" s="21">
        <v>-0.14123893805309734</v>
      </c>
    </row>
    <row r="1247" spans="1:18">
      <c r="A1247" t="s">
        <v>1833</v>
      </c>
      <c r="B1247" t="s">
        <v>86</v>
      </c>
      <c r="C1247" t="s">
        <v>101</v>
      </c>
      <c r="D1247">
        <v>2</v>
      </c>
      <c r="E1247" t="s">
        <v>132</v>
      </c>
      <c r="F1247" t="s">
        <v>210</v>
      </c>
      <c r="G1247" t="s">
        <v>211</v>
      </c>
      <c r="H1247" s="16">
        <v>5932</v>
      </c>
      <c r="I1247" s="16">
        <v>0</v>
      </c>
      <c r="J1247" s="16">
        <v>4648</v>
      </c>
      <c r="K1247" s="16">
        <v>881</v>
      </c>
      <c r="L1247" s="16">
        <v>0</v>
      </c>
      <c r="M1247" s="16">
        <v>5052</v>
      </c>
      <c r="N1247" s="16">
        <v>303</v>
      </c>
      <c r="O1247">
        <v>1</v>
      </c>
      <c r="P1247">
        <v>0</v>
      </c>
      <c r="Q1247" s="20">
        <v>0</v>
      </c>
      <c r="R1247" s="21">
        <v>5.9976247030878858E-2</v>
      </c>
    </row>
    <row r="1248" spans="1:18">
      <c r="A1248" t="s">
        <v>1834</v>
      </c>
      <c r="B1248" t="s">
        <v>74</v>
      </c>
      <c r="C1248" t="s">
        <v>104</v>
      </c>
      <c r="D1248">
        <v>2</v>
      </c>
      <c r="E1248" t="s">
        <v>132</v>
      </c>
      <c r="F1248" t="s">
        <v>141</v>
      </c>
      <c r="G1248" t="s">
        <v>134</v>
      </c>
      <c r="H1248" s="16">
        <v>5926</v>
      </c>
      <c r="I1248" s="16">
        <v>3881</v>
      </c>
      <c r="J1248" s="16">
        <v>1616</v>
      </c>
      <c r="K1248" s="16">
        <v>180</v>
      </c>
      <c r="L1248" s="16">
        <v>0</v>
      </c>
      <c r="M1248" s="16">
        <v>5746</v>
      </c>
      <c r="N1248" s="16">
        <v>229</v>
      </c>
      <c r="O1248">
        <v>0</v>
      </c>
      <c r="P1248">
        <v>0</v>
      </c>
      <c r="Q1248" s="20">
        <v>0.65491056361795474</v>
      </c>
      <c r="R1248" s="21">
        <v>3.9853811347024017E-2</v>
      </c>
    </row>
    <row r="1249" spans="1:18">
      <c r="A1249" t="s">
        <v>1835</v>
      </c>
      <c r="B1249" t="s">
        <v>74</v>
      </c>
      <c r="C1249" t="s">
        <v>104</v>
      </c>
      <c r="D1249">
        <v>2</v>
      </c>
      <c r="E1249" t="s">
        <v>132</v>
      </c>
      <c r="F1249" t="s">
        <v>1836</v>
      </c>
      <c r="G1249" t="s">
        <v>146</v>
      </c>
      <c r="H1249" s="16">
        <v>5925</v>
      </c>
      <c r="I1249" s="16">
        <v>2601</v>
      </c>
      <c r="J1249" s="16">
        <v>2845</v>
      </c>
      <c r="K1249" s="16">
        <v>651</v>
      </c>
      <c r="L1249" s="16">
        <v>0</v>
      </c>
      <c r="M1249" s="16">
        <v>5274</v>
      </c>
      <c r="N1249" s="16">
        <v>191</v>
      </c>
      <c r="O1249">
        <v>0</v>
      </c>
      <c r="P1249">
        <v>0</v>
      </c>
      <c r="Q1249" s="20">
        <v>0.43898734177215187</v>
      </c>
      <c r="R1249" s="21">
        <v>3.6215396283655672E-2</v>
      </c>
    </row>
    <row r="1250" spans="1:18">
      <c r="A1250" t="s">
        <v>1837</v>
      </c>
      <c r="B1250" t="s">
        <v>74</v>
      </c>
      <c r="C1250" t="s">
        <v>104</v>
      </c>
      <c r="D1250">
        <v>2</v>
      </c>
      <c r="E1250" t="s">
        <v>132</v>
      </c>
      <c r="F1250" t="s">
        <v>145</v>
      </c>
      <c r="G1250" t="s">
        <v>146</v>
      </c>
      <c r="H1250" s="16">
        <v>5895</v>
      </c>
      <c r="I1250" s="16">
        <v>3580</v>
      </c>
      <c r="J1250" s="16">
        <v>772</v>
      </c>
      <c r="K1250" s="16">
        <v>456</v>
      </c>
      <c r="L1250" s="16">
        <v>0</v>
      </c>
      <c r="M1250" s="16">
        <v>5439</v>
      </c>
      <c r="N1250" s="16">
        <v>316</v>
      </c>
      <c r="O1250">
        <v>0</v>
      </c>
      <c r="P1250">
        <v>0</v>
      </c>
      <c r="Q1250" s="20">
        <v>0.60729431721798133</v>
      </c>
      <c r="R1250" s="21">
        <v>5.8098915241772388E-2</v>
      </c>
    </row>
    <row r="1251" spans="1:18">
      <c r="A1251" t="s">
        <v>1838</v>
      </c>
      <c r="B1251" t="s">
        <v>74</v>
      </c>
      <c r="C1251" t="s">
        <v>104</v>
      </c>
      <c r="D1251">
        <v>2</v>
      </c>
      <c r="E1251" t="s">
        <v>132</v>
      </c>
      <c r="F1251" t="s">
        <v>133</v>
      </c>
      <c r="G1251" t="s">
        <v>134</v>
      </c>
      <c r="H1251" s="16">
        <v>5870</v>
      </c>
      <c r="I1251" s="16">
        <v>2744</v>
      </c>
      <c r="J1251" s="16">
        <v>2862</v>
      </c>
      <c r="K1251" s="16">
        <v>621</v>
      </c>
      <c r="L1251" s="16">
        <v>0</v>
      </c>
      <c r="M1251" s="16">
        <v>5249</v>
      </c>
      <c r="N1251" s="16">
        <v>238</v>
      </c>
      <c r="O1251">
        <v>0</v>
      </c>
      <c r="P1251">
        <v>0</v>
      </c>
      <c r="Q1251" s="20">
        <v>0.46746166950596252</v>
      </c>
      <c r="R1251" s="21">
        <v>4.5341969899028389E-2</v>
      </c>
    </row>
    <row r="1252" spans="1:18">
      <c r="A1252" t="s">
        <v>1839</v>
      </c>
      <c r="B1252" t="s">
        <v>86</v>
      </c>
      <c r="C1252" t="s">
        <v>101</v>
      </c>
      <c r="D1252">
        <v>2</v>
      </c>
      <c r="E1252" t="s">
        <v>132</v>
      </c>
      <c r="F1252" t="s">
        <v>133</v>
      </c>
      <c r="G1252" t="s">
        <v>134</v>
      </c>
      <c r="H1252" s="16">
        <v>5850</v>
      </c>
      <c r="I1252" s="16">
        <v>0</v>
      </c>
      <c r="J1252" s="16">
        <v>1577</v>
      </c>
      <c r="K1252" s="16">
        <v>198</v>
      </c>
      <c r="L1252" s="16">
        <v>149</v>
      </c>
      <c r="M1252" s="16">
        <v>5652</v>
      </c>
      <c r="N1252" s="16">
        <v>-107</v>
      </c>
      <c r="O1252">
        <v>2</v>
      </c>
      <c r="P1252">
        <v>0</v>
      </c>
      <c r="Q1252" s="20">
        <v>0</v>
      </c>
      <c r="R1252" s="21">
        <v>-1.8931351733899506E-2</v>
      </c>
    </row>
    <row r="1253" spans="1:18">
      <c r="A1253" t="s">
        <v>1840</v>
      </c>
      <c r="B1253" t="s">
        <v>74</v>
      </c>
      <c r="C1253" t="s">
        <v>104</v>
      </c>
      <c r="D1253">
        <v>2</v>
      </c>
      <c r="E1253" t="s">
        <v>132</v>
      </c>
      <c r="F1253" t="s">
        <v>1801</v>
      </c>
      <c r="G1253" t="s">
        <v>146</v>
      </c>
      <c r="H1253" s="16">
        <v>5775</v>
      </c>
      <c r="I1253" s="16">
        <v>3114</v>
      </c>
      <c r="J1253" s="16">
        <v>2440</v>
      </c>
      <c r="K1253" s="16">
        <v>437</v>
      </c>
      <c r="L1253" s="16">
        <v>0</v>
      </c>
      <c r="M1253" s="16">
        <v>5338</v>
      </c>
      <c r="N1253" s="16">
        <v>344</v>
      </c>
      <c r="O1253">
        <v>0</v>
      </c>
      <c r="P1253">
        <v>0</v>
      </c>
      <c r="Q1253" s="20">
        <v>0.53922077922077927</v>
      </c>
      <c r="R1253" s="21">
        <v>6.4443611839640313E-2</v>
      </c>
    </row>
    <row r="1254" spans="1:18">
      <c r="A1254" t="s">
        <v>1841</v>
      </c>
      <c r="B1254" t="s">
        <v>83</v>
      </c>
      <c r="C1254" t="s">
        <v>104</v>
      </c>
      <c r="D1254">
        <v>2</v>
      </c>
      <c r="E1254" t="s">
        <v>132</v>
      </c>
      <c r="F1254" t="s">
        <v>133</v>
      </c>
      <c r="G1254" t="s">
        <v>134</v>
      </c>
      <c r="H1254" s="16">
        <v>5701</v>
      </c>
      <c r="I1254" s="16">
        <v>4203</v>
      </c>
      <c r="J1254" s="16">
        <v>581</v>
      </c>
      <c r="K1254" s="16">
        <v>3723</v>
      </c>
      <c r="L1254" s="16">
        <v>0</v>
      </c>
      <c r="M1254" s="16">
        <v>1977</v>
      </c>
      <c r="N1254" s="16">
        <v>466</v>
      </c>
      <c r="O1254">
        <v>2</v>
      </c>
      <c r="P1254">
        <v>0</v>
      </c>
      <c r="Q1254" s="20">
        <v>0.73723908086300649</v>
      </c>
      <c r="R1254" s="21">
        <v>0.2357106727364694</v>
      </c>
    </row>
    <row r="1255" spans="1:18">
      <c r="A1255" t="s">
        <v>1842</v>
      </c>
      <c r="B1255" t="s">
        <v>89</v>
      </c>
      <c r="C1255" t="s">
        <v>162</v>
      </c>
      <c r="D1255">
        <v>2</v>
      </c>
      <c r="E1255" t="s">
        <v>132</v>
      </c>
      <c r="F1255" t="s">
        <v>133</v>
      </c>
      <c r="G1255" t="s">
        <v>134</v>
      </c>
      <c r="H1255" s="16">
        <v>5698</v>
      </c>
      <c r="I1255" s="16">
        <v>0</v>
      </c>
      <c r="J1255" s="16">
        <v>4947</v>
      </c>
      <c r="K1255" s="16">
        <v>806</v>
      </c>
      <c r="L1255" s="16">
        <v>0</v>
      </c>
      <c r="M1255" s="16">
        <v>4892</v>
      </c>
      <c r="N1255" s="16">
        <v>800</v>
      </c>
      <c r="O1255">
        <v>1</v>
      </c>
      <c r="P1255">
        <v>0</v>
      </c>
      <c r="Q1255" s="20">
        <v>0</v>
      </c>
      <c r="R1255" s="21">
        <v>0.16353229762878169</v>
      </c>
    </row>
    <row r="1256" spans="1:18">
      <c r="A1256" t="s">
        <v>1843</v>
      </c>
      <c r="B1256" t="s">
        <v>86</v>
      </c>
      <c r="C1256" t="s">
        <v>101</v>
      </c>
      <c r="D1256">
        <v>2</v>
      </c>
      <c r="E1256" t="s">
        <v>132</v>
      </c>
      <c r="F1256" t="s">
        <v>133</v>
      </c>
      <c r="G1256" t="s">
        <v>134</v>
      </c>
      <c r="H1256" s="16">
        <v>5684</v>
      </c>
      <c r="I1256" s="16">
        <v>0</v>
      </c>
      <c r="J1256" s="16">
        <v>1583</v>
      </c>
      <c r="K1256" s="16">
        <v>4588</v>
      </c>
      <c r="L1256" s="16">
        <v>0</v>
      </c>
      <c r="M1256" s="16">
        <v>1096</v>
      </c>
      <c r="N1256" s="16">
        <v>-296</v>
      </c>
      <c r="O1256">
        <v>2</v>
      </c>
      <c r="P1256">
        <v>0</v>
      </c>
      <c r="Q1256" s="20">
        <v>0</v>
      </c>
      <c r="R1256" s="21">
        <v>-0.27007299270072993</v>
      </c>
    </row>
    <row r="1257" spans="1:18">
      <c r="A1257" t="s">
        <v>1844</v>
      </c>
      <c r="B1257" t="s">
        <v>86</v>
      </c>
      <c r="C1257" t="s">
        <v>104</v>
      </c>
      <c r="D1257">
        <v>2</v>
      </c>
      <c r="E1257" t="s">
        <v>132</v>
      </c>
      <c r="F1257" t="s">
        <v>133</v>
      </c>
      <c r="G1257" t="s">
        <v>134</v>
      </c>
      <c r="H1257" s="16">
        <v>5586</v>
      </c>
      <c r="I1257" s="16">
        <v>0</v>
      </c>
      <c r="J1257" s="16">
        <v>1137</v>
      </c>
      <c r="K1257" s="16">
        <v>1658</v>
      </c>
      <c r="L1257" s="16">
        <v>0</v>
      </c>
      <c r="M1257" s="16">
        <v>3928</v>
      </c>
      <c r="N1257" s="16">
        <v>746</v>
      </c>
      <c r="O1257">
        <v>2</v>
      </c>
      <c r="P1257">
        <v>0</v>
      </c>
      <c r="Q1257" s="20">
        <v>0</v>
      </c>
      <c r="R1257" s="21">
        <v>0.18991853360488797</v>
      </c>
    </row>
    <row r="1258" spans="1:18">
      <c r="A1258" t="s">
        <v>1845</v>
      </c>
      <c r="B1258" t="s">
        <v>74</v>
      </c>
      <c r="C1258" t="s">
        <v>104</v>
      </c>
      <c r="D1258">
        <v>2</v>
      </c>
      <c r="E1258" t="s">
        <v>132</v>
      </c>
      <c r="F1258" t="s">
        <v>133</v>
      </c>
      <c r="G1258" t="s">
        <v>134</v>
      </c>
      <c r="H1258" s="16">
        <v>5557</v>
      </c>
      <c r="I1258" s="16">
        <v>4269</v>
      </c>
      <c r="J1258" s="16">
        <v>479</v>
      </c>
      <c r="K1258" s="16">
        <v>58</v>
      </c>
      <c r="L1258" s="16">
        <v>0</v>
      </c>
      <c r="M1258" s="16">
        <v>5500</v>
      </c>
      <c r="N1258" s="16">
        <v>298</v>
      </c>
      <c r="O1258">
        <v>0</v>
      </c>
      <c r="P1258">
        <v>0</v>
      </c>
      <c r="Q1258" s="20">
        <v>0.76822026273168975</v>
      </c>
      <c r="R1258" s="21">
        <v>5.4181818181818185E-2</v>
      </c>
    </row>
    <row r="1259" spans="1:18">
      <c r="A1259" t="s">
        <v>1846</v>
      </c>
      <c r="B1259" t="s">
        <v>89</v>
      </c>
      <c r="C1259" t="s">
        <v>162</v>
      </c>
      <c r="D1259">
        <v>2</v>
      </c>
      <c r="E1259" t="s">
        <v>132</v>
      </c>
      <c r="F1259" t="s">
        <v>133</v>
      </c>
      <c r="G1259" t="s">
        <v>134</v>
      </c>
      <c r="H1259" s="16">
        <v>5514</v>
      </c>
      <c r="I1259" s="16">
        <v>0</v>
      </c>
      <c r="J1259" s="16">
        <v>5457</v>
      </c>
      <c r="K1259" s="16">
        <v>287</v>
      </c>
      <c r="L1259" s="16">
        <v>0</v>
      </c>
      <c r="M1259" s="16">
        <v>5227</v>
      </c>
      <c r="N1259" s="16">
        <v>-73</v>
      </c>
      <c r="O1259">
        <v>1</v>
      </c>
      <c r="P1259">
        <v>0</v>
      </c>
      <c r="Q1259" s="20">
        <v>0</v>
      </c>
      <c r="R1259" s="21">
        <v>-1.3965946049359097E-2</v>
      </c>
    </row>
    <row r="1260" spans="1:18">
      <c r="A1260" t="s">
        <v>1847</v>
      </c>
      <c r="B1260" t="s">
        <v>83</v>
      </c>
      <c r="C1260" t="s">
        <v>104</v>
      </c>
      <c r="D1260">
        <v>2</v>
      </c>
      <c r="E1260" t="s">
        <v>132</v>
      </c>
      <c r="F1260" t="s">
        <v>368</v>
      </c>
      <c r="G1260" t="s">
        <v>206</v>
      </c>
      <c r="H1260" s="16">
        <v>5504</v>
      </c>
      <c r="I1260" s="16">
        <v>0</v>
      </c>
      <c r="J1260" s="16">
        <v>5441</v>
      </c>
      <c r="K1260" s="16">
        <v>69</v>
      </c>
      <c r="L1260" s="16">
        <v>0</v>
      </c>
      <c r="M1260" s="16">
        <v>5435</v>
      </c>
      <c r="N1260" s="16">
        <v>107</v>
      </c>
      <c r="O1260">
        <v>2</v>
      </c>
      <c r="P1260">
        <v>0</v>
      </c>
      <c r="Q1260" s="20">
        <v>0</v>
      </c>
      <c r="R1260" s="21">
        <v>1.968721251149954E-2</v>
      </c>
    </row>
    <row r="1261" spans="1:18">
      <c r="A1261" t="s">
        <v>1848</v>
      </c>
      <c r="B1261" t="s">
        <v>74</v>
      </c>
      <c r="C1261" t="s">
        <v>104</v>
      </c>
      <c r="D1261">
        <v>2</v>
      </c>
      <c r="E1261" t="s">
        <v>132</v>
      </c>
      <c r="F1261" t="s">
        <v>133</v>
      </c>
      <c r="G1261" t="s">
        <v>134</v>
      </c>
      <c r="H1261" s="16">
        <v>5430</v>
      </c>
      <c r="I1261" s="16">
        <v>2428</v>
      </c>
      <c r="J1261" s="16">
        <v>2425</v>
      </c>
      <c r="K1261" s="16">
        <v>3518</v>
      </c>
      <c r="L1261" s="16">
        <v>3124</v>
      </c>
      <c r="M1261" s="16">
        <v>1912</v>
      </c>
      <c r="N1261" s="16">
        <v>-225</v>
      </c>
      <c r="O1261">
        <v>0</v>
      </c>
      <c r="P1261">
        <v>4</v>
      </c>
      <c r="Q1261" s="20">
        <v>0.44714548802946591</v>
      </c>
      <c r="R1261" s="21">
        <v>-0.11767782426778242</v>
      </c>
    </row>
    <row r="1262" spans="1:18">
      <c r="A1262" t="s">
        <v>1849</v>
      </c>
      <c r="B1262" t="s">
        <v>86</v>
      </c>
      <c r="C1262" t="s">
        <v>101</v>
      </c>
      <c r="D1262">
        <v>2</v>
      </c>
      <c r="E1262" t="s">
        <v>132</v>
      </c>
      <c r="F1262" t="s">
        <v>133</v>
      </c>
      <c r="G1262" t="s">
        <v>134</v>
      </c>
      <c r="H1262" s="16">
        <v>5428</v>
      </c>
      <c r="I1262" s="16">
        <v>0</v>
      </c>
      <c r="J1262" s="16">
        <v>5377</v>
      </c>
      <c r="K1262" s="16">
        <v>2009</v>
      </c>
      <c r="L1262" s="16">
        <v>0</v>
      </c>
      <c r="M1262" s="16">
        <v>3419</v>
      </c>
      <c r="N1262" s="16">
        <v>-210</v>
      </c>
      <c r="O1262">
        <v>2</v>
      </c>
      <c r="P1262">
        <v>0</v>
      </c>
      <c r="Q1262" s="20">
        <v>0</v>
      </c>
      <c r="R1262" s="21">
        <v>-6.1421468265574729E-2</v>
      </c>
    </row>
    <row r="1263" spans="1:18">
      <c r="A1263" t="s">
        <v>1850</v>
      </c>
      <c r="B1263" t="s">
        <v>74</v>
      </c>
      <c r="C1263" t="s">
        <v>104</v>
      </c>
      <c r="D1263">
        <v>2</v>
      </c>
      <c r="E1263" t="s">
        <v>132</v>
      </c>
      <c r="F1263" t="s">
        <v>220</v>
      </c>
      <c r="G1263" t="s">
        <v>134</v>
      </c>
      <c r="H1263" s="16">
        <v>5399</v>
      </c>
      <c r="I1263" s="16">
        <v>12</v>
      </c>
      <c r="J1263" s="16">
        <v>0</v>
      </c>
      <c r="K1263" s="16">
        <v>867</v>
      </c>
      <c r="L1263" s="16">
        <v>567</v>
      </c>
      <c r="M1263" s="16">
        <v>4532</v>
      </c>
      <c r="N1263" s="16">
        <v>223</v>
      </c>
      <c r="O1263">
        <v>0</v>
      </c>
      <c r="P1263">
        <v>0</v>
      </c>
      <c r="Q1263" s="20">
        <v>2.2226338210779772E-3</v>
      </c>
      <c r="R1263" s="21">
        <v>4.9205648720211825E-2</v>
      </c>
    </row>
    <row r="1264" spans="1:18">
      <c r="A1264" t="s">
        <v>1851</v>
      </c>
      <c r="B1264" t="s">
        <v>74</v>
      </c>
      <c r="C1264" t="s">
        <v>104</v>
      </c>
      <c r="D1264">
        <v>2</v>
      </c>
      <c r="E1264" t="s">
        <v>132</v>
      </c>
      <c r="F1264" t="s">
        <v>1852</v>
      </c>
      <c r="G1264" t="s">
        <v>153</v>
      </c>
      <c r="H1264" s="16">
        <v>5398</v>
      </c>
      <c r="I1264" s="16">
        <v>1887</v>
      </c>
      <c r="J1264" s="16">
        <v>3383</v>
      </c>
      <c r="K1264" s="16">
        <v>124</v>
      </c>
      <c r="L1264" s="16">
        <v>0</v>
      </c>
      <c r="M1264" s="16">
        <v>5273</v>
      </c>
      <c r="N1264" s="16">
        <v>154</v>
      </c>
      <c r="O1264">
        <v>0</v>
      </c>
      <c r="P1264">
        <v>0</v>
      </c>
      <c r="Q1264" s="20">
        <v>0.34957391626528345</v>
      </c>
      <c r="R1264" s="21">
        <v>2.9205385928314051E-2</v>
      </c>
    </row>
    <row r="1265" spans="1:18">
      <c r="A1265" t="s">
        <v>1853</v>
      </c>
      <c r="B1265" t="s">
        <v>86</v>
      </c>
      <c r="C1265" t="s">
        <v>101</v>
      </c>
      <c r="D1265">
        <v>2</v>
      </c>
      <c r="E1265" t="s">
        <v>132</v>
      </c>
      <c r="F1265" t="s">
        <v>1225</v>
      </c>
      <c r="G1265" t="s">
        <v>134</v>
      </c>
      <c r="H1265" s="16">
        <v>5352</v>
      </c>
      <c r="I1265" s="16">
        <v>0</v>
      </c>
      <c r="J1265" s="16">
        <v>356</v>
      </c>
      <c r="K1265" s="16">
        <v>4000</v>
      </c>
      <c r="L1265" s="16">
        <v>0</v>
      </c>
      <c r="M1265" s="16">
        <v>1352</v>
      </c>
      <c r="N1265" s="16">
        <v>-105</v>
      </c>
      <c r="O1265">
        <v>2</v>
      </c>
      <c r="P1265">
        <v>0</v>
      </c>
      <c r="Q1265" s="20">
        <v>0</v>
      </c>
      <c r="R1265" s="21">
        <v>-7.7662721893491118E-2</v>
      </c>
    </row>
    <row r="1266" spans="1:18">
      <c r="A1266" t="s">
        <v>1854</v>
      </c>
      <c r="B1266" t="s">
        <v>89</v>
      </c>
      <c r="C1266" t="s">
        <v>162</v>
      </c>
      <c r="D1266">
        <v>2</v>
      </c>
      <c r="E1266" t="s">
        <v>132</v>
      </c>
      <c r="F1266" t="s">
        <v>397</v>
      </c>
      <c r="G1266" t="s">
        <v>169</v>
      </c>
      <c r="H1266" s="16">
        <v>5339</v>
      </c>
      <c r="I1266" s="16">
        <v>0</v>
      </c>
      <c r="J1266" s="16">
        <v>249</v>
      </c>
      <c r="K1266" s="16">
        <v>74</v>
      </c>
      <c r="L1266" s="16">
        <v>0</v>
      </c>
      <c r="M1266" s="16">
        <v>5265</v>
      </c>
      <c r="N1266" s="16">
        <v>-31</v>
      </c>
      <c r="O1266">
        <v>1</v>
      </c>
      <c r="P1266">
        <v>0</v>
      </c>
      <c r="Q1266" s="20">
        <v>0</v>
      </c>
      <c r="R1266" s="21">
        <v>-5.887939221272555E-3</v>
      </c>
    </row>
    <row r="1267" spans="1:18">
      <c r="A1267" t="s">
        <v>1855</v>
      </c>
      <c r="B1267" t="s">
        <v>86</v>
      </c>
      <c r="C1267" t="s">
        <v>101</v>
      </c>
      <c r="D1267">
        <v>2</v>
      </c>
      <c r="E1267" t="s">
        <v>132</v>
      </c>
      <c r="F1267" t="s">
        <v>133</v>
      </c>
      <c r="G1267" t="s">
        <v>134</v>
      </c>
      <c r="H1267" s="16">
        <v>5314</v>
      </c>
      <c r="I1267" s="16">
        <v>0</v>
      </c>
      <c r="J1267" s="16">
        <v>132</v>
      </c>
      <c r="K1267" s="16">
        <v>2439</v>
      </c>
      <c r="L1267" s="16">
        <v>0</v>
      </c>
      <c r="M1267" s="16">
        <v>2876</v>
      </c>
      <c r="N1267" s="16">
        <v>2346</v>
      </c>
      <c r="O1267">
        <v>2</v>
      </c>
      <c r="P1267">
        <v>0</v>
      </c>
      <c r="Q1267" s="20">
        <v>0</v>
      </c>
      <c r="R1267" s="21">
        <v>0.81571627260083446</v>
      </c>
    </row>
    <row r="1268" spans="1:18">
      <c r="A1268" t="s">
        <v>1856</v>
      </c>
      <c r="B1268" t="s">
        <v>83</v>
      </c>
      <c r="C1268" t="s">
        <v>104</v>
      </c>
      <c r="D1268">
        <v>2</v>
      </c>
      <c r="E1268" t="s">
        <v>132</v>
      </c>
      <c r="F1268" t="s">
        <v>178</v>
      </c>
      <c r="G1268" t="s">
        <v>179</v>
      </c>
      <c r="H1268" s="16">
        <v>5265</v>
      </c>
      <c r="I1268" s="16">
        <v>3119</v>
      </c>
      <c r="J1268" s="16">
        <v>2139</v>
      </c>
      <c r="K1268" s="16">
        <v>907</v>
      </c>
      <c r="L1268" s="16">
        <v>0</v>
      </c>
      <c r="M1268" s="16">
        <v>4358</v>
      </c>
      <c r="N1268" s="16">
        <v>357</v>
      </c>
      <c r="O1268">
        <v>2</v>
      </c>
      <c r="P1268">
        <v>0</v>
      </c>
      <c r="Q1268" s="20">
        <v>0.59240265906932577</v>
      </c>
      <c r="R1268" s="21">
        <v>8.1918311151904538E-2</v>
      </c>
    </row>
    <row r="1269" spans="1:18">
      <c r="A1269" t="s">
        <v>1857</v>
      </c>
      <c r="B1269" t="s">
        <v>74</v>
      </c>
      <c r="C1269" t="s">
        <v>104</v>
      </c>
      <c r="D1269">
        <v>2</v>
      </c>
      <c r="E1269" t="s">
        <v>132</v>
      </c>
      <c r="F1269" t="s">
        <v>152</v>
      </c>
      <c r="G1269" t="s">
        <v>153</v>
      </c>
      <c r="H1269" s="16">
        <v>5225</v>
      </c>
      <c r="I1269" s="16">
        <v>3222</v>
      </c>
      <c r="J1269" s="16">
        <v>0</v>
      </c>
      <c r="K1269" s="16">
        <v>560</v>
      </c>
      <c r="L1269" s="16">
        <v>0</v>
      </c>
      <c r="M1269" s="16">
        <v>4665</v>
      </c>
      <c r="N1269" s="16">
        <v>-130</v>
      </c>
      <c r="O1269">
        <v>0</v>
      </c>
      <c r="P1269">
        <v>0</v>
      </c>
      <c r="Q1269" s="20">
        <v>0.61665071770334923</v>
      </c>
      <c r="R1269" s="21">
        <v>-2.7867095391211148E-2</v>
      </c>
    </row>
    <row r="1270" spans="1:18">
      <c r="A1270" t="s">
        <v>1858</v>
      </c>
      <c r="B1270" t="s">
        <v>74</v>
      </c>
      <c r="C1270" t="s">
        <v>104</v>
      </c>
      <c r="D1270">
        <v>2</v>
      </c>
      <c r="E1270" t="s">
        <v>132</v>
      </c>
      <c r="F1270" t="s">
        <v>823</v>
      </c>
      <c r="G1270" t="s">
        <v>134</v>
      </c>
      <c r="H1270" s="16">
        <v>5209</v>
      </c>
      <c r="I1270" s="16">
        <v>2256</v>
      </c>
      <c r="J1270" s="16">
        <v>2497</v>
      </c>
      <c r="K1270" s="16">
        <v>887</v>
      </c>
      <c r="L1270" s="16">
        <v>662</v>
      </c>
      <c r="M1270" s="16">
        <v>4322</v>
      </c>
      <c r="N1270" s="16">
        <v>143</v>
      </c>
      <c r="O1270">
        <v>0</v>
      </c>
      <c r="P1270">
        <v>0</v>
      </c>
      <c r="Q1270" s="20">
        <v>0.4330965636398541</v>
      </c>
      <c r="R1270" s="21">
        <v>3.3086534012031467E-2</v>
      </c>
    </row>
    <row r="1271" spans="1:18">
      <c r="A1271" t="s">
        <v>1859</v>
      </c>
      <c r="B1271" t="s">
        <v>74</v>
      </c>
      <c r="C1271" t="s">
        <v>104</v>
      </c>
      <c r="D1271">
        <v>2</v>
      </c>
      <c r="E1271" t="s">
        <v>132</v>
      </c>
      <c r="F1271" t="s">
        <v>1860</v>
      </c>
      <c r="G1271" t="s">
        <v>134</v>
      </c>
      <c r="H1271" s="16">
        <v>5053</v>
      </c>
      <c r="I1271" s="16">
        <v>2528</v>
      </c>
      <c r="J1271" s="16">
        <v>2430</v>
      </c>
      <c r="K1271" s="16">
        <v>254</v>
      </c>
      <c r="L1271" s="16">
        <v>0</v>
      </c>
      <c r="M1271" s="16">
        <v>4799</v>
      </c>
      <c r="N1271" s="16">
        <v>193</v>
      </c>
      <c r="O1271">
        <v>0</v>
      </c>
      <c r="P1271">
        <v>0</v>
      </c>
      <c r="Q1271" s="20">
        <v>0.50029685335444285</v>
      </c>
      <c r="R1271" s="21">
        <v>4.0216711814961448E-2</v>
      </c>
    </row>
    <row r="1272" spans="1:18">
      <c r="A1272" t="s">
        <v>1861</v>
      </c>
      <c r="B1272" t="s">
        <v>86</v>
      </c>
      <c r="C1272" t="s">
        <v>101</v>
      </c>
      <c r="D1272">
        <v>2</v>
      </c>
      <c r="E1272" t="s">
        <v>132</v>
      </c>
      <c r="F1272" t="s">
        <v>133</v>
      </c>
      <c r="G1272" t="s">
        <v>134</v>
      </c>
      <c r="H1272" s="16">
        <v>5036</v>
      </c>
      <c r="I1272" s="16">
        <v>0</v>
      </c>
      <c r="J1272" s="16">
        <v>1364</v>
      </c>
      <c r="K1272" s="16">
        <v>867</v>
      </c>
      <c r="L1272" s="16">
        <v>489</v>
      </c>
      <c r="M1272" s="16">
        <v>4170</v>
      </c>
      <c r="N1272" s="16">
        <v>118</v>
      </c>
      <c r="O1272">
        <v>2</v>
      </c>
      <c r="P1272">
        <v>0</v>
      </c>
      <c r="Q1272" s="20">
        <v>0</v>
      </c>
      <c r="R1272" s="21">
        <v>2.8297362110311752E-2</v>
      </c>
    </row>
    <row r="1273" spans="1:18">
      <c r="A1273" t="s">
        <v>1862</v>
      </c>
      <c r="B1273" t="s">
        <v>74</v>
      </c>
      <c r="C1273" t="s">
        <v>104</v>
      </c>
      <c r="D1273">
        <v>2</v>
      </c>
      <c r="E1273" t="s">
        <v>132</v>
      </c>
      <c r="F1273" t="s">
        <v>1772</v>
      </c>
      <c r="G1273" t="s">
        <v>134</v>
      </c>
      <c r="H1273" s="16">
        <v>4982</v>
      </c>
      <c r="I1273" s="16">
        <v>2101</v>
      </c>
      <c r="J1273" s="16">
        <v>1737</v>
      </c>
      <c r="K1273" s="16">
        <v>614</v>
      </c>
      <c r="L1273" s="16">
        <v>0</v>
      </c>
      <c r="M1273" s="16">
        <v>4369</v>
      </c>
      <c r="N1273" s="16">
        <v>-59</v>
      </c>
      <c r="O1273">
        <v>0</v>
      </c>
      <c r="P1273">
        <v>0</v>
      </c>
      <c r="Q1273" s="20">
        <v>0.42171818546768364</v>
      </c>
      <c r="R1273" s="21">
        <v>-1.3504234378576334E-2</v>
      </c>
    </row>
    <row r="1274" spans="1:18">
      <c r="A1274" t="s">
        <v>1863</v>
      </c>
      <c r="B1274" t="s">
        <v>74</v>
      </c>
      <c r="C1274" t="s">
        <v>104</v>
      </c>
      <c r="D1274">
        <v>2</v>
      </c>
      <c r="E1274" t="s">
        <v>132</v>
      </c>
      <c r="F1274" t="s">
        <v>1273</v>
      </c>
      <c r="G1274" t="s">
        <v>134</v>
      </c>
      <c r="H1274" s="16">
        <v>4935</v>
      </c>
      <c r="I1274" s="16">
        <v>4232</v>
      </c>
      <c r="J1274" s="16">
        <v>64</v>
      </c>
      <c r="K1274" s="16">
        <v>2502</v>
      </c>
      <c r="L1274" s="16">
        <v>2399</v>
      </c>
      <c r="M1274" s="16">
        <v>2433</v>
      </c>
      <c r="N1274" s="16">
        <v>-723</v>
      </c>
      <c r="O1274">
        <v>0</v>
      </c>
      <c r="P1274">
        <v>0</v>
      </c>
      <c r="Q1274" s="20">
        <v>0.85754812563323202</v>
      </c>
      <c r="R1274" s="21">
        <v>-0.29716399506781749</v>
      </c>
    </row>
    <row r="1275" spans="1:18">
      <c r="A1275" t="s">
        <v>1864</v>
      </c>
      <c r="B1275" t="s">
        <v>83</v>
      </c>
      <c r="C1275" t="s">
        <v>104</v>
      </c>
      <c r="D1275">
        <v>2</v>
      </c>
      <c r="E1275" t="s">
        <v>132</v>
      </c>
      <c r="F1275" t="s">
        <v>133</v>
      </c>
      <c r="G1275" t="s">
        <v>134</v>
      </c>
      <c r="H1275" s="16">
        <v>4854</v>
      </c>
      <c r="I1275" s="16">
        <v>215</v>
      </c>
      <c r="J1275" s="16">
        <v>2</v>
      </c>
      <c r="K1275" s="16">
        <v>186</v>
      </c>
      <c r="L1275" s="16">
        <v>0</v>
      </c>
      <c r="M1275" s="16">
        <v>4668</v>
      </c>
      <c r="N1275" s="16">
        <v>-862</v>
      </c>
      <c r="O1275">
        <v>2</v>
      </c>
      <c r="P1275">
        <v>0</v>
      </c>
      <c r="Q1275" s="20">
        <v>4.4293366295838486E-2</v>
      </c>
      <c r="R1275" s="21">
        <v>-0.18466152527849186</v>
      </c>
    </row>
    <row r="1276" spans="1:18">
      <c r="A1276" t="s">
        <v>1865</v>
      </c>
      <c r="B1276" t="s">
        <v>83</v>
      </c>
      <c r="C1276" t="s">
        <v>104</v>
      </c>
      <c r="D1276">
        <v>3</v>
      </c>
      <c r="E1276" t="s">
        <v>143</v>
      </c>
      <c r="F1276" t="s">
        <v>133</v>
      </c>
      <c r="G1276" t="s">
        <v>134</v>
      </c>
      <c r="H1276" s="16">
        <v>4622</v>
      </c>
      <c r="I1276" s="16">
        <v>102</v>
      </c>
      <c r="J1276" s="16">
        <v>0</v>
      </c>
      <c r="K1276" s="16">
        <v>293</v>
      </c>
      <c r="L1276" s="16">
        <v>0</v>
      </c>
      <c r="M1276" s="16">
        <v>4329</v>
      </c>
      <c r="N1276" s="16">
        <v>-162</v>
      </c>
      <c r="O1276">
        <v>2</v>
      </c>
      <c r="P1276">
        <v>0</v>
      </c>
      <c r="Q1276" s="20">
        <v>2.2068368671570748E-2</v>
      </c>
      <c r="R1276" s="21">
        <v>-3.7422037422037424E-2</v>
      </c>
    </row>
    <row r="1277" spans="1:18">
      <c r="A1277" t="s">
        <v>1866</v>
      </c>
      <c r="B1277" t="s">
        <v>83</v>
      </c>
      <c r="C1277" t="s">
        <v>104</v>
      </c>
      <c r="D1277">
        <v>3</v>
      </c>
      <c r="E1277" t="s">
        <v>143</v>
      </c>
      <c r="F1277" t="s">
        <v>133</v>
      </c>
      <c r="G1277" t="s">
        <v>134</v>
      </c>
      <c r="H1277" s="16">
        <v>4529</v>
      </c>
      <c r="I1277" s="16">
        <v>0</v>
      </c>
      <c r="J1277" s="16">
        <v>0</v>
      </c>
      <c r="K1277" s="16">
        <v>46</v>
      </c>
      <c r="L1277" s="16">
        <v>0</v>
      </c>
      <c r="M1277" s="16">
        <v>4483</v>
      </c>
      <c r="N1277" s="16">
        <v>-128</v>
      </c>
      <c r="O1277">
        <v>2</v>
      </c>
      <c r="P1277">
        <v>0</v>
      </c>
      <c r="Q1277" s="20">
        <v>0</v>
      </c>
      <c r="R1277" s="21">
        <v>-2.8552308721838057E-2</v>
      </c>
    </row>
    <row r="1278" spans="1:18">
      <c r="A1278" t="s">
        <v>1867</v>
      </c>
      <c r="B1278" t="s">
        <v>83</v>
      </c>
      <c r="C1278" t="s">
        <v>104</v>
      </c>
      <c r="D1278">
        <v>2</v>
      </c>
      <c r="E1278" t="s">
        <v>132</v>
      </c>
      <c r="F1278" t="s">
        <v>145</v>
      </c>
      <c r="G1278" t="s">
        <v>146</v>
      </c>
      <c r="H1278" s="16">
        <v>4516</v>
      </c>
      <c r="I1278" s="16">
        <v>0</v>
      </c>
      <c r="J1278" s="16">
        <v>3685</v>
      </c>
      <c r="K1278" s="16">
        <v>141</v>
      </c>
      <c r="L1278" s="16">
        <v>0</v>
      </c>
      <c r="M1278" s="16">
        <v>4376</v>
      </c>
      <c r="N1278" s="16">
        <v>870</v>
      </c>
      <c r="O1278">
        <v>2</v>
      </c>
      <c r="P1278">
        <v>0</v>
      </c>
      <c r="Q1278" s="20">
        <v>0</v>
      </c>
      <c r="R1278" s="21">
        <v>0.19881170018281535</v>
      </c>
    </row>
    <row r="1279" spans="1:18">
      <c r="A1279" t="s">
        <v>1868</v>
      </c>
      <c r="B1279" t="s">
        <v>83</v>
      </c>
      <c r="C1279" t="s">
        <v>104</v>
      </c>
      <c r="D1279">
        <v>2</v>
      </c>
      <c r="E1279" t="s">
        <v>132</v>
      </c>
      <c r="F1279" t="s">
        <v>172</v>
      </c>
      <c r="G1279" t="s">
        <v>173</v>
      </c>
      <c r="H1279" s="16">
        <v>4496</v>
      </c>
      <c r="I1279" s="16">
        <v>0</v>
      </c>
      <c r="J1279" s="16">
        <v>4417</v>
      </c>
      <c r="K1279" s="16">
        <v>32</v>
      </c>
      <c r="L1279" s="16">
        <v>0</v>
      </c>
      <c r="M1279" s="16">
        <v>4464</v>
      </c>
      <c r="N1279" s="16">
        <v>0</v>
      </c>
      <c r="O1279">
        <v>2</v>
      </c>
      <c r="P1279">
        <v>0</v>
      </c>
      <c r="Q1279" s="20">
        <v>0</v>
      </c>
      <c r="R1279" s="21">
        <v>0</v>
      </c>
    </row>
    <row r="1280" spans="1:18">
      <c r="A1280" t="s">
        <v>1869</v>
      </c>
      <c r="B1280" t="s">
        <v>74</v>
      </c>
      <c r="C1280" t="s">
        <v>104</v>
      </c>
      <c r="D1280">
        <v>2</v>
      </c>
      <c r="E1280" t="s">
        <v>132</v>
      </c>
      <c r="F1280" t="s">
        <v>168</v>
      </c>
      <c r="G1280" t="s">
        <v>169</v>
      </c>
      <c r="H1280" s="16">
        <v>4385</v>
      </c>
      <c r="I1280" s="16">
        <v>787</v>
      </c>
      <c r="J1280" s="16">
        <v>3236</v>
      </c>
      <c r="K1280" s="16">
        <v>737</v>
      </c>
      <c r="L1280" s="16">
        <v>0</v>
      </c>
      <c r="M1280" s="16">
        <v>3648</v>
      </c>
      <c r="N1280" s="16">
        <v>-145</v>
      </c>
      <c r="O1280">
        <v>0</v>
      </c>
      <c r="P1280">
        <v>0</v>
      </c>
      <c r="Q1280" s="20">
        <v>0.17947548460661344</v>
      </c>
      <c r="R1280" s="21">
        <v>-3.9747807017543858E-2</v>
      </c>
    </row>
    <row r="1281" spans="1:18">
      <c r="A1281" t="s">
        <v>1870</v>
      </c>
      <c r="B1281" t="s">
        <v>83</v>
      </c>
      <c r="C1281" t="s">
        <v>104</v>
      </c>
      <c r="D1281">
        <v>2</v>
      </c>
      <c r="E1281" t="s">
        <v>132</v>
      </c>
      <c r="F1281" t="s">
        <v>205</v>
      </c>
      <c r="G1281" t="s">
        <v>206</v>
      </c>
      <c r="H1281" s="16">
        <v>4222</v>
      </c>
      <c r="I1281" s="16">
        <v>0</v>
      </c>
      <c r="J1281" s="16">
        <v>1448</v>
      </c>
      <c r="K1281" s="16">
        <v>304</v>
      </c>
      <c r="L1281" s="16">
        <v>0</v>
      </c>
      <c r="M1281" s="16">
        <v>3918</v>
      </c>
      <c r="N1281" s="16">
        <v>125</v>
      </c>
      <c r="O1281">
        <v>2</v>
      </c>
      <c r="P1281">
        <v>0</v>
      </c>
      <c r="Q1281" s="20">
        <v>0</v>
      </c>
      <c r="R1281" s="21">
        <v>3.1904032669729451E-2</v>
      </c>
    </row>
    <row r="1282" spans="1:18">
      <c r="A1282" t="s">
        <v>1871</v>
      </c>
      <c r="B1282" t="s">
        <v>74</v>
      </c>
      <c r="C1282" t="s">
        <v>104</v>
      </c>
      <c r="D1282">
        <v>2</v>
      </c>
      <c r="E1282" t="s">
        <v>132</v>
      </c>
      <c r="F1282" t="s">
        <v>338</v>
      </c>
      <c r="G1282" t="s">
        <v>191</v>
      </c>
      <c r="H1282" s="16">
        <v>4211</v>
      </c>
      <c r="I1282" s="16">
        <v>3923</v>
      </c>
      <c r="J1282" s="16">
        <v>44</v>
      </c>
      <c r="K1282" s="16">
        <v>207</v>
      </c>
      <c r="L1282" s="16">
        <v>0</v>
      </c>
      <c r="M1282" s="16">
        <v>4004</v>
      </c>
      <c r="N1282" s="16">
        <v>84</v>
      </c>
      <c r="O1282">
        <v>0</v>
      </c>
      <c r="P1282">
        <v>0</v>
      </c>
      <c r="Q1282" s="20">
        <v>0.93160769413440991</v>
      </c>
      <c r="R1282" s="21">
        <v>2.097902097902098E-2</v>
      </c>
    </row>
    <row r="1283" spans="1:18">
      <c r="A1283" t="s">
        <v>1872</v>
      </c>
      <c r="B1283" t="s">
        <v>83</v>
      </c>
      <c r="C1283" t="s">
        <v>104</v>
      </c>
      <c r="D1283">
        <v>2</v>
      </c>
      <c r="E1283" t="s">
        <v>132</v>
      </c>
      <c r="F1283" t="s">
        <v>397</v>
      </c>
      <c r="G1283" t="s">
        <v>169</v>
      </c>
      <c r="H1283" s="16">
        <v>4196</v>
      </c>
      <c r="I1283" s="16">
        <v>19</v>
      </c>
      <c r="J1283" s="16">
        <v>0</v>
      </c>
      <c r="K1283" s="16">
        <v>321</v>
      </c>
      <c r="L1283" s="16">
        <v>0</v>
      </c>
      <c r="M1283" s="16">
        <v>3875</v>
      </c>
      <c r="N1283" s="16">
        <v>-26</v>
      </c>
      <c r="O1283">
        <v>2</v>
      </c>
      <c r="P1283">
        <v>0</v>
      </c>
      <c r="Q1283" s="20">
        <v>4.5281220209723548E-3</v>
      </c>
      <c r="R1283" s="21">
        <v>-6.7096774193548389E-3</v>
      </c>
    </row>
    <row r="1284" spans="1:18">
      <c r="A1284" t="s">
        <v>1873</v>
      </c>
      <c r="B1284" t="s">
        <v>74</v>
      </c>
      <c r="C1284" t="s">
        <v>104</v>
      </c>
      <c r="D1284">
        <v>2</v>
      </c>
      <c r="E1284" t="s">
        <v>132</v>
      </c>
      <c r="F1284" t="s">
        <v>133</v>
      </c>
      <c r="G1284" t="s">
        <v>134</v>
      </c>
      <c r="H1284" s="16">
        <v>4182</v>
      </c>
      <c r="I1284" s="16">
        <v>448</v>
      </c>
      <c r="J1284" s="16">
        <v>3629</v>
      </c>
      <c r="K1284" s="16">
        <v>198</v>
      </c>
      <c r="L1284" s="16">
        <v>0</v>
      </c>
      <c r="M1284" s="16">
        <v>3984</v>
      </c>
      <c r="N1284" s="16">
        <v>50</v>
      </c>
      <c r="O1284">
        <v>0</v>
      </c>
      <c r="P1284">
        <v>0</v>
      </c>
      <c r="Q1284" s="20">
        <v>0.10712577714012435</v>
      </c>
      <c r="R1284" s="21">
        <v>1.2550200803212851E-2</v>
      </c>
    </row>
    <row r="1285" spans="1:18">
      <c r="A1285" t="s">
        <v>1874</v>
      </c>
      <c r="B1285" t="s">
        <v>89</v>
      </c>
      <c r="C1285" t="s">
        <v>162</v>
      </c>
      <c r="D1285">
        <v>2</v>
      </c>
      <c r="E1285" t="s">
        <v>132</v>
      </c>
      <c r="F1285" t="s">
        <v>152</v>
      </c>
      <c r="G1285" t="s">
        <v>153</v>
      </c>
      <c r="H1285" s="16">
        <v>4150</v>
      </c>
      <c r="I1285" s="16">
        <v>0</v>
      </c>
      <c r="J1285" s="16">
        <v>4139</v>
      </c>
      <c r="K1285" s="16">
        <v>7</v>
      </c>
      <c r="L1285" s="16">
        <v>0</v>
      </c>
      <c r="M1285" s="16">
        <v>4143</v>
      </c>
      <c r="N1285" s="16">
        <v>88</v>
      </c>
      <c r="O1285">
        <v>1</v>
      </c>
      <c r="P1285">
        <v>0</v>
      </c>
      <c r="Q1285" s="20">
        <v>0</v>
      </c>
      <c r="R1285" s="21">
        <v>2.1240646874245716E-2</v>
      </c>
    </row>
    <row r="1286" spans="1:18">
      <c r="A1286" t="s">
        <v>1875</v>
      </c>
      <c r="B1286" t="s">
        <v>83</v>
      </c>
      <c r="C1286" t="s">
        <v>104</v>
      </c>
      <c r="D1286">
        <v>2</v>
      </c>
      <c r="E1286" t="s">
        <v>132</v>
      </c>
      <c r="F1286" t="s">
        <v>145</v>
      </c>
      <c r="G1286" t="s">
        <v>146</v>
      </c>
      <c r="H1286" s="16">
        <v>4127</v>
      </c>
      <c r="I1286" s="16">
        <v>623</v>
      </c>
      <c r="J1286" s="16">
        <v>3324</v>
      </c>
      <c r="K1286" s="16">
        <v>65</v>
      </c>
      <c r="L1286" s="16">
        <v>0</v>
      </c>
      <c r="M1286" s="16">
        <v>4062</v>
      </c>
      <c r="N1286" s="16">
        <v>-222</v>
      </c>
      <c r="O1286">
        <v>2</v>
      </c>
      <c r="P1286">
        <v>0</v>
      </c>
      <c r="Q1286" s="20">
        <v>0.15095711170341652</v>
      </c>
      <c r="R1286" s="21">
        <v>-5.4652880354505169E-2</v>
      </c>
    </row>
    <row r="1287" spans="1:18">
      <c r="A1287" t="s">
        <v>1876</v>
      </c>
      <c r="B1287" t="s">
        <v>83</v>
      </c>
      <c r="C1287" t="s">
        <v>104</v>
      </c>
      <c r="D1287">
        <v>2</v>
      </c>
      <c r="E1287" t="s">
        <v>132</v>
      </c>
      <c r="F1287" t="s">
        <v>1877</v>
      </c>
      <c r="G1287" t="s">
        <v>211</v>
      </c>
      <c r="H1287" s="16">
        <v>4121</v>
      </c>
      <c r="I1287" s="16">
        <v>136</v>
      </c>
      <c r="J1287" s="16">
        <v>3486</v>
      </c>
      <c r="K1287" s="16">
        <v>4</v>
      </c>
      <c r="L1287" s="16">
        <v>0</v>
      </c>
      <c r="M1287" s="16">
        <v>4117</v>
      </c>
      <c r="N1287" s="16">
        <v>-27</v>
      </c>
      <c r="O1287">
        <v>2</v>
      </c>
      <c r="P1287">
        <v>0</v>
      </c>
      <c r="Q1287" s="20">
        <v>3.3001698616840575E-2</v>
      </c>
      <c r="R1287" s="21">
        <v>-6.5581734272528542E-3</v>
      </c>
    </row>
    <row r="1288" spans="1:18">
      <c r="A1288" t="s">
        <v>1878</v>
      </c>
      <c r="B1288" t="s">
        <v>83</v>
      </c>
      <c r="C1288" t="s">
        <v>104</v>
      </c>
      <c r="D1288">
        <v>2</v>
      </c>
      <c r="E1288" t="s">
        <v>132</v>
      </c>
      <c r="F1288" t="s">
        <v>1518</v>
      </c>
      <c r="G1288" t="s">
        <v>153</v>
      </c>
      <c r="H1288" s="16">
        <v>4094</v>
      </c>
      <c r="I1288" s="16">
        <v>557</v>
      </c>
      <c r="J1288" s="16">
        <v>0</v>
      </c>
      <c r="K1288" s="16">
        <v>49</v>
      </c>
      <c r="L1288" s="16">
        <v>0</v>
      </c>
      <c r="M1288" s="16">
        <v>4045</v>
      </c>
      <c r="N1288" s="16">
        <v>-328</v>
      </c>
      <c r="O1288">
        <v>2</v>
      </c>
      <c r="P1288">
        <v>0</v>
      </c>
      <c r="Q1288" s="20">
        <v>0.13605276013678555</v>
      </c>
      <c r="R1288" s="21">
        <v>-8.1087762669962912E-2</v>
      </c>
    </row>
    <row r="1289" spans="1:18">
      <c r="A1289" t="s">
        <v>1879</v>
      </c>
      <c r="B1289" t="s">
        <v>89</v>
      </c>
      <c r="C1289" t="s">
        <v>162</v>
      </c>
      <c r="D1289">
        <v>3</v>
      </c>
      <c r="E1289" t="s">
        <v>143</v>
      </c>
      <c r="F1289" t="s">
        <v>210</v>
      </c>
      <c r="G1289" t="s">
        <v>211</v>
      </c>
      <c r="H1289" s="16">
        <v>4060</v>
      </c>
      <c r="I1289" s="16">
        <v>0</v>
      </c>
      <c r="J1289" s="16">
        <v>3807</v>
      </c>
      <c r="K1289" s="16">
        <v>78</v>
      </c>
      <c r="L1289" s="16">
        <v>0</v>
      </c>
      <c r="M1289" s="16">
        <v>3982</v>
      </c>
      <c r="N1289" s="16">
        <v>133</v>
      </c>
      <c r="O1289">
        <v>1</v>
      </c>
      <c r="P1289">
        <v>0</v>
      </c>
      <c r="Q1289" s="20">
        <v>0</v>
      </c>
      <c r="R1289" s="21">
        <v>3.340030135610246E-2</v>
      </c>
    </row>
    <row r="1290" spans="1:18">
      <c r="A1290" t="s">
        <v>1880</v>
      </c>
      <c r="B1290" t="s">
        <v>86</v>
      </c>
      <c r="C1290" t="s">
        <v>104</v>
      </c>
      <c r="D1290">
        <v>2</v>
      </c>
      <c r="E1290" t="s">
        <v>132</v>
      </c>
      <c r="F1290" t="s">
        <v>133</v>
      </c>
      <c r="G1290" t="s">
        <v>134</v>
      </c>
      <c r="H1290" s="16">
        <v>4050</v>
      </c>
      <c r="I1290" s="16">
        <v>0</v>
      </c>
      <c r="J1290" s="16">
        <v>0</v>
      </c>
      <c r="K1290" s="16">
        <v>109</v>
      </c>
      <c r="L1290" s="16">
        <v>0</v>
      </c>
      <c r="M1290" s="16">
        <v>3940</v>
      </c>
      <c r="N1290" s="16">
        <v>-833</v>
      </c>
      <c r="O1290">
        <v>2</v>
      </c>
      <c r="P1290">
        <v>0</v>
      </c>
      <c r="Q1290" s="20">
        <v>0</v>
      </c>
      <c r="R1290" s="21">
        <v>-0.2114213197969543</v>
      </c>
    </row>
    <row r="1291" spans="1:18">
      <c r="A1291" t="s">
        <v>1881</v>
      </c>
      <c r="B1291" t="s">
        <v>89</v>
      </c>
      <c r="C1291" t="s">
        <v>162</v>
      </c>
      <c r="D1291">
        <v>2</v>
      </c>
      <c r="E1291" t="s">
        <v>132</v>
      </c>
      <c r="F1291" t="s">
        <v>133</v>
      </c>
      <c r="G1291" t="s">
        <v>134</v>
      </c>
      <c r="H1291" s="16">
        <v>3864</v>
      </c>
      <c r="I1291" s="16">
        <v>0</v>
      </c>
      <c r="J1291" s="16">
        <v>3572</v>
      </c>
      <c r="K1291" s="16">
        <v>154</v>
      </c>
      <c r="L1291" s="16">
        <v>0</v>
      </c>
      <c r="M1291" s="16">
        <v>3710</v>
      </c>
      <c r="N1291" s="16">
        <v>34</v>
      </c>
      <c r="O1291">
        <v>1</v>
      </c>
      <c r="P1291">
        <v>0</v>
      </c>
      <c r="Q1291" s="20">
        <v>0</v>
      </c>
      <c r="R1291" s="21">
        <v>9.1644204851752016E-3</v>
      </c>
    </row>
    <row r="1292" spans="1:18">
      <c r="A1292" t="s">
        <v>1882</v>
      </c>
      <c r="B1292" t="s">
        <v>83</v>
      </c>
      <c r="C1292" t="s">
        <v>104</v>
      </c>
      <c r="D1292">
        <v>2</v>
      </c>
      <c r="E1292" t="s">
        <v>132</v>
      </c>
      <c r="F1292" t="s">
        <v>210</v>
      </c>
      <c r="G1292" t="s">
        <v>211</v>
      </c>
      <c r="H1292" s="16">
        <v>3836</v>
      </c>
      <c r="I1292" s="16">
        <v>0</v>
      </c>
      <c r="J1292" s="16">
        <v>1067</v>
      </c>
      <c r="K1292" s="16">
        <v>2582</v>
      </c>
      <c r="L1292" s="16">
        <v>0</v>
      </c>
      <c r="M1292" s="16">
        <v>1254</v>
      </c>
      <c r="N1292" s="16">
        <v>-300</v>
      </c>
      <c r="O1292">
        <v>2</v>
      </c>
      <c r="P1292">
        <v>0</v>
      </c>
      <c r="Q1292" s="20">
        <v>0</v>
      </c>
      <c r="R1292" s="21">
        <v>-0.23923444976076555</v>
      </c>
    </row>
    <row r="1293" spans="1:18">
      <c r="A1293" t="s">
        <v>1883</v>
      </c>
      <c r="B1293" t="s">
        <v>83</v>
      </c>
      <c r="C1293" t="s">
        <v>104</v>
      </c>
      <c r="D1293">
        <v>2</v>
      </c>
      <c r="E1293" t="s">
        <v>132</v>
      </c>
      <c r="F1293" t="s">
        <v>133</v>
      </c>
      <c r="G1293" t="s">
        <v>134</v>
      </c>
      <c r="H1293" s="16">
        <v>3830</v>
      </c>
      <c r="I1293" s="16">
        <v>60</v>
      </c>
      <c r="J1293" s="16">
        <v>0</v>
      </c>
      <c r="K1293" s="16">
        <v>2869</v>
      </c>
      <c r="L1293" s="16">
        <v>1544</v>
      </c>
      <c r="M1293" s="16">
        <v>960</v>
      </c>
      <c r="N1293" s="16">
        <v>-366</v>
      </c>
      <c r="O1293">
        <v>2</v>
      </c>
      <c r="P1293">
        <v>0</v>
      </c>
      <c r="Q1293" s="20">
        <v>1.5665796344647518E-2</v>
      </c>
      <c r="R1293" s="21">
        <v>-0.38124999999999998</v>
      </c>
    </row>
    <row r="1294" spans="1:18">
      <c r="A1294" t="s">
        <v>1884</v>
      </c>
      <c r="B1294" t="s">
        <v>83</v>
      </c>
      <c r="C1294" t="s">
        <v>104</v>
      </c>
      <c r="D1294">
        <v>2</v>
      </c>
      <c r="E1294" t="s">
        <v>132</v>
      </c>
      <c r="F1294" t="s">
        <v>1885</v>
      </c>
      <c r="G1294" t="s">
        <v>286</v>
      </c>
      <c r="H1294" s="16">
        <v>3772</v>
      </c>
      <c r="I1294" s="16">
        <v>990</v>
      </c>
      <c r="J1294" s="16">
        <v>2021</v>
      </c>
      <c r="K1294" s="16">
        <v>185</v>
      </c>
      <c r="L1294" s="16">
        <v>93</v>
      </c>
      <c r="M1294" s="16">
        <v>3587</v>
      </c>
      <c r="N1294" s="16">
        <v>49</v>
      </c>
      <c r="O1294">
        <v>2</v>
      </c>
      <c r="P1294">
        <v>0</v>
      </c>
      <c r="Q1294" s="20">
        <v>0.26246023329798518</v>
      </c>
      <c r="R1294" s="21">
        <v>1.366044047950934E-2</v>
      </c>
    </row>
    <row r="1295" spans="1:18">
      <c r="A1295" t="s">
        <v>1886</v>
      </c>
      <c r="B1295" t="s">
        <v>83</v>
      </c>
      <c r="C1295" t="s">
        <v>104</v>
      </c>
      <c r="D1295">
        <v>2</v>
      </c>
      <c r="E1295" t="s">
        <v>132</v>
      </c>
      <c r="F1295" t="s">
        <v>1566</v>
      </c>
      <c r="G1295" t="s">
        <v>169</v>
      </c>
      <c r="H1295" s="16">
        <v>3769</v>
      </c>
      <c r="I1295" s="16">
        <v>2</v>
      </c>
      <c r="J1295" s="16">
        <v>1753</v>
      </c>
      <c r="K1295" s="16">
        <v>55</v>
      </c>
      <c r="L1295" s="16">
        <v>0</v>
      </c>
      <c r="M1295" s="16">
        <v>3714</v>
      </c>
      <c r="N1295" s="16">
        <v>-528</v>
      </c>
      <c r="O1295">
        <v>2</v>
      </c>
      <c r="P1295">
        <v>0</v>
      </c>
      <c r="Q1295" s="20">
        <v>5.3064473335102144E-4</v>
      </c>
      <c r="R1295" s="21">
        <v>-0.1421647819063005</v>
      </c>
    </row>
    <row r="1296" spans="1:18">
      <c r="A1296" t="s">
        <v>1887</v>
      </c>
      <c r="B1296" t="s">
        <v>83</v>
      </c>
      <c r="C1296" t="s">
        <v>104</v>
      </c>
      <c r="D1296">
        <v>2</v>
      </c>
      <c r="E1296" t="s">
        <v>132</v>
      </c>
      <c r="F1296" t="s">
        <v>205</v>
      </c>
      <c r="G1296" t="s">
        <v>206</v>
      </c>
      <c r="H1296" s="16">
        <v>3678</v>
      </c>
      <c r="I1296" s="16">
        <v>66</v>
      </c>
      <c r="J1296" s="16">
        <v>3080</v>
      </c>
      <c r="K1296" s="16">
        <v>28</v>
      </c>
      <c r="L1296" s="16">
        <v>0</v>
      </c>
      <c r="M1296" s="16">
        <v>3650</v>
      </c>
      <c r="N1296" s="16">
        <v>123</v>
      </c>
      <c r="O1296">
        <v>2</v>
      </c>
      <c r="P1296">
        <v>0</v>
      </c>
      <c r="Q1296" s="20">
        <v>1.794453507340946E-2</v>
      </c>
      <c r="R1296" s="21">
        <v>3.3698630136986304E-2</v>
      </c>
    </row>
    <row r="1297" spans="1:18">
      <c r="A1297" t="s">
        <v>1888</v>
      </c>
      <c r="B1297" t="s">
        <v>83</v>
      </c>
      <c r="C1297" t="s">
        <v>104</v>
      </c>
      <c r="D1297">
        <v>2</v>
      </c>
      <c r="E1297" t="s">
        <v>132</v>
      </c>
      <c r="F1297" t="s">
        <v>223</v>
      </c>
      <c r="G1297" t="s">
        <v>134</v>
      </c>
      <c r="H1297" s="16">
        <v>3672</v>
      </c>
      <c r="I1297" s="16">
        <v>599</v>
      </c>
      <c r="J1297" s="16">
        <v>2404</v>
      </c>
      <c r="K1297" s="16">
        <v>3</v>
      </c>
      <c r="L1297" s="16">
        <v>0</v>
      </c>
      <c r="M1297" s="16">
        <v>3669</v>
      </c>
      <c r="N1297" s="16">
        <v>16</v>
      </c>
      <c r="O1297">
        <v>2</v>
      </c>
      <c r="P1297">
        <v>0</v>
      </c>
      <c r="Q1297" s="20">
        <v>0.16312636165577343</v>
      </c>
      <c r="R1297" s="21">
        <v>4.3608612701008451E-3</v>
      </c>
    </row>
    <row r="1298" spans="1:18">
      <c r="A1298" t="s">
        <v>1889</v>
      </c>
      <c r="B1298" t="s">
        <v>74</v>
      </c>
      <c r="C1298" t="s">
        <v>104</v>
      </c>
      <c r="D1298">
        <v>2</v>
      </c>
      <c r="E1298" t="s">
        <v>132</v>
      </c>
      <c r="F1298" t="s">
        <v>1890</v>
      </c>
      <c r="G1298" t="s">
        <v>134</v>
      </c>
      <c r="H1298" s="16">
        <v>3652</v>
      </c>
      <c r="I1298" s="16">
        <v>2528</v>
      </c>
      <c r="J1298" s="16">
        <v>704</v>
      </c>
      <c r="K1298" s="16">
        <v>228</v>
      </c>
      <c r="L1298" s="16">
        <v>0</v>
      </c>
      <c r="M1298" s="16">
        <v>3424</v>
      </c>
      <c r="N1298" s="16">
        <v>14</v>
      </c>
      <c r="O1298">
        <v>0</v>
      </c>
      <c r="P1298">
        <v>0</v>
      </c>
      <c r="Q1298" s="20">
        <v>0.69222343921139107</v>
      </c>
      <c r="R1298" s="21">
        <v>4.0887850467289715E-3</v>
      </c>
    </row>
    <row r="1299" spans="1:18">
      <c r="A1299" t="s">
        <v>1891</v>
      </c>
      <c r="B1299" t="s">
        <v>74</v>
      </c>
      <c r="C1299" t="s">
        <v>104</v>
      </c>
      <c r="D1299">
        <v>2</v>
      </c>
      <c r="E1299" t="s">
        <v>132</v>
      </c>
      <c r="F1299" t="s">
        <v>256</v>
      </c>
      <c r="G1299" t="s">
        <v>211</v>
      </c>
      <c r="H1299" s="16">
        <v>3584</v>
      </c>
      <c r="I1299" s="16">
        <v>3106</v>
      </c>
      <c r="J1299" s="16">
        <v>0</v>
      </c>
      <c r="K1299" s="16">
        <v>64</v>
      </c>
      <c r="L1299" s="16">
        <v>0</v>
      </c>
      <c r="M1299" s="16">
        <v>3520</v>
      </c>
      <c r="N1299" s="16">
        <v>102</v>
      </c>
      <c r="O1299">
        <v>0</v>
      </c>
      <c r="P1299">
        <v>0</v>
      </c>
      <c r="Q1299" s="20">
        <v>0.8666294642857143</v>
      </c>
      <c r="R1299" s="21">
        <v>2.8977272727272727E-2</v>
      </c>
    </row>
    <row r="1300" spans="1:18">
      <c r="A1300" t="s">
        <v>1892</v>
      </c>
      <c r="B1300" t="s">
        <v>74</v>
      </c>
      <c r="C1300" t="s">
        <v>104</v>
      </c>
      <c r="D1300">
        <v>2</v>
      </c>
      <c r="E1300" t="s">
        <v>132</v>
      </c>
      <c r="F1300" t="s">
        <v>133</v>
      </c>
      <c r="G1300" t="s">
        <v>134</v>
      </c>
      <c r="H1300" s="16">
        <v>3562</v>
      </c>
      <c r="I1300" s="16">
        <v>1982</v>
      </c>
      <c r="J1300" s="16">
        <v>1105</v>
      </c>
      <c r="K1300" s="16">
        <v>774</v>
      </c>
      <c r="L1300" s="16">
        <v>0</v>
      </c>
      <c r="M1300" s="16">
        <v>2787</v>
      </c>
      <c r="N1300" s="16">
        <v>-180</v>
      </c>
      <c r="O1300">
        <v>0</v>
      </c>
      <c r="P1300">
        <v>0</v>
      </c>
      <c r="Q1300" s="20">
        <v>0.55642897248736667</v>
      </c>
      <c r="R1300" s="21">
        <v>-6.4585575888051666E-2</v>
      </c>
    </row>
    <row r="1301" spans="1:18">
      <c r="A1301" t="s">
        <v>1893</v>
      </c>
      <c r="B1301" t="s">
        <v>74</v>
      </c>
      <c r="C1301" t="s">
        <v>104</v>
      </c>
      <c r="D1301">
        <v>2</v>
      </c>
      <c r="E1301" t="s">
        <v>132</v>
      </c>
      <c r="F1301" t="s">
        <v>152</v>
      </c>
      <c r="G1301" t="s">
        <v>153</v>
      </c>
      <c r="H1301" s="16">
        <v>3562</v>
      </c>
      <c r="I1301" s="16">
        <v>1716</v>
      </c>
      <c r="J1301" s="16">
        <v>1589</v>
      </c>
      <c r="K1301" s="16">
        <v>277</v>
      </c>
      <c r="L1301" s="16">
        <v>0</v>
      </c>
      <c r="M1301" s="16">
        <v>3285</v>
      </c>
      <c r="N1301" s="16">
        <v>238</v>
      </c>
      <c r="O1301">
        <v>0</v>
      </c>
      <c r="P1301">
        <v>0</v>
      </c>
      <c r="Q1301" s="20">
        <v>0.48175182481751827</v>
      </c>
      <c r="R1301" s="21">
        <v>7.2450532724505329E-2</v>
      </c>
    </row>
    <row r="1302" spans="1:18">
      <c r="A1302" t="s">
        <v>1894</v>
      </c>
      <c r="B1302" t="s">
        <v>74</v>
      </c>
      <c r="C1302" t="s">
        <v>104</v>
      </c>
      <c r="D1302">
        <v>2</v>
      </c>
      <c r="E1302" t="s">
        <v>132</v>
      </c>
      <c r="F1302" t="s">
        <v>630</v>
      </c>
      <c r="G1302" t="s">
        <v>405</v>
      </c>
      <c r="H1302" s="16">
        <v>3560</v>
      </c>
      <c r="I1302" s="16">
        <v>1065</v>
      </c>
      <c r="J1302" s="16">
        <v>2058</v>
      </c>
      <c r="K1302" s="16">
        <v>366</v>
      </c>
      <c r="L1302" s="16">
        <v>0</v>
      </c>
      <c r="M1302" s="16">
        <v>3194</v>
      </c>
      <c r="N1302" s="16">
        <v>97</v>
      </c>
      <c r="O1302">
        <v>0</v>
      </c>
      <c r="P1302">
        <v>0</v>
      </c>
      <c r="Q1302" s="20">
        <v>0.2991573033707865</v>
      </c>
      <c r="R1302" s="21">
        <v>3.0369442705072011E-2</v>
      </c>
    </row>
    <row r="1303" spans="1:18">
      <c r="A1303" t="s">
        <v>1895</v>
      </c>
      <c r="B1303" t="s">
        <v>74</v>
      </c>
      <c r="C1303" t="s">
        <v>104</v>
      </c>
      <c r="D1303">
        <v>2</v>
      </c>
      <c r="E1303" t="s">
        <v>132</v>
      </c>
      <c r="F1303" t="s">
        <v>145</v>
      </c>
      <c r="G1303" t="s">
        <v>146</v>
      </c>
      <c r="H1303" s="16">
        <v>3546</v>
      </c>
      <c r="I1303" s="16">
        <v>2043</v>
      </c>
      <c r="J1303" s="16">
        <v>810</v>
      </c>
      <c r="K1303" s="16">
        <v>987</v>
      </c>
      <c r="L1303" s="16">
        <v>0</v>
      </c>
      <c r="M1303" s="16">
        <v>2558</v>
      </c>
      <c r="N1303" s="16">
        <v>-31</v>
      </c>
      <c r="O1303">
        <v>0</v>
      </c>
      <c r="P1303">
        <v>0</v>
      </c>
      <c r="Q1303" s="20">
        <v>0.57614213197969544</v>
      </c>
      <c r="R1303" s="21">
        <v>-1.2118842845973418E-2</v>
      </c>
    </row>
    <row r="1304" spans="1:18">
      <c r="A1304" t="s">
        <v>1896</v>
      </c>
      <c r="B1304" t="s">
        <v>86</v>
      </c>
      <c r="C1304" t="s">
        <v>101</v>
      </c>
      <c r="D1304">
        <v>2</v>
      </c>
      <c r="E1304" t="s">
        <v>132</v>
      </c>
      <c r="F1304" t="s">
        <v>210</v>
      </c>
      <c r="G1304" t="s">
        <v>211</v>
      </c>
      <c r="H1304" s="16">
        <v>3537</v>
      </c>
      <c r="I1304" s="16">
        <v>0</v>
      </c>
      <c r="J1304" s="16">
        <v>937</v>
      </c>
      <c r="K1304" s="16">
        <v>777</v>
      </c>
      <c r="L1304" s="16">
        <v>0</v>
      </c>
      <c r="M1304" s="16">
        <v>2761</v>
      </c>
      <c r="N1304" s="16">
        <v>345</v>
      </c>
      <c r="O1304">
        <v>3</v>
      </c>
      <c r="P1304">
        <v>0</v>
      </c>
      <c r="Q1304" s="20">
        <v>0</v>
      </c>
      <c r="R1304" s="21">
        <v>0.12495472654835205</v>
      </c>
    </row>
    <row r="1305" spans="1:18">
      <c r="A1305" t="s">
        <v>1897</v>
      </c>
      <c r="B1305" t="s">
        <v>89</v>
      </c>
      <c r="C1305" t="s">
        <v>162</v>
      </c>
      <c r="D1305">
        <v>2</v>
      </c>
      <c r="E1305" t="s">
        <v>132</v>
      </c>
      <c r="F1305" t="s">
        <v>163</v>
      </c>
      <c r="G1305" t="s">
        <v>134</v>
      </c>
      <c r="H1305" s="16">
        <v>3526</v>
      </c>
      <c r="I1305" s="16">
        <v>0</v>
      </c>
      <c r="J1305" s="16">
        <v>156</v>
      </c>
      <c r="K1305" s="16">
        <v>140</v>
      </c>
      <c r="L1305" s="16">
        <v>0</v>
      </c>
      <c r="M1305" s="16">
        <v>3386</v>
      </c>
      <c r="N1305" s="16">
        <v>-1197</v>
      </c>
      <c r="O1305">
        <v>1</v>
      </c>
      <c r="P1305">
        <v>0</v>
      </c>
      <c r="Q1305" s="20">
        <v>0</v>
      </c>
      <c r="R1305" s="21">
        <v>-0.35351447135262848</v>
      </c>
    </row>
    <row r="1306" spans="1:18">
      <c r="A1306" t="s">
        <v>1898</v>
      </c>
      <c r="B1306" t="s">
        <v>86</v>
      </c>
      <c r="C1306" t="s">
        <v>104</v>
      </c>
      <c r="D1306">
        <v>2</v>
      </c>
      <c r="E1306" t="s">
        <v>132</v>
      </c>
      <c r="F1306" t="s">
        <v>133</v>
      </c>
      <c r="G1306" t="s">
        <v>134</v>
      </c>
      <c r="H1306" s="16">
        <v>3469</v>
      </c>
      <c r="I1306" s="16">
        <v>0</v>
      </c>
      <c r="J1306" s="16">
        <v>1291</v>
      </c>
      <c r="K1306" s="16">
        <v>612</v>
      </c>
      <c r="L1306" s="16">
        <v>0</v>
      </c>
      <c r="M1306" s="16">
        <v>2857</v>
      </c>
      <c r="N1306" s="16">
        <v>154</v>
      </c>
      <c r="O1306">
        <v>2</v>
      </c>
      <c r="P1306">
        <v>0</v>
      </c>
      <c r="Q1306" s="20">
        <v>0</v>
      </c>
      <c r="R1306" s="21">
        <v>5.3902695134756741E-2</v>
      </c>
    </row>
    <row r="1307" spans="1:18">
      <c r="A1307" t="s">
        <v>1899</v>
      </c>
      <c r="B1307" t="s">
        <v>74</v>
      </c>
      <c r="C1307" t="s">
        <v>104</v>
      </c>
      <c r="D1307">
        <v>2</v>
      </c>
      <c r="E1307" t="s">
        <v>132</v>
      </c>
      <c r="F1307" t="s">
        <v>1860</v>
      </c>
      <c r="G1307" t="s">
        <v>134</v>
      </c>
      <c r="H1307" s="16">
        <v>3466</v>
      </c>
      <c r="I1307" s="16">
        <v>1091</v>
      </c>
      <c r="J1307" s="16">
        <v>2199</v>
      </c>
      <c r="K1307" s="16">
        <v>109</v>
      </c>
      <c r="L1307" s="16">
        <v>0</v>
      </c>
      <c r="M1307" s="16">
        <v>3357</v>
      </c>
      <c r="N1307" s="16">
        <v>183</v>
      </c>
      <c r="O1307">
        <v>0</v>
      </c>
      <c r="P1307">
        <v>0</v>
      </c>
      <c r="Q1307" s="20">
        <v>0.31477207155222159</v>
      </c>
      <c r="R1307" s="21">
        <v>5.4512957998212687E-2</v>
      </c>
    </row>
    <row r="1308" spans="1:18">
      <c r="A1308" t="s">
        <v>1900</v>
      </c>
      <c r="B1308" t="s">
        <v>83</v>
      </c>
      <c r="C1308" t="s">
        <v>104</v>
      </c>
      <c r="D1308">
        <v>2</v>
      </c>
      <c r="E1308" t="s">
        <v>132</v>
      </c>
      <c r="F1308" t="s">
        <v>568</v>
      </c>
      <c r="G1308" t="s">
        <v>569</v>
      </c>
      <c r="H1308" s="16">
        <v>3457</v>
      </c>
      <c r="I1308" s="16">
        <v>68</v>
      </c>
      <c r="J1308" s="16">
        <v>135</v>
      </c>
      <c r="K1308" s="16">
        <v>2228</v>
      </c>
      <c r="L1308" s="16">
        <v>0</v>
      </c>
      <c r="M1308" s="16">
        <v>1229</v>
      </c>
      <c r="N1308" s="16">
        <v>-53</v>
      </c>
      <c r="O1308">
        <v>1</v>
      </c>
      <c r="P1308">
        <v>0</v>
      </c>
      <c r="Q1308" s="20">
        <v>1.9670234307202775E-2</v>
      </c>
      <c r="R1308" s="21">
        <v>-4.3124491456468676E-2</v>
      </c>
    </row>
    <row r="1309" spans="1:18">
      <c r="A1309" t="s">
        <v>1901</v>
      </c>
      <c r="B1309" t="s">
        <v>83</v>
      </c>
      <c r="C1309" t="s">
        <v>104</v>
      </c>
      <c r="D1309">
        <v>2</v>
      </c>
      <c r="E1309" t="s">
        <v>132</v>
      </c>
      <c r="F1309" t="s">
        <v>185</v>
      </c>
      <c r="G1309" t="s">
        <v>134</v>
      </c>
      <c r="H1309" s="16">
        <v>3400</v>
      </c>
      <c r="I1309" s="16">
        <v>0</v>
      </c>
      <c r="J1309" s="16">
        <v>3398</v>
      </c>
      <c r="K1309" s="16">
        <v>10</v>
      </c>
      <c r="L1309" s="16">
        <v>0</v>
      </c>
      <c r="M1309" s="16">
        <v>3389</v>
      </c>
      <c r="N1309" s="16">
        <v>-93</v>
      </c>
      <c r="O1309">
        <v>2</v>
      </c>
      <c r="P1309">
        <v>0</v>
      </c>
      <c r="Q1309" s="20">
        <v>0</v>
      </c>
      <c r="R1309" s="21">
        <v>-2.7441723222189435E-2</v>
      </c>
    </row>
    <row r="1310" spans="1:18">
      <c r="A1310" t="s">
        <v>1902</v>
      </c>
      <c r="B1310" t="s">
        <v>74</v>
      </c>
      <c r="C1310" t="s">
        <v>104</v>
      </c>
      <c r="D1310">
        <v>2</v>
      </c>
      <c r="E1310" t="s">
        <v>132</v>
      </c>
      <c r="F1310" t="s">
        <v>145</v>
      </c>
      <c r="G1310" t="s">
        <v>146</v>
      </c>
      <c r="H1310" s="16">
        <v>3388</v>
      </c>
      <c r="I1310" s="16">
        <v>1850</v>
      </c>
      <c r="J1310" s="16">
        <v>700</v>
      </c>
      <c r="K1310" s="16">
        <v>553</v>
      </c>
      <c r="L1310" s="16">
        <v>0</v>
      </c>
      <c r="M1310" s="16">
        <v>2836</v>
      </c>
      <c r="N1310" s="16">
        <v>127</v>
      </c>
      <c r="O1310">
        <v>0</v>
      </c>
      <c r="P1310">
        <v>0</v>
      </c>
      <c r="Q1310" s="20">
        <v>0.54604486422668241</v>
      </c>
      <c r="R1310" s="21">
        <v>4.4781382228490832E-2</v>
      </c>
    </row>
    <row r="1311" spans="1:18">
      <c r="A1311" t="s">
        <v>1903</v>
      </c>
      <c r="B1311" t="s">
        <v>74</v>
      </c>
      <c r="C1311" t="s">
        <v>104</v>
      </c>
      <c r="D1311">
        <v>2</v>
      </c>
      <c r="E1311" t="s">
        <v>132</v>
      </c>
      <c r="F1311" t="s">
        <v>1904</v>
      </c>
      <c r="G1311" t="s">
        <v>169</v>
      </c>
      <c r="H1311" s="16">
        <v>3373</v>
      </c>
      <c r="I1311" s="16">
        <v>1351</v>
      </c>
      <c r="J1311" s="16">
        <v>0</v>
      </c>
      <c r="K1311" s="16">
        <v>590</v>
      </c>
      <c r="L1311" s="16">
        <v>0</v>
      </c>
      <c r="M1311" s="16">
        <v>2783</v>
      </c>
      <c r="N1311" s="16">
        <v>57</v>
      </c>
      <c r="O1311">
        <v>0</v>
      </c>
      <c r="P1311">
        <v>0</v>
      </c>
      <c r="Q1311" s="20">
        <v>0.40053364957011561</v>
      </c>
      <c r="R1311" s="21">
        <v>2.0481494789795184E-2</v>
      </c>
    </row>
    <row r="1312" spans="1:18">
      <c r="A1312" t="s">
        <v>1905</v>
      </c>
      <c r="B1312" t="s">
        <v>86</v>
      </c>
      <c r="C1312" t="s">
        <v>101</v>
      </c>
      <c r="D1312">
        <v>2</v>
      </c>
      <c r="E1312" t="s">
        <v>132</v>
      </c>
      <c r="F1312" t="s">
        <v>133</v>
      </c>
      <c r="G1312" t="s">
        <v>134</v>
      </c>
      <c r="H1312" s="16">
        <v>3357</v>
      </c>
      <c r="I1312" s="16">
        <v>0</v>
      </c>
      <c r="J1312" s="16">
        <v>2247</v>
      </c>
      <c r="K1312" s="16">
        <v>172</v>
      </c>
      <c r="L1312" s="16">
        <v>0</v>
      </c>
      <c r="M1312" s="16">
        <v>3185</v>
      </c>
      <c r="N1312" s="16">
        <v>-92</v>
      </c>
      <c r="O1312">
        <v>2</v>
      </c>
      <c r="P1312">
        <v>0</v>
      </c>
      <c r="Q1312" s="20">
        <v>0</v>
      </c>
      <c r="R1312" s="21">
        <v>-2.8885400313971743E-2</v>
      </c>
    </row>
    <row r="1313" spans="1:18">
      <c r="A1313" t="s">
        <v>1906</v>
      </c>
      <c r="B1313" t="s">
        <v>89</v>
      </c>
      <c r="C1313" t="s">
        <v>162</v>
      </c>
      <c r="D1313">
        <v>3</v>
      </c>
      <c r="E1313" t="s">
        <v>143</v>
      </c>
      <c r="F1313" t="s">
        <v>133</v>
      </c>
      <c r="G1313" t="s">
        <v>134</v>
      </c>
      <c r="H1313" s="16">
        <v>3328</v>
      </c>
      <c r="I1313" s="16">
        <v>0</v>
      </c>
      <c r="J1313" s="16">
        <v>0</v>
      </c>
      <c r="K1313" s="16">
        <v>2132</v>
      </c>
      <c r="L1313" s="16">
        <v>0</v>
      </c>
      <c r="M1313" s="16">
        <v>1196</v>
      </c>
      <c r="N1313" s="16">
        <v>-384</v>
      </c>
      <c r="O1313">
        <v>1</v>
      </c>
      <c r="P1313">
        <v>0</v>
      </c>
      <c r="Q1313" s="20">
        <v>0</v>
      </c>
      <c r="R1313" s="21">
        <v>-0.32107023411371238</v>
      </c>
    </row>
    <row r="1314" spans="1:18">
      <c r="A1314" t="s">
        <v>1907</v>
      </c>
      <c r="B1314" t="s">
        <v>74</v>
      </c>
      <c r="C1314" t="s">
        <v>104</v>
      </c>
      <c r="D1314">
        <v>2</v>
      </c>
      <c r="E1314" t="s">
        <v>132</v>
      </c>
      <c r="F1314" t="s">
        <v>190</v>
      </c>
      <c r="G1314" t="s">
        <v>191</v>
      </c>
      <c r="H1314" s="16">
        <v>3325</v>
      </c>
      <c r="I1314" s="16">
        <v>1415</v>
      </c>
      <c r="J1314" s="16">
        <v>1595</v>
      </c>
      <c r="K1314" s="16">
        <v>602</v>
      </c>
      <c r="L1314" s="16">
        <v>0</v>
      </c>
      <c r="M1314" s="16">
        <v>2724</v>
      </c>
      <c r="N1314" s="16">
        <v>-3</v>
      </c>
      <c r="O1314">
        <v>0</v>
      </c>
      <c r="P1314">
        <v>0</v>
      </c>
      <c r="Q1314" s="20">
        <v>0.42556390977443609</v>
      </c>
      <c r="R1314" s="21">
        <v>-1.1013215859030838E-3</v>
      </c>
    </row>
    <row r="1315" spans="1:18">
      <c r="A1315" t="s">
        <v>1908</v>
      </c>
      <c r="B1315" t="s">
        <v>89</v>
      </c>
      <c r="C1315" t="s">
        <v>162</v>
      </c>
      <c r="D1315">
        <v>3</v>
      </c>
      <c r="E1315" t="s">
        <v>143</v>
      </c>
      <c r="F1315" t="s">
        <v>133</v>
      </c>
      <c r="G1315" t="s">
        <v>134</v>
      </c>
      <c r="H1315" s="16">
        <v>3311</v>
      </c>
      <c r="I1315" s="16">
        <v>0</v>
      </c>
      <c r="J1315" s="16">
        <v>1920</v>
      </c>
      <c r="K1315" s="16">
        <v>1060</v>
      </c>
      <c r="L1315" s="16">
        <v>0</v>
      </c>
      <c r="M1315" s="16">
        <v>2251</v>
      </c>
      <c r="N1315" s="16">
        <v>-106</v>
      </c>
      <c r="O1315">
        <v>1</v>
      </c>
      <c r="P1315">
        <v>0</v>
      </c>
      <c r="Q1315" s="20">
        <v>0</v>
      </c>
      <c r="R1315" s="21">
        <v>-4.7090182141270545E-2</v>
      </c>
    </row>
    <row r="1316" spans="1:18">
      <c r="A1316" t="s">
        <v>1909</v>
      </c>
      <c r="B1316" t="s">
        <v>83</v>
      </c>
      <c r="C1316" t="s">
        <v>104</v>
      </c>
      <c r="D1316">
        <v>2</v>
      </c>
      <c r="E1316" t="s">
        <v>132</v>
      </c>
      <c r="F1316" t="s">
        <v>397</v>
      </c>
      <c r="G1316" t="s">
        <v>169</v>
      </c>
      <c r="H1316" s="16">
        <v>3272</v>
      </c>
      <c r="I1316" s="16">
        <v>0</v>
      </c>
      <c r="J1316" s="16">
        <v>2717</v>
      </c>
      <c r="K1316" s="16">
        <v>392</v>
      </c>
      <c r="L1316" s="16">
        <v>0</v>
      </c>
      <c r="M1316" s="16">
        <v>2880</v>
      </c>
      <c r="N1316" s="16">
        <v>218</v>
      </c>
      <c r="O1316">
        <v>2</v>
      </c>
      <c r="P1316">
        <v>0</v>
      </c>
      <c r="Q1316" s="20">
        <v>0</v>
      </c>
      <c r="R1316" s="21">
        <v>7.5694444444444439E-2</v>
      </c>
    </row>
    <row r="1317" spans="1:18">
      <c r="A1317" t="s">
        <v>1910</v>
      </c>
      <c r="B1317" t="s">
        <v>74</v>
      </c>
      <c r="C1317" t="s">
        <v>104</v>
      </c>
      <c r="D1317">
        <v>2</v>
      </c>
      <c r="E1317" t="s">
        <v>132</v>
      </c>
      <c r="F1317" t="s">
        <v>145</v>
      </c>
      <c r="G1317" t="s">
        <v>146</v>
      </c>
      <c r="H1317" s="16">
        <v>3253</v>
      </c>
      <c r="I1317" s="16">
        <v>1607</v>
      </c>
      <c r="J1317" s="16">
        <v>1401</v>
      </c>
      <c r="K1317" s="16">
        <v>372</v>
      </c>
      <c r="L1317" s="16">
        <v>0</v>
      </c>
      <c r="M1317" s="16">
        <v>2880</v>
      </c>
      <c r="N1317" s="16">
        <v>-115</v>
      </c>
      <c r="O1317">
        <v>0</v>
      </c>
      <c r="P1317">
        <v>0</v>
      </c>
      <c r="Q1317" s="20">
        <v>0.49400553335382724</v>
      </c>
      <c r="R1317" s="21">
        <v>-3.9930555555555552E-2</v>
      </c>
    </row>
    <row r="1318" spans="1:18">
      <c r="A1318" t="s">
        <v>1911</v>
      </c>
      <c r="B1318" t="s">
        <v>86</v>
      </c>
      <c r="C1318" t="s">
        <v>101</v>
      </c>
      <c r="D1318">
        <v>2</v>
      </c>
      <c r="E1318" t="s">
        <v>132</v>
      </c>
      <c r="F1318" t="s">
        <v>145</v>
      </c>
      <c r="G1318" t="s">
        <v>146</v>
      </c>
      <c r="H1318" s="16">
        <v>3179</v>
      </c>
      <c r="I1318" s="16">
        <v>0</v>
      </c>
      <c r="J1318" s="16">
        <v>2485</v>
      </c>
      <c r="K1318" s="16">
        <v>465</v>
      </c>
      <c r="L1318" s="16">
        <v>0</v>
      </c>
      <c r="M1318" s="16">
        <v>2714</v>
      </c>
      <c r="N1318" s="16">
        <v>-74</v>
      </c>
      <c r="O1318">
        <v>2</v>
      </c>
      <c r="P1318">
        <v>0</v>
      </c>
      <c r="Q1318" s="20">
        <v>0</v>
      </c>
      <c r="R1318" s="21">
        <v>-2.7266028002947678E-2</v>
      </c>
    </row>
    <row r="1319" spans="1:18">
      <c r="A1319" t="s">
        <v>1912</v>
      </c>
      <c r="B1319" t="s">
        <v>74</v>
      </c>
      <c r="C1319" t="s">
        <v>104</v>
      </c>
      <c r="D1319">
        <v>2</v>
      </c>
      <c r="E1319" t="s">
        <v>132</v>
      </c>
      <c r="F1319" t="s">
        <v>197</v>
      </c>
      <c r="G1319" t="s">
        <v>198</v>
      </c>
      <c r="H1319" s="16">
        <v>3147</v>
      </c>
      <c r="I1319" s="16">
        <v>884</v>
      </c>
      <c r="J1319" s="16">
        <v>2257</v>
      </c>
      <c r="K1319" s="16">
        <v>64</v>
      </c>
      <c r="L1319" s="16">
        <v>0</v>
      </c>
      <c r="M1319" s="16">
        <v>3083</v>
      </c>
      <c r="N1319" s="16">
        <v>111</v>
      </c>
      <c r="O1319">
        <v>0</v>
      </c>
      <c r="P1319">
        <v>0</v>
      </c>
      <c r="Q1319" s="20">
        <v>0.28090244677470605</v>
      </c>
      <c r="R1319" s="21">
        <v>3.6003892312682452E-2</v>
      </c>
    </row>
    <row r="1320" spans="1:18">
      <c r="A1320" t="s">
        <v>1913</v>
      </c>
      <c r="B1320" t="s">
        <v>74</v>
      </c>
      <c r="C1320" t="s">
        <v>104</v>
      </c>
      <c r="D1320">
        <v>2</v>
      </c>
      <c r="E1320" t="s">
        <v>132</v>
      </c>
      <c r="F1320" t="s">
        <v>431</v>
      </c>
      <c r="G1320" t="s">
        <v>169</v>
      </c>
      <c r="H1320" s="16">
        <v>3128</v>
      </c>
      <c r="I1320" s="16">
        <v>1516</v>
      </c>
      <c r="J1320" s="16">
        <v>86</v>
      </c>
      <c r="K1320" s="16">
        <v>416</v>
      </c>
      <c r="L1320" s="16">
        <v>285</v>
      </c>
      <c r="M1320" s="16">
        <v>2712</v>
      </c>
      <c r="N1320" s="16">
        <v>-133</v>
      </c>
      <c r="O1320">
        <v>0</v>
      </c>
      <c r="P1320">
        <v>0</v>
      </c>
      <c r="Q1320" s="20">
        <v>0.48465473145780052</v>
      </c>
      <c r="R1320" s="21">
        <v>-4.9041297935103242E-2</v>
      </c>
    </row>
    <row r="1321" spans="1:18">
      <c r="A1321" t="s">
        <v>1914</v>
      </c>
      <c r="B1321" t="s">
        <v>86</v>
      </c>
      <c r="C1321" t="s">
        <v>104</v>
      </c>
      <c r="D1321">
        <v>2</v>
      </c>
      <c r="E1321" t="s">
        <v>132</v>
      </c>
      <c r="F1321" t="s">
        <v>210</v>
      </c>
      <c r="G1321" t="s">
        <v>211</v>
      </c>
      <c r="H1321" s="16">
        <v>3122</v>
      </c>
      <c r="I1321" s="16">
        <v>0</v>
      </c>
      <c r="J1321" s="16">
        <v>1247</v>
      </c>
      <c r="K1321" s="16">
        <v>668</v>
      </c>
      <c r="L1321" s="16">
        <v>0</v>
      </c>
      <c r="M1321" s="16">
        <v>2454</v>
      </c>
      <c r="N1321" s="16">
        <v>164</v>
      </c>
      <c r="O1321">
        <v>3</v>
      </c>
      <c r="P1321">
        <v>0</v>
      </c>
      <c r="Q1321" s="20">
        <v>0</v>
      </c>
      <c r="R1321" s="21">
        <v>6.6829665851670744E-2</v>
      </c>
    </row>
    <row r="1322" spans="1:18">
      <c r="A1322" t="s">
        <v>1915</v>
      </c>
      <c r="B1322" t="s">
        <v>74</v>
      </c>
      <c r="C1322" t="s">
        <v>104</v>
      </c>
      <c r="D1322">
        <v>2</v>
      </c>
      <c r="E1322" t="s">
        <v>132</v>
      </c>
      <c r="F1322" t="s">
        <v>145</v>
      </c>
      <c r="G1322" t="s">
        <v>146</v>
      </c>
      <c r="H1322" s="16">
        <v>3104</v>
      </c>
      <c r="I1322" s="16">
        <v>952</v>
      </c>
      <c r="J1322" s="16">
        <v>1692</v>
      </c>
      <c r="K1322" s="16">
        <v>154</v>
      </c>
      <c r="L1322" s="16">
        <v>0</v>
      </c>
      <c r="M1322" s="16">
        <v>2950</v>
      </c>
      <c r="N1322" s="16">
        <v>74</v>
      </c>
      <c r="O1322">
        <v>0</v>
      </c>
      <c r="P1322">
        <v>0</v>
      </c>
      <c r="Q1322" s="20">
        <v>0.30670103092783507</v>
      </c>
      <c r="R1322" s="21">
        <v>2.5084745762711864E-2</v>
      </c>
    </row>
    <row r="1323" spans="1:18">
      <c r="A1323" t="s">
        <v>1916</v>
      </c>
      <c r="B1323" t="s">
        <v>89</v>
      </c>
      <c r="C1323" t="s">
        <v>162</v>
      </c>
      <c r="D1323">
        <v>2</v>
      </c>
      <c r="E1323" t="s">
        <v>132</v>
      </c>
      <c r="F1323" t="s">
        <v>133</v>
      </c>
      <c r="G1323" t="s">
        <v>134</v>
      </c>
      <c r="H1323" s="16">
        <v>3098</v>
      </c>
      <c r="I1323" s="16">
        <v>0</v>
      </c>
      <c r="J1323" s="16">
        <v>2934</v>
      </c>
      <c r="K1323" s="16">
        <v>32</v>
      </c>
      <c r="L1323" s="16">
        <v>0</v>
      </c>
      <c r="M1323" s="16">
        <v>3066</v>
      </c>
      <c r="N1323" s="16">
        <v>-28</v>
      </c>
      <c r="O1323">
        <v>1</v>
      </c>
      <c r="P1323">
        <v>0</v>
      </c>
      <c r="Q1323" s="20">
        <v>0</v>
      </c>
      <c r="R1323" s="21">
        <v>-9.1324200913242004E-3</v>
      </c>
    </row>
    <row r="1324" spans="1:18">
      <c r="A1324" t="s">
        <v>1917</v>
      </c>
      <c r="B1324" t="s">
        <v>83</v>
      </c>
      <c r="C1324" t="s">
        <v>104</v>
      </c>
      <c r="D1324">
        <v>2</v>
      </c>
      <c r="E1324" t="s">
        <v>132</v>
      </c>
      <c r="F1324" t="s">
        <v>172</v>
      </c>
      <c r="G1324" t="s">
        <v>173</v>
      </c>
      <c r="H1324" s="16">
        <v>3054</v>
      </c>
      <c r="I1324" s="16">
        <v>576</v>
      </c>
      <c r="J1324" s="16">
        <v>34</v>
      </c>
      <c r="K1324" s="16">
        <v>40</v>
      </c>
      <c r="L1324" s="16">
        <v>0</v>
      </c>
      <c r="M1324" s="16">
        <v>3013</v>
      </c>
      <c r="N1324" s="16">
        <v>98</v>
      </c>
      <c r="O1324">
        <v>2</v>
      </c>
      <c r="P1324">
        <v>0</v>
      </c>
      <c r="Q1324" s="20">
        <v>0.18860510805500982</v>
      </c>
      <c r="R1324" s="21">
        <v>3.2525721871888486E-2</v>
      </c>
    </row>
    <row r="1325" spans="1:18">
      <c r="A1325" t="s">
        <v>1918</v>
      </c>
      <c r="B1325" t="s">
        <v>83</v>
      </c>
      <c r="C1325" t="s">
        <v>104</v>
      </c>
      <c r="D1325">
        <v>2</v>
      </c>
      <c r="E1325" t="s">
        <v>132</v>
      </c>
      <c r="F1325" t="s">
        <v>1919</v>
      </c>
      <c r="G1325" t="s">
        <v>211</v>
      </c>
      <c r="H1325" s="16">
        <v>3038</v>
      </c>
      <c r="I1325" s="16">
        <v>2901</v>
      </c>
      <c r="J1325" s="16">
        <v>0</v>
      </c>
      <c r="K1325" s="16">
        <v>37</v>
      </c>
      <c r="L1325" s="16">
        <v>0</v>
      </c>
      <c r="M1325" s="16">
        <v>3001</v>
      </c>
      <c r="N1325" s="16">
        <v>-33</v>
      </c>
      <c r="O1325">
        <v>2</v>
      </c>
      <c r="P1325">
        <v>0</v>
      </c>
      <c r="Q1325" s="20">
        <v>0.95490454246214618</v>
      </c>
      <c r="R1325" s="21">
        <v>-1.0996334555148283E-2</v>
      </c>
    </row>
    <row r="1326" spans="1:18">
      <c r="A1326" t="s">
        <v>1920</v>
      </c>
      <c r="B1326" t="s">
        <v>74</v>
      </c>
      <c r="C1326" t="s">
        <v>104</v>
      </c>
      <c r="D1326">
        <v>2</v>
      </c>
      <c r="E1326" t="s">
        <v>132</v>
      </c>
      <c r="F1326" t="s">
        <v>1921</v>
      </c>
      <c r="G1326" t="s">
        <v>146</v>
      </c>
      <c r="H1326" s="16">
        <v>3028</v>
      </c>
      <c r="I1326" s="16">
        <v>1215</v>
      </c>
      <c r="J1326" s="16">
        <v>1476</v>
      </c>
      <c r="K1326" s="16">
        <v>268</v>
      </c>
      <c r="L1326" s="16">
        <v>0</v>
      </c>
      <c r="M1326" s="16">
        <v>2760</v>
      </c>
      <c r="N1326" s="16">
        <v>109</v>
      </c>
      <c r="O1326">
        <v>0</v>
      </c>
      <c r="P1326">
        <v>0</v>
      </c>
      <c r="Q1326" s="20">
        <v>0.40125495376486131</v>
      </c>
      <c r="R1326" s="21">
        <v>3.9492753623188409E-2</v>
      </c>
    </row>
    <row r="1327" spans="1:18">
      <c r="A1327" t="s">
        <v>1922</v>
      </c>
      <c r="B1327" t="s">
        <v>83</v>
      </c>
      <c r="C1327" t="s">
        <v>104</v>
      </c>
      <c r="D1327">
        <v>2</v>
      </c>
      <c r="E1327" t="s">
        <v>132</v>
      </c>
      <c r="F1327" t="s">
        <v>276</v>
      </c>
      <c r="G1327" t="s">
        <v>211</v>
      </c>
      <c r="H1327" s="16">
        <v>2985</v>
      </c>
      <c r="I1327" s="16">
        <v>1058</v>
      </c>
      <c r="J1327" s="16">
        <v>0</v>
      </c>
      <c r="K1327" s="16">
        <v>276</v>
      </c>
      <c r="L1327" s="16">
        <v>0</v>
      </c>
      <c r="M1327" s="16">
        <v>2708</v>
      </c>
      <c r="N1327" s="16">
        <v>7</v>
      </c>
      <c r="O1327">
        <v>2</v>
      </c>
      <c r="P1327">
        <v>0</v>
      </c>
      <c r="Q1327" s="20">
        <v>0.35443886097152427</v>
      </c>
      <c r="R1327" s="21">
        <v>2.5849335302806499E-3</v>
      </c>
    </row>
    <row r="1328" spans="1:18">
      <c r="A1328" t="s">
        <v>1923</v>
      </c>
      <c r="B1328" t="s">
        <v>86</v>
      </c>
      <c r="C1328" t="s">
        <v>104</v>
      </c>
      <c r="D1328">
        <v>3</v>
      </c>
      <c r="E1328" t="s">
        <v>143</v>
      </c>
      <c r="F1328" t="s">
        <v>133</v>
      </c>
      <c r="G1328" t="s">
        <v>134</v>
      </c>
      <c r="H1328" s="16">
        <v>2934</v>
      </c>
      <c r="I1328" s="16">
        <v>0</v>
      </c>
      <c r="J1328" s="16">
        <v>2557</v>
      </c>
      <c r="K1328" s="16">
        <v>131</v>
      </c>
      <c r="L1328" s="16">
        <v>0</v>
      </c>
      <c r="M1328" s="16">
        <v>2804</v>
      </c>
      <c r="N1328" s="16">
        <v>-543</v>
      </c>
      <c r="O1328">
        <v>2</v>
      </c>
      <c r="P1328">
        <v>0</v>
      </c>
      <c r="Q1328" s="20">
        <v>0</v>
      </c>
      <c r="R1328" s="21">
        <v>-0.19365192582025678</v>
      </c>
    </row>
    <row r="1329" spans="1:18">
      <c r="A1329" t="s">
        <v>1924</v>
      </c>
      <c r="B1329" t="s">
        <v>83</v>
      </c>
      <c r="C1329" t="s">
        <v>104</v>
      </c>
      <c r="D1329">
        <v>2</v>
      </c>
      <c r="E1329" t="s">
        <v>132</v>
      </c>
      <c r="F1329" t="s">
        <v>411</v>
      </c>
      <c r="G1329" t="s">
        <v>134</v>
      </c>
      <c r="H1329" s="16">
        <v>2877</v>
      </c>
      <c r="I1329" s="16">
        <v>60</v>
      </c>
      <c r="J1329" s="16">
        <v>0</v>
      </c>
      <c r="K1329" s="16">
        <v>1840</v>
      </c>
      <c r="L1329" s="16">
        <v>0</v>
      </c>
      <c r="M1329" s="16">
        <v>1036</v>
      </c>
      <c r="N1329" s="16">
        <v>31</v>
      </c>
      <c r="O1329">
        <v>2</v>
      </c>
      <c r="P1329">
        <v>0</v>
      </c>
      <c r="Q1329" s="20">
        <v>2.0855057351407715E-2</v>
      </c>
      <c r="R1329" s="21">
        <v>2.9922779922779922E-2</v>
      </c>
    </row>
    <row r="1330" spans="1:18">
      <c r="A1330" t="s">
        <v>1925</v>
      </c>
      <c r="B1330" t="s">
        <v>74</v>
      </c>
      <c r="C1330" t="s">
        <v>104</v>
      </c>
      <c r="D1330">
        <v>2</v>
      </c>
      <c r="E1330" t="s">
        <v>132</v>
      </c>
      <c r="F1330" t="s">
        <v>152</v>
      </c>
      <c r="G1330" t="s">
        <v>153</v>
      </c>
      <c r="H1330" s="16">
        <v>2796</v>
      </c>
      <c r="I1330" s="16">
        <v>68</v>
      </c>
      <c r="J1330" s="16">
        <v>0</v>
      </c>
      <c r="K1330" s="16">
        <v>279</v>
      </c>
      <c r="L1330" s="16">
        <v>0</v>
      </c>
      <c r="M1330" s="16">
        <v>2517</v>
      </c>
      <c r="N1330" s="16">
        <v>-15</v>
      </c>
      <c r="O1330">
        <v>0</v>
      </c>
      <c r="P1330">
        <v>0</v>
      </c>
      <c r="Q1330" s="20">
        <v>2.4320457796852647E-2</v>
      </c>
      <c r="R1330" s="21">
        <v>-5.9594755661501785E-3</v>
      </c>
    </row>
    <row r="1331" spans="1:18">
      <c r="A1331" t="s">
        <v>1926</v>
      </c>
      <c r="B1331" t="s">
        <v>74</v>
      </c>
      <c r="C1331" t="s">
        <v>104</v>
      </c>
      <c r="D1331">
        <v>2</v>
      </c>
      <c r="E1331" t="s">
        <v>132</v>
      </c>
      <c r="F1331" t="s">
        <v>145</v>
      </c>
      <c r="G1331" t="s">
        <v>146</v>
      </c>
      <c r="H1331" s="16">
        <v>2734</v>
      </c>
      <c r="I1331" s="16">
        <v>1248</v>
      </c>
      <c r="J1331" s="16">
        <v>776</v>
      </c>
      <c r="K1331" s="16">
        <v>65</v>
      </c>
      <c r="L1331" s="16">
        <v>0</v>
      </c>
      <c r="M1331" s="16">
        <v>2669</v>
      </c>
      <c r="N1331" s="16">
        <v>54</v>
      </c>
      <c r="O1331">
        <v>0</v>
      </c>
      <c r="P1331">
        <v>0</v>
      </c>
      <c r="Q1331" s="20">
        <v>0.45647403072421361</v>
      </c>
      <c r="R1331" s="21">
        <v>2.0232296740352193E-2</v>
      </c>
    </row>
    <row r="1332" spans="1:18">
      <c r="A1332" t="s">
        <v>1927</v>
      </c>
      <c r="B1332" t="s">
        <v>86</v>
      </c>
      <c r="C1332" t="s">
        <v>104</v>
      </c>
      <c r="D1332">
        <v>2</v>
      </c>
      <c r="E1332" t="s">
        <v>132</v>
      </c>
      <c r="F1332" t="s">
        <v>133</v>
      </c>
      <c r="G1332" t="s">
        <v>134</v>
      </c>
      <c r="H1332" s="16">
        <v>2709</v>
      </c>
      <c r="I1332" s="16">
        <v>0</v>
      </c>
      <c r="J1332" s="16">
        <v>1775</v>
      </c>
      <c r="K1332" s="16">
        <v>56</v>
      </c>
      <c r="L1332" s="16">
        <v>0</v>
      </c>
      <c r="M1332" s="16">
        <v>2653</v>
      </c>
      <c r="N1332" s="16">
        <v>-97</v>
      </c>
      <c r="O1332">
        <v>3</v>
      </c>
      <c r="P1332">
        <v>0</v>
      </c>
      <c r="Q1332" s="20">
        <v>0</v>
      </c>
      <c r="R1332" s="21">
        <v>-3.6562382208820202E-2</v>
      </c>
    </row>
    <row r="1333" spans="1:18">
      <c r="A1333" t="s">
        <v>1928</v>
      </c>
      <c r="B1333" t="s">
        <v>86</v>
      </c>
      <c r="C1333" t="s">
        <v>104</v>
      </c>
      <c r="D1333">
        <v>2</v>
      </c>
      <c r="E1333" t="s">
        <v>132</v>
      </c>
      <c r="F1333" t="s">
        <v>152</v>
      </c>
      <c r="G1333" t="s">
        <v>153</v>
      </c>
      <c r="H1333" s="16">
        <v>2665</v>
      </c>
      <c r="I1333" s="16">
        <v>0</v>
      </c>
      <c r="J1333" s="16">
        <v>0</v>
      </c>
      <c r="K1333" s="16">
        <v>325</v>
      </c>
      <c r="L1333" s="16">
        <v>0</v>
      </c>
      <c r="M1333" s="16">
        <v>2340</v>
      </c>
      <c r="N1333" s="16">
        <v>17</v>
      </c>
      <c r="O1333">
        <v>2</v>
      </c>
      <c r="P1333">
        <v>0</v>
      </c>
      <c r="Q1333" s="20">
        <v>0</v>
      </c>
      <c r="R1333" s="21">
        <v>7.2649572649572652E-3</v>
      </c>
    </row>
    <row r="1334" spans="1:18">
      <c r="A1334" t="s">
        <v>1929</v>
      </c>
      <c r="B1334" t="s">
        <v>74</v>
      </c>
      <c r="C1334" t="s">
        <v>104</v>
      </c>
      <c r="D1334">
        <v>2</v>
      </c>
      <c r="E1334" t="s">
        <v>132</v>
      </c>
      <c r="F1334" t="s">
        <v>1225</v>
      </c>
      <c r="G1334" t="s">
        <v>134</v>
      </c>
      <c r="H1334" s="16">
        <v>2662</v>
      </c>
      <c r="I1334" s="16">
        <v>1495</v>
      </c>
      <c r="J1334" s="16">
        <v>893</v>
      </c>
      <c r="K1334" s="16">
        <v>413</v>
      </c>
      <c r="L1334" s="16">
        <v>0</v>
      </c>
      <c r="M1334" s="16">
        <v>2250</v>
      </c>
      <c r="N1334" s="16">
        <v>-127</v>
      </c>
      <c r="O1334">
        <v>0</v>
      </c>
      <c r="P1334">
        <v>0</v>
      </c>
      <c r="Q1334" s="20">
        <v>0.56160781367392942</v>
      </c>
      <c r="R1334" s="21">
        <v>-5.6444444444444443E-2</v>
      </c>
    </row>
    <row r="1335" spans="1:18">
      <c r="A1335" t="s">
        <v>1930</v>
      </c>
      <c r="B1335" t="s">
        <v>86</v>
      </c>
      <c r="C1335" t="s">
        <v>101</v>
      </c>
      <c r="D1335">
        <v>2</v>
      </c>
      <c r="E1335" t="s">
        <v>132</v>
      </c>
      <c r="F1335" t="s">
        <v>1931</v>
      </c>
      <c r="G1335" t="s">
        <v>206</v>
      </c>
      <c r="H1335" s="16">
        <v>2658</v>
      </c>
      <c r="I1335" s="16">
        <v>0</v>
      </c>
      <c r="J1335" s="16">
        <v>2299</v>
      </c>
      <c r="K1335" s="16">
        <v>347</v>
      </c>
      <c r="L1335" s="16">
        <v>0</v>
      </c>
      <c r="M1335" s="16">
        <v>2312</v>
      </c>
      <c r="N1335" s="16">
        <v>12</v>
      </c>
      <c r="O1335">
        <v>2</v>
      </c>
      <c r="P1335">
        <v>0</v>
      </c>
      <c r="Q1335" s="20">
        <v>0</v>
      </c>
      <c r="R1335" s="21">
        <v>5.1903114186851208E-3</v>
      </c>
    </row>
    <row r="1336" spans="1:18">
      <c r="A1336" t="s">
        <v>1932</v>
      </c>
      <c r="B1336" t="s">
        <v>86</v>
      </c>
      <c r="C1336" t="s">
        <v>101</v>
      </c>
      <c r="D1336">
        <v>2</v>
      </c>
      <c r="E1336" t="s">
        <v>132</v>
      </c>
      <c r="F1336" t="s">
        <v>738</v>
      </c>
      <c r="G1336" t="s">
        <v>206</v>
      </c>
      <c r="H1336" s="16">
        <v>2599</v>
      </c>
      <c r="I1336" s="16">
        <v>0</v>
      </c>
      <c r="J1336" s="16">
        <v>0</v>
      </c>
      <c r="K1336" s="16">
        <v>720</v>
      </c>
      <c r="L1336" s="16">
        <v>0</v>
      </c>
      <c r="M1336" s="16">
        <v>1879</v>
      </c>
      <c r="N1336" s="16">
        <v>-324</v>
      </c>
      <c r="O1336">
        <v>4</v>
      </c>
      <c r="P1336">
        <v>0</v>
      </c>
      <c r="Q1336" s="20">
        <v>0</v>
      </c>
      <c r="R1336" s="21">
        <v>-0.17243214475784993</v>
      </c>
    </row>
    <row r="1337" spans="1:18">
      <c r="A1337" t="s">
        <v>1933</v>
      </c>
      <c r="B1337" t="s">
        <v>74</v>
      </c>
      <c r="C1337" t="s">
        <v>104</v>
      </c>
      <c r="D1337">
        <v>2</v>
      </c>
      <c r="E1337" t="s">
        <v>132</v>
      </c>
      <c r="F1337" t="s">
        <v>145</v>
      </c>
      <c r="G1337" t="s">
        <v>146</v>
      </c>
      <c r="H1337" s="16">
        <v>2565</v>
      </c>
      <c r="I1337" s="16">
        <v>1187</v>
      </c>
      <c r="J1337" s="16">
        <v>0</v>
      </c>
      <c r="K1337" s="16">
        <v>1128</v>
      </c>
      <c r="L1337" s="16">
        <v>0</v>
      </c>
      <c r="M1337" s="16">
        <v>1437</v>
      </c>
      <c r="N1337" s="16">
        <v>-27</v>
      </c>
      <c r="O1337">
        <v>0</v>
      </c>
      <c r="P1337">
        <v>1</v>
      </c>
      <c r="Q1337" s="20">
        <v>0.46276803118908383</v>
      </c>
      <c r="R1337" s="21">
        <v>-1.8789144050104383E-2</v>
      </c>
    </row>
    <row r="1338" spans="1:18">
      <c r="A1338" t="s">
        <v>1934</v>
      </c>
      <c r="B1338" t="s">
        <v>83</v>
      </c>
      <c r="C1338" t="s">
        <v>104</v>
      </c>
      <c r="D1338">
        <v>2</v>
      </c>
      <c r="E1338" t="s">
        <v>132</v>
      </c>
      <c r="F1338" t="s">
        <v>220</v>
      </c>
      <c r="G1338" t="s">
        <v>134</v>
      </c>
      <c r="H1338" s="16">
        <v>2514</v>
      </c>
      <c r="I1338" s="16">
        <v>132</v>
      </c>
      <c r="J1338" s="16">
        <v>0</v>
      </c>
      <c r="K1338" s="16">
        <v>750</v>
      </c>
      <c r="L1338" s="16">
        <v>0</v>
      </c>
      <c r="M1338" s="16">
        <v>1764</v>
      </c>
      <c r="N1338" s="16">
        <v>754</v>
      </c>
      <c r="O1338">
        <v>2</v>
      </c>
      <c r="P1338">
        <v>0</v>
      </c>
      <c r="Q1338" s="20">
        <v>5.2505966587112173E-2</v>
      </c>
      <c r="R1338" s="21">
        <v>0.42743764172335602</v>
      </c>
    </row>
    <row r="1339" spans="1:18">
      <c r="A1339" t="s">
        <v>1935</v>
      </c>
      <c r="B1339" t="s">
        <v>83</v>
      </c>
      <c r="C1339" t="s">
        <v>104</v>
      </c>
      <c r="D1339">
        <v>2</v>
      </c>
      <c r="E1339" t="s">
        <v>132</v>
      </c>
      <c r="F1339" t="s">
        <v>133</v>
      </c>
      <c r="G1339" t="s">
        <v>134</v>
      </c>
      <c r="H1339" s="16">
        <v>2514</v>
      </c>
      <c r="I1339" s="16">
        <v>0</v>
      </c>
      <c r="J1339" s="16">
        <v>0</v>
      </c>
      <c r="K1339" s="16">
        <v>87</v>
      </c>
      <c r="L1339" s="16">
        <v>0</v>
      </c>
      <c r="M1339" s="16">
        <v>2427</v>
      </c>
      <c r="N1339" s="16">
        <v>-1161</v>
      </c>
      <c r="O1339">
        <v>2</v>
      </c>
      <c r="P1339">
        <v>0</v>
      </c>
      <c r="Q1339" s="20">
        <v>0</v>
      </c>
      <c r="R1339" s="21">
        <v>-0.47836835599505562</v>
      </c>
    </row>
    <row r="1340" spans="1:18">
      <c r="A1340" t="s">
        <v>1936</v>
      </c>
      <c r="B1340" t="s">
        <v>86</v>
      </c>
      <c r="C1340" t="s">
        <v>104</v>
      </c>
      <c r="D1340">
        <v>2</v>
      </c>
      <c r="E1340" t="s">
        <v>132</v>
      </c>
      <c r="F1340" t="s">
        <v>172</v>
      </c>
      <c r="G1340" t="s">
        <v>173</v>
      </c>
      <c r="H1340" s="16">
        <v>2496</v>
      </c>
      <c r="I1340" s="16">
        <v>0</v>
      </c>
      <c r="J1340" s="16">
        <v>0</v>
      </c>
      <c r="K1340" s="16">
        <v>307</v>
      </c>
      <c r="L1340" s="16">
        <v>0</v>
      </c>
      <c r="M1340" s="16">
        <v>2190</v>
      </c>
      <c r="N1340" s="16">
        <v>-597</v>
      </c>
      <c r="O1340">
        <v>2</v>
      </c>
      <c r="P1340">
        <v>0</v>
      </c>
      <c r="Q1340" s="20">
        <v>0</v>
      </c>
      <c r="R1340" s="21">
        <v>-0.27260273972602739</v>
      </c>
    </row>
    <row r="1341" spans="1:18">
      <c r="A1341" t="s">
        <v>1937</v>
      </c>
      <c r="B1341" t="s">
        <v>89</v>
      </c>
      <c r="C1341" t="s">
        <v>162</v>
      </c>
      <c r="D1341">
        <v>3</v>
      </c>
      <c r="E1341" t="s">
        <v>143</v>
      </c>
      <c r="F1341" t="s">
        <v>133</v>
      </c>
      <c r="G1341" t="s">
        <v>134</v>
      </c>
      <c r="H1341" s="16">
        <v>2444</v>
      </c>
      <c r="I1341" s="16">
        <v>0</v>
      </c>
      <c r="J1341" s="16">
        <v>2308</v>
      </c>
      <c r="K1341" s="16">
        <v>64</v>
      </c>
      <c r="L1341" s="16">
        <v>0</v>
      </c>
      <c r="M1341" s="16">
        <v>2380</v>
      </c>
      <c r="N1341" s="16">
        <v>-1230</v>
      </c>
      <c r="O1341">
        <v>1</v>
      </c>
      <c r="P1341">
        <v>0</v>
      </c>
      <c r="Q1341" s="20">
        <v>0</v>
      </c>
      <c r="R1341" s="21">
        <v>-0.51680672268907568</v>
      </c>
    </row>
    <row r="1342" spans="1:18">
      <c r="A1342" t="s">
        <v>1938</v>
      </c>
      <c r="B1342" t="s">
        <v>83</v>
      </c>
      <c r="C1342" t="s">
        <v>104</v>
      </c>
      <c r="D1342">
        <v>2</v>
      </c>
      <c r="E1342" t="s">
        <v>132</v>
      </c>
      <c r="F1342" t="s">
        <v>1939</v>
      </c>
      <c r="G1342" t="s">
        <v>153</v>
      </c>
      <c r="H1342" s="16">
        <v>2399</v>
      </c>
      <c r="I1342" s="16">
        <v>2031</v>
      </c>
      <c r="J1342" s="16">
        <v>209</v>
      </c>
      <c r="K1342" s="16">
        <v>1042</v>
      </c>
      <c r="L1342" s="16">
        <v>798</v>
      </c>
      <c r="M1342" s="16">
        <v>1357</v>
      </c>
      <c r="N1342" s="16">
        <v>122</v>
      </c>
      <c r="O1342">
        <v>2</v>
      </c>
      <c r="P1342">
        <v>0</v>
      </c>
      <c r="Q1342" s="20">
        <v>0.84660275114631101</v>
      </c>
      <c r="R1342" s="21">
        <v>8.9904200442151805E-2</v>
      </c>
    </row>
    <row r="1343" spans="1:18">
      <c r="A1343" t="s">
        <v>1940</v>
      </c>
      <c r="B1343" t="s">
        <v>74</v>
      </c>
      <c r="C1343" t="s">
        <v>104</v>
      </c>
      <c r="D1343">
        <v>2</v>
      </c>
      <c r="E1343" t="s">
        <v>132</v>
      </c>
      <c r="F1343" t="s">
        <v>133</v>
      </c>
      <c r="G1343" t="s">
        <v>134</v>
      </c>
      <c r="H1343" s="16">
        <v>2397</v>
      </c>
      <c r="I1343" s="16">
        <v>1832</v>
      </c>
      <c r="J1343" s="16">
        <v>405</v>
      </c>
      <c r="K1343" s="16">
        <v>820</v>
      </c>
      <c r="L1343" s="16">
        <v>0</v>
      </c>
      <c r="M1343" s="16">
        <v>1577</v>
      </c>
      <c r="N1343" s="16">
        <v>16</v>
      </c>
      <c r="O1343">
        <v>0</v>
      </c>
      <c r="P1343">
        <v>0</v>
      </c>
      <c r="Q1343" s="20">
        <v>0.7642886942010847</v>
      </c>
      <c r="R1343" s="21">
        <v>1.0145846544071021E-2</v>
      </c>
    </row>
    <row r="1344" spans="1:18">
      <c r="A1344" t="s">
        <v>1941</v>
      </c>
      <c r="B1344" t="s">
        <v>89</v>
      </c>
      <c r="C1344" t="s">
        <v>162</v>
      </c>
      <c r="D1344">
        <v>2</v>
      </c>
      <c r="E1344" t="s">
        <v>132</v>
      </c>
      <c r="F1344" t="s">
        <v>133</v>
      </c>
      <c r="G1344" t="s">
        <v>134</v>
      </c>
      <c r="H1344" s="16">
        <v>2394</v>
      </c>
      <c r="I1344" s="16">
        <v>0</v>
      </c>
      <c r="J1344" s="16">
        <v>140</v>
      </c>
      <c r="K1344" s="16">
        <v>364</v>
      </c>
      <c r="L1344" s="16">
        <v>0</v>
      </c>
      <c r="M1344" s="16">
        <v>2031</v>
      </c>
      <c r="N1344" s="16">
        <v>1120</v>
      </c>
      <c r="O1344">
        <v>1</v>
      </c>
      <c r="P1344">
        <v>0</v>
      </c>
      <c r="Q1344" s="20">
        <v>0</v>
      </c>
      <c r="R1344" s="21">
        <v>0.55145248645987199</v>
      </c>
    </row>
    <row r="1345" spans="1:18">
      <c r="A1345" t="s">
        <v>1942</v>
      </c>
      <c r="B1345" t="s">
        <v>83</v>
      </c>
      <c r="C1345" t="s">
        <v>104</v>
      </c>
      <c r="D1345">
        <v>2</v>
      </c>
      <c r="E1345" t="s">
        <v>132</v>
      </c>
      <c r="F1345" t="s">
        <v>172</v>
      </c>
      <c r="G1345" t="s">
        <v>173</v>
      </c>
      <c r="H1345" s="16">
        <v>2243</v>
      </c>
      <c r="I1345" s="16">
        <v>748</v>
      </c>
      <c r="J1345" s="16">
        <v>1088</v>
      </c>
      <c r="K1345" s="16">
        <v>841</v>
      </c>
      <c r="L1345" s="16">
        <v>0</v>
      </c>
      <c r="M1345" s="16">
        <v>1402</v>
      </c>
      <c r="N1345" s="16">
        <v>237</v>
      </c>
      <c r="O1345">
        <v>2</v>
      </c>
      <c r="P1345">
        <v>0</v>
      </c>
      <c r="Q1345" s="20">
        <v>0.33348194382523405</v>
      </c>
      <c r="R1345" s="21">
        <v>0.16904422253922968</v>
      </c>
    </row>
    <row r="1346" spans="1:18">
      <c r="A1346" t="s">
        <v>1943</v>
      </c>
      <c r="B1346" t="s">
        <v>74</v>
      </c>
      <c r="C1346" t="s">
        <v>104</v>
      </c>
      <c r="D1346">
        <v>2</v>
      </c>
      <c r="E1346" t="s">
        <v>132</v>
      </c>
      <c r="F1346" t="s">
        <v>145</v>
      </c>
      <c r="G1346" t="s">
        <v>146</v>
      </c>
      <c r="H1346" s="16">
        <v>2199</v>
      </c>
      <c r="I1346" s="16">
        <v>1122</v>
      </c>
      <c r="J1346" s="16">
        <v>0</v>
      </c>
      <c r="K1346" s="16">
        <v>116</v>
      </c>
      <c r="L1346" s="16">
        <v>0</v>
      </c>
      <c r="M1346" s="16">
        <v>2083</v>
      </c>
      <c r="N1346" s="16">
        <v>11</v>
      </c>
      <c r="O1346">
        <v>0</v>
      </c>
      <c r="P1346">
        <v>0</v>
      </c>
      <c r="Q1346" s="20">
        <v>0.51023192360163716</v>
      </c>
      <c r="R1346" s="21">
        <v>5.2808449351896304E-3</v>
      </c>
    </row>
    <row r="1347" spans="1:18">
      <c r="A1347" t="s">
        <v>1944</v>
      </c>
      <c r="B1347" t="s">
        <v>74</v>
      </c>
      <c r="C1347" t="s">
        <v>104</v>
      </c>
      <c r="D1347">
        <v>2</v>
      </c>
      <c r="E1347" t="s">
        <v>132</v>
      </c>
      <c r="F1347" t="s">
        <v>133</v>
      </c>
      <c r="G1347" t="s">
        <v>134</v>
      </c>
      <c r="H1347" s="16">
        <v>2163</v>
      </c>
      <c r="I1347" s="16">
        <v>962</v>
      </c>
      <c r="J1347" s="16">
        <v>1102</v>
      </c>
      <c r="K1347" s="16">
        <v>1408</v>
      </c>
      <c r="L1347" s="16">
        <v>1253</v>
      </c>
      <c r="M1347" s="16">
        <v>755</v>
      </c>
      <c r="N1347" s="16">
        <v>-60</v>
      </c>
      <c r="O1347">
        <v>0</v>
      </c>
      <c r="P1347">
        <v>1</v>
      </c>
      <c r="Q1347" s="20">
        <v>0.44475265834489136</v>
      </c>
      <c r="R1347" s="21">
        <v>-7.9470198675496692E-2</v>
      </c>
    </row>
    <row r="1348" spans="1:18">
      <c r="A1348" t="s">
        <v>1945</v>
      </c>
      <c r="B1348" t="s">
        <v>74</v>
      </c>
      <c r="C1348" t="s">
        <v>104</v>
      </c>
      <c r="D1348">
        <v>2</v>
      </c>
      <c r="E1348" t="s">
        <v>132</v>
      </c>
      <c r="F1348" t="s">
        <v>133</v>
      </c>
      <c r="G1348" t="s">
        <v>134</v>
      </c>
      <c r="H1348" s="16">
        <v>2144</v>
      </c>
      <c r="I1348" s="16">
        <v>1711</v>
      </c>
      <c r="J1348" s="16">
        <v>0</v>
      </c>
      <c r="K1348" s="16">
        <v>211</v>
      </c>
      <c r="L1348" s="16">
        <v>0</v>
      </c>
      <c r="M1348" s="16">
        <v>1933</v>
      </c>
      <c r="N1348" s="16">
        <v>4</v>
      </c>
      <c r="O1348">
        <v>0</v>
      </c>
      <c r="P1348">
        <v>0</v>
      </c>
      <c r="Q1348" s="20">
        <v>0.79804104477611937</v>
      </c>
      <c r="R1348" s="21">
        <v>2.0693222969477496E-3</v>
      </c>
    </row>
    <row r="1349" spans="1:18">
      <c r="A1349" t="s">
        <v>1946</v>
      </c>
      <c r="B1349" t="s">
        <v>86</v>
      </c>
      <c r="C1349" t="s">
        <v>101</v>
      </c>
      <c r="D1349">
        <v>2</v>
      </c>
      <c r="E1349" t="s">
        <v>132</v>
      </c>
      <c r="F1349" t="s">
        <v>210</v>
      </c>
      <c r="G1349" t="s">
        <v>211</v>
      </c>
      <c r="H1349" s="16">
        <v>2134</v>
      </c>
      <c r="I1349" s="16">
        <v>0</v>
      </c>
      <c r="J1349" s="16">
        <v>0</v>
      </c>
      <c r="K1349" s="16">
        <v>1491</v>
      </c>
      <c r="L1349" s="16">
        <v>0</v>
      </c>
      <c r="M1349" s="16">
        <v>644</v>
      </c>
      <c r="N1349" s="16">
        <v>-389</v>
      </c>
      <c r="O1349">
        <v>2</v>
      </c>
      <c r="P1349">
        <v>0</v>
      </c>
      <c r="Q1349" s="20">
        <v>0</v>
      </c>
      <c r="R1349" s="21">
        <v>-0.60403726708074534</v>
      </c>
    </row>
    <row r="1350" spans="1:18">
      <c r="A1350" t="s">
        <v>1947</v>
      </c>
      <c r="B1350" t="s">
        <v>74</v>
      </c>
      <c r="C1350" t="s">
        <v>104</v>
      </c>
      <c r="D1350">
        <v>2</v>
      </c>
      <c r="E1350" t="s">
        <v>132</v>
      </c>
      <c r="F1350" t="s">
        <v>1308</v>
      </c>
      <c r="G1350" t="s">
        <v>169</v>
      </c>
      <c r="H1350" s="16">
        <v>2116</v>
      </c>
      <c r="I1350" s="16">
        <v>1575</v>
      </c>
      <c r="J1350" s="16">
        <v>478</v>
      </c>
      <c r="K1350" s="16">
        <v>155</v>
      </c>
      <c r="L1350" s="16">
        <v>0</v>
      </c>
      <c r="M1350" s="16">
        <v>1961</v>
      </c>
      <c r="N1350" s="16">
        <v>115</v>
      </c>
      <c r="O1350">
        <v>0</v>
      </c>
      <c r="P1350">
        <v>0</v>
      </c>
      <c r="Q1350" s="20">
        <v>0.74432892249527405</v>
      </c>
      <c r="R1350" s="21">
        <v>5.8643549209586948E-2</v>
      </c>
    </row>
    <row r="1351" spans="1:18">
      <c r="A1351" t="s">
        <v>1948</v>
      </c>
      <c r="B1351" t="s">
        <v>83</v>
      </c>
      <c r="C1351" t="s">
        <v>104</v>
      </c>
      <c r="D1351">
        <v>2</v>
      </c>
      <c r="E1351" t="s">
        <v>132</v>
      </c>
      <c r="F1351" t="s">
        <v>133</v>
      </c>
      <c r="G1351" t="s">
        <v>134</v>
      </c>
      <c r="H1351" s="16">
        <v>2075</v>
      </c>
      <c r="I1351" s="16">
        <v>0</v>
      </c>
      <c r="J1351" s="16">
        <v>2049</v>
      </c>
      <c r="K1351" s="16">
        <v>461</v>
      </c>
      <c r="L1351" s="16">
        <v>0</v>
      </c>
      <c r="M1351" s="16">
        <v>1614</v>
      </c>
      <c r="N1351" s="16">
        <v>108</v>
      </c>
      <c r="O1351">
        <v>2</v>
      </c>
      <c r="P1351">
        <v>0</v>
      </c>
      <c r="Q1351" s="20">
        <v>0</v>
      </c>
      <c r="R1351" s="21">
        <v>6.6914498141263934E-2</v>
      </c>
    </row>
    <row r="1352" spans="1:18">
      <c r="A1352" t="s">
        <v>1949</v>
      </c>
      <c r="B1352" t="s">
        <v>86</v>
      </c>
      <c r="C1352" t="s">
        <v>104</v>
      </c>
      <c r="D1352">
        <v>2</v>
      </c>
      <c r="E1352" t="s">
        <v>132</v>
      </c>
      <c r="F1352" t="s">
        <v>145</v>
      </c>
      <c r="G1352" t="s">
        <v>146</v>
      </c>
      <c r="H1352" s="16">
        <v>2029</v>
      </c>
      <c r="I1352" s="16">
        <v>0</v>
      </c>
      <c r="J1352" s="16">
        <v>1663</v>
      </c>
      <c r="K1352" s="16">
        <v>951</v>
      </c>
      <c r="L1352" s="16">
        <v>0</v>
      </c>
      <c r="M1352" s="16">
        <v>1078</v>
      </c>
      <c r="N1352" s="16">
        <v>473</v>
      </c>
      <c r="O1352">
        <v>3</v>
      </c>
      <c r="P1352">
        <v>0</v>
      </c>
      <c r="Q1352" s="20">
        <v>0</v>
      </c>
      <c r="R1352" s="21">
        <v>0.43877551020408162</v>
      </c>
    </row>
    <row r="1353" spans="1:18">
      <c r="A1353" t="s">
        <v>1950</v>
      </c>
      <c r="B1353" t="s">
        <v>74</v>
      </c>
      <c r="C1353" t="s">
        <v>104</v>
      </c>
      <c r="D1353">
        <v>2</v>
      </c>
      <c r="E1353" t="s">
        <v>132</v>
      </c>
      <c r="F1353" t="s">
        <v>1518</v>
      </c>
      <c r="G1353" t="s">
        <v>153</v>
      </c>
      <c r="H1353" s="16">
        <v>1975</v>
      </c>
      <c r="I1353" s="16">
        <v>1359</v>
      </c>
      <c r="J1353" s="16">
        <v>504</v>
      </c>
      <c r="K1353" s="16">
        <v>387</v>
      </c>
      <c r="L1353" s="16">
        <v>325</v>
      </c>
      <c r="M1353" s="16">
        <v>1589</v>
      </c>
      <c r="N1353" s="16">
        <v>37</v>
      </c>
      <c r="O1353">
        <v>0</v>
      </c>
      <c r="P1353">
        <v>0</v>
      </c>
      <c r="Q1353" s="20">
        <v>0.68810126582278486</v>
      </c>
      <c r="R1353" s="21">
        <v>2.3285084959093771E-2</v>
      </c>
    </row>
    <row r="1354" spans="1:18">
      <c r="A1354" t="s">
        <v>1951</v>
      </c>
      <c r="B1354" t="s">
        <v>83</v>
      </c>
      <c r="C1354" t="s">
        <v>104</v>
      </c>
      <c r="D1354">
        <v>2</v>
      </c>
      <c r="E1354" t="s">
        <v>132</v>
      </c>
      <c r="F1354" t="s">
        <v>291</v>
      </c>
      <c r="G1354" t="s">
        <v>292</v>
      </c>
      <c r="H1354" s="16">
        <v>1949</v>
      </c>
      <c r="I1354" s="16">
        <v>1474</v>
      </c>
      <c r="J1354" s="16">
        <v>383</v>
      </c>
      <c r="K1354" s="16">
        <v>62</v>
      </c>
      <c r="L1354" s="16">
        <v>0</v>
      </c>
      <c r="M1354" s="16">
        <v>1886</v>
      </c>
      <c r="N1354" s="16">
        <v>219</v>
      </c>
      <c r="O1354">
        <v>2</v>
      </c>
      <c r="P1354">
        <v>0</v>
      </c>
      <c r="Q1354" s="20">
        <v>0.75628527449974348</v>
      </c>
      <c r="R1354" s="21">
        <v>0.11611876988335101</v>
      </c>
    </row>
    <row r="1355" spans="1:18">
      <c r="A1355" t="s">
        <v>1952</v>
      </c>
      <c r="B1355" t="s">
        <v>74</v>
      </c>
      <c r="C1355" t="s">
        <v>104</v>
      </c>
      <c r="D1355">
        <v>2</v>
      </c>
      <c r="E1355" t="s">
        <v>132</v>
      </c>
      <c r="F1355" t="s">
        <v>210</v>
      </c>
      <c r="G1355" t="s">
        <v>211</v>
      </c>
      <c r="H1355" s="16">
        <v>1890</v>
      </c>
      <c r="I1355" s="16">
        <v>637</v>
      </c>
      <c r="J1355" s="16">
        <v>1196</v>
      </c>
      <c r="K1355" s="16">
        <v>76</v>
      </c>
      <c r="L1355" s="16">
        <v>0</v>
      </c>
      <c r="M1355" s="16">
        <v>1813</v>
      </c>
      <c r="N1355" s="16">
        <v>48</v>
      </c>
      <c r="O1355">
        <v>0</v>
      </c>
      <c r="P1355">
        <v>0</v>
      </c>
      <c r="Q1355" s="20">
        <v>0.33703703703703702</v>
      </c>
      <c r="R1355" s="21">
        <v>2.6475455046883617E-2</v>
      </c>
    </row>
    <row r="1356" spans="1:18">
      <c r="A1356" t="s">
        <v>1953</v>
      </c>
      <c r="B1356" t="s">
        <v>74</v>
      </c>
      <c r="C1356" t="s">
        <v>104</v>
      </c>
      <c r="D1356">
        <v>2</v>
      </c>
      <c r="E1356" t="s">
        <v>132</v>
      </c>
      <c r="F1356" t="s">
        <v>1904</v>
      </c>
      <c r="G1356" t="s">
        <v>169</v>
      </c>
      <c r="H1356" s="16">
        <v>1874</v>
      </c>
      <c r="I1356" s="16">
        <v>1344</v>
      </c>
      <c r="J1356" s="16">
        <v>210</v>
      </c>
      <c r="K1356" s="16">
        <v>193</v>
      </c>
      <c r="L1356" s="16">
        <v>0</v>
      </c>
      <c r="M1356" s="16">
        <v>1682</v>
      </c>
      <c r="N1356" s="16">
        <v>23</v>
      </c>
      <c r="O1356">
        <v>0</v>
      </c>
      <c r="P1356">
        <v>0</v>
      </c>
      <c r="Q1356" s="20">
        <v>0.71718249733191031</v>
      </c>
      <c r="R1356" s="21">
        <v>1.3674197384066587E-2</v>
      </c>
    </row>
    <row r="1357" spans="1:18">
      <c r="A1357" t="s">
        <v>1954</v>
      </c>
      <c r="B1357" t="s">
        <v>74</v>
      </c>
      <c r="C1357" t="s">
        <v>104</v>
      </c>
      <c r="D1357">
        <v>2</v>
      </c>
      <c r="E1357" t="s">
        <v>132</v>
      </c>
      <c r="F1357" t="s">
        <v>159</v>
      </c>
      <c r="G1357" t="s">
        <v>134</v>
      </c>
      <c r="H1357" s="16">
        <v>1869</v>
      </c>
      <c r="I1357" s="16">
        <v>1502</v>
      </c>
      <c r="J1357" s="16">
        <v>287</v>
      </c>
      <c r="K1357" s="16">
        <v>50</v>
      </c>
      <c r="L1357" s="16">
        <v>0</v>
      </c>
      <c r="M1357" s="16">
        <v>1819</v>
      </c>
      <c r="N1357" s="16">
        <v>57</v>
      </c>
      <c r="O1357">
        <v>0</v>
      </c>
      <c r="P1357">
        <v>0</v>
      </c>
      <c r="Q1357" s="20">
        <v>0.80363830925628676</v>
      </c>
      <c r="R1357" s="21">
        <v>3.1335898845519516E-2</v>
      </c>
    </row>
    <row r="1358" spans="1:18">
      <c r="A1358" t="s">
        <v>1955</v>
      </c>
      <c r="B1358" t="s">
        <v>89</v>
      </c>
      <c r="C1358" t="s">
        <v>162</v>
      </c>
      <c r="D1358">
        <v>2</v>
      </c>
      <c r="E1358" t="s">
        <v>132</v>
      </c>
      <c r="F1358" t="s">
        <v>133</v>
      </c>
      <c r="G1358" t="s">
        <v>134</v>
      </c>
      <c r="H1358" s="16">
        <v>1839</v>
      </c>
      <c r="I1358" s="16">
        <v>0</v>
      </c>
      <c r="J1358" s="16">
        <v>314</v>
      </c>
      <c r="K1358" s="16">
        <v>641</v>
      </c>
      <c r="L1358" s="16">
        <v>0</v>
      </c>
      <c r="M1358" s="16">
        <v>1198</v>
      </c>
      <c r="N1358" s="16">
        <v>984</v>
      </c>
      <c r="O1358">
        <v>1</v>
      </c>
      <c r="P1358">
        <v>0</v>
      </c>
      <c r="Q1358" s="20">
        <v>0</v>
      </c>
      <c r="R1358" s="21">
        <v>0.82136894824707851</v>
      </c>
    </row>
    <row r="1359" spans="1:18">
      <c r="A1359" t="s">
        <v>1956</v>
      </c>
      <c r="B1359" t="s">
        <v>83</v>
      </c>
      <c r="C1359" t="s">
        <v>104</v>
      </c>
      <c r="D1359">
        <v>2</v>
      </c>
      <c r="E1359" t="s">
        <v>132</v>
      </c>
      <c r="F1359" t="s">
        <v>168</v>
      </c>
      <c r="G1359" t="s">
        <v>169</v>
      </c>
      <c r="H1359" s="16">
        <v>1792</v>
      </c>
      <c r="I1359" s="16">
        <v>0</v>
      </c>
      <c r="J1359" s="16">
        <v>336</v>
      </c>
      <c r="K1359" s="16">
        <v>199</v>
      </c>
      <c r="L1359" s="16">
        <v>0</v>
      </c>
      <c r="M1359" s="16">
        <v>1593</v>
      </c>
      <c r="N1359" s="16">
        <v>5</v>
      </c>
      <c r="O1359">
        <v>2</v>
      </c>
      <c r="P1359">
        <v>0</v>
      </c>
      <c r="Q1359" s="20">
        <v>0</v>
      </c>
      <c r="R1359" s="21">
        <v>3.1387319522912741E-3</v>
      </c>
    </row>
    <row r="1360" spans="1:18">
      <c r="A1360" t="s">
        <v>1957</v>
      </c>
      <c r="B1360" t="s">
        <v>74</v>
      </c>
      <c r="C1360" t="s">
        <v>104</v>
      </c>
      <c r="D1360">
        <v>2</v>
      </c>
      <c r="E1360" t="s">
        <v>132</v>
      </c>
      <c r="F1360" t="s">
        <v>1958</v>
      </c>
      <c r="G1360" t="s">
        <v>134</v>
      </c>
      <c r="H1360" s="16">
        <v>1781</v>
      </c>
      <c r="I1360" s="16">
        <v>1088</v>
      </c>
      <c r="J1360" s="16">
        <v>521</v>
      </c>
      <c r="K1360" s="16">
        <v>653</v>
      </c>
      <c r="L1360" s="16">
        <v>0</v>
      </c>
      <c r="M1360" s="16">
        <v>1127</v>
      </c>
      <c r="N1360" s="16">
        <v>59</v>
      </c>
      <c r="O1360">
        <v>0</v>
      </c>
      <c r="P1360">
        <v>0</v>
      </c>
      <c r="Q1360" s="20">
        <v>0.61089275687815836</v>
      </c>
      <c r="R1360" s="21">
        <v>5.2351375332741791E-2</v>
      </c>
    </row>
    <row r="1361" spans="1:18">
      <c r="A1361" t="s">
        <v>1959</v>
      </c>
      <c r="B1361" t="s">
        <v>74</v>
      </c>
      <c r="C1361" t="s">
        <v>104</v>
      </c>
      <c r="D1361">
        <v>2</v>
      </c>
      <c r="E1361" t="s">
        <v>132</v>
      </c>
      <c r="F1361" t="s">
        <v>1960</v>
      </c>
      <c r="G1361" t="s">
        <v>198</v>
      </c>
      <c r="H1361" s="16">
        <v>1693</v>
      </c>
      <c r="I1361" s="16">
        <v>1310</v>
      </c>
      <c r="J1361" s="16">
        <v>323</v>
      </c>
      <c r="K1361" s="16">
        <v>33</v>
      </c>
      <c r="L1361" s="16">
        <v>0</v>
      </c>
      <c r="M1361" s="16">
        <v>1660</v>
      </c>
      <c r="N1361" s="16">
        <v>27</v>
      </c>
      <c r="O1361">
        <v>0</v>
      </c>
      <c r="P1361">
        <v>0</v>
      </c>
      <c r="Q1361" s="20">
        <v>0.77377436503248676</v>
      </c>
      <c r="R1361" s="21">
        <v>1.6265060240963854E-2</v>
      </c>
    </row>
    <row r="1362" spans="1:18">
      <c r="A1362" t="s">
        <v>1961</v>
      </c>
      <c r="B1362" t="s">
        <v>83</v>
      </c>
      <c r="C1362" t="s">
        <v>104</v>
      </c>
      <c r="D1362">
        <v>2</v>
      </c>
      <c r="E1362" t="s">
        <v>132</v>
      </c>
      <c r="F1362" t="s">
        <v>137</v>
      </c>
      <c r="G1362" t="s">
        <v>138</v>
      </c>
      <c r="H1362" s="16">
        <v>1639</v>
      </c>
      <c r="I1362" s="16">
        <v>0</v>
      </c>
      <c r="J1362" s="16">
        <v>0</v>
      </c>
      <c r="K1362" s="16">
        <v>1944</v>
      </c>
      <c r="L1362" s="16">
        <v>0</v>
      </c>
      <c r="M1362" s="16">
        <v>-305</v>
      </c>
      <c r="N1362" s="16">
        <v>336</v>
      </c>
      <c r="O1362">
        <v>2</v>
      </c>
      <c r="P1362">
        <v>0</v>
      </c>
      <c r="Q1362" s="20">
        <v>0</v>
      </c>
      <c r="R1362" s="21">
        <v>-1.1016393442622952</v>
      </c>
    </row>
    <row r="1363" spans="1:18">
      <c r="A1363" t="s">
        <v>1962</v>
      </c>
      <c r="B1363" t="s">
        <v>89</v>
      </c>
      <c r="C1363" t="s">
        <v>162</v>
      </c>
      <c r="D1363">
        <v>2</v>
      </c>
      <c r="E1363" t="s">
        <v>132</v>
      </c>
      <c r="F1363" t="s">
        <v>133</v>
      </c>
      <c r="G1363" t="s">
        <v>134</v>
      </c>
      <c r="H1363" s="16">
        <v>1617</v>
      </c>
      <c r="I1363" s="16">
        <v>0</v>
      </c>
      <c r="J1363" s="16">
        <v>412</v>
      </c>
      <c r="K1363" s="16">
        <v>5</v>
      </c>
      <c r="L1363" s="16">
        <v>0</v>
      </c>
      <c r="M1363" s="16">
        <v>1611</v>
      </c>
      <c r="N1363" s="16">
        <v>-10</v>
      </c>
      <c r="O1363">
        <v>1</v>
      </c>
      <c r="P1363">
        <v>0</v>
      </c>
      <c r="Q1363" s="20">
        <v>0</v>
      </c>
      <c r="R1363" s="21">
        <v>-6.2073246430788334E-3</v>
      </c>
    </row>
    <row r="1364" spans="1:18">
      <c r="A1364" t="s">
        <v>1963</v>
      </c>
      <c r="B1364" t="s">
        <v>86</v>
      </c>
      <c r="C1364" t="s">
        <v>104</v>
      </c>
      <c r="D1364">
        <v>2</v>
      </c>
      <c r="E1364" t="s">
        <v>132</v>
      </c>
      <c r="F1364" t="s">
        <v>240</v>
      </c>
      <c r="G1364" t="s">
        <v>211</v>
      </c>
      <c r="H1364" s="16">
        <v>1581</v>
      </c>
      <c r="I1364" s="16">
        <v>0</v>
      </c>
      <c r="J1364" s="16">
        <v>0</v>
      </c>
      <c r="K1364" s="16">
        <v>155</v>
      </c>
      <c r="L1364" s="16">
        <v>0</v>
      </c>
      <c r="M1364" s="16">
        <v>1425</v>
      </c>
      <c r="N1364" s="16">
        <v>27</v>
      </c>
      <c r="O1364">
        <v>2</v>
      </c>
      <c r="P1364">
        <v>0</v>
      </c>
      <c r="Q1364" s="20">
        <v>0</v>
      </c>
      <c r="R1364" s="21">
        <v>1.8947368421052633E-2</v>
      </c>
    </row>
    <row r="1365" spans="1:18">
      <c r="A1365" t="s">
        <v>1964</v>
      </c>
      <c r="B1365" t="s">
        <v>86</v>
      </c>
      <c r="C1365" t="s">
        <v>101</v>
      </c>
      <c r="D1365">
        <v>2</v>
      </c>
      <c r="E1365" t="s">
        <v>132</v>
      </c>
      <c r="F1365" t="s">
        <v>133</v>
      </c>
      <c r="G1365" t="s">
        <v>134</v>
      </c>
      <c r="H1365" s="16">
        <v>1566</v>
      </c>
      <c r="I1365" s="16">
        <v>0</v>
      </c>
      <c r="J1365" s="16">
        <v>0</v>
      </c>
      <c r="K1365" s="16">
        <v>766</v>
      </c>
      <c r="L1365" s="16">
        <v>0</v>
      </c>
      <c r="M1365" s="16">
        <v>800</v>
      </c>
      <c r="N1365" s="16">
        <v>-619</v>
      </c>
      <c r="O1365">
        <v>2</v>
      </c>
      <c r="P1365">
        <v>0</v>
      </c>
      <c r="Q1365" s="20">
        <v>0</v>
      </c>
      <c r="R1365" s="21">
        <v>-0.77375000000000005</v>
      </c>
    </row>
    <row r="1366" spans="1:18">
      <c r="A1366" t="s">
        <v>1965</v>
      </c>
      <c r="B1366" t="s">
        <v>83</v>
      </c>
      <c r="C1366" t="s">
        <v>104</v>
      </c>
      <c r="D1366">
        <v>2</v>
      </c>
      <c r="E1366" t="s">
        <v>132</v>
      </c>
      <c r="F1366" t="s">
        <v>295</v>
      </c>
      <c r="G1366" t="s">
        <v>292</v>
      </c>
      <c r="H1366" s="16">
        <v>1541</v>
      </c>
      <c r="I1366" s="16">
        <v>1304</v>
      </c>
      <c r="J1366" s="16">
        <v>11</v>
      </c>
      <c r="K1366" s="16">
        <v>76</v>
      </c>
      <c r="L1366" s="16">
        <v>0</v>
      </c>
      <c r="M1366" s="16">
        <v>1465</v>
      </c>
      <c r="N1366" s="16">
        <v>2</v>
      </c>
      <c r="O1366">
        <v>2</v>
      </c>
      <c r="P1366">
        <v>0</v>
      </c>
      <c r="Q1366" s="20">
        <v>0.84620376378974693</v>
      </c>
      <c r="R1366" s="21">
        <v>1.3651877133105802E-3</v>
      </c>
    </row>
    <row r="1367" spans="1:18">
      <c r="A1367" t="s">
        <v>1966</v>
      </c>
      <c r="B1367" t="s">
        <v>74</v>
      </c>
      <c r="C1367" t="s">
        <v>104</v>
      </c>
      <c r="D1367">
        <v>2</v>
      </c>
      <c r="E1367" t="s">
        <v>132</v>
      </c>
      <c r="F1367" t="s">
        <v>845</v>
      </c>
      <c r="G1367" t="s">
        <v>169</v>
      </c>
      <c r="H1367" s="16">
        <v>1514</v>
      </c>
      <c r="I1367" s="16">
        <v>898</v>
      </c>
      <c r="J1367" s="16">
        <v>378</v>
      </c>
      <c r="K1367" s="16">
        <v>173</v>
      </c>
      <c r="L1367" s="16">
        <v>0</v>
      </c>
      <c r="M1367" s="16">
        <v>1341</v>
      </c>
      <c r="N1367" s="16">
        <v>32</v>
      </c>
      <c r="O1367">
        <v>0</v>
      </c>
      <c r="P1367">
        <v>0</v>
      </c>
      <c r="Q1367" s="20">
        <v>0.59313077939233816</v>
      </c>
      <c r="R1367" s="21">
        <v>2.3862788963460103E-2</v>
      </c>
    </row>
    <row r="1368" spans="1:18">
      <c r="A1368" t="s">
        <v>1967</v>
      </c>
      <c r="B1368" t="s">
        <v>74</v>
      </c>
      <c r="C1368" t="s">
        <v>104</v>
      </c>
      <c r="D1368">
        <v>2</v>
      </c>
      <c r="E1368" t="s">
        <v>132</v>
      </c>
      <c r="F1368" t="s">
        <v>1968</v>
      </c>
      <c r="G1368" t="s">
        <v>744</v>
      </c>
      <c r="H1368" s="16">
        <v>1483</v>
      </c>
      <c r="I1368" s="16">
        <v>573</v>
      </c>
      <c r="J1368" s="16">
        <v>838</v>
      </c>
      <c r="K1368" s="16">
        <v>43</v>
      </c>
      <c r="L1368" s="16">
        <v>0</v>
      </c>
      <c r="M1368" s="16">
        <v>1440</v>
      </c>
      <c r="N1368" s="16">
        <v>-54</v>
      </c>
      <c r="O1368">
        <v>0</v>
      </c>
      <c r="P1368">
        <v>0</v>
      </c>
      <c r="Q1368" s="20">
        <v>0.38637896156439649</v>
      </c>
      <c r="R1368" s="21">
        <v>-3.7499999999999999E-2</v>
      </c>
    </row>
    <row r="1369" spans="1:18">
      <c r="A1369" t="s">
        <v>1969</v>
      </c>
      <c r="B1369" t="s">
        <v>74</v>
      </c>
      <c r="C1369" t="s">
        <v>104</v>
      </c>
      <c r="D1369">
        <v>2</v>
      </c>
      <c r="E1369" t="s">
        <v>132</v>
      </c>
      <c r="F1369" t="s">
        <v>190</v>
      </c>
      <c r="G1369" t="s">
        <v>191</v>
      </c>
      <c r="H1369" s="16">
        <v>1449</v>
      </c>
      <c r="I1369" s="16">
        <v>598</v>
      </c>
      <c r="J1369" s="16">
        <v>491</v>
      </c>
      <c r="K1369" s="16">
        <v>22</v>
      </c>
      <c r="L1369" s="16">
        <v>0</v>
      </c>
      <c r="M1369" s="16">
        <v>1427</v>
      </c>
      <c r="N1369" s="16">
        <v>6</v>
      </c>
      <c r="O1369">
        <v>0</v>
      </c>
      <c r="P1369">
        <v>0</v>
      </c>
      <c r="Q1369" s="20">
        <v>0.41269841269841268</v>
      </c>
      <c r="R1369" s="21">
        <v>4.2046250875963564E-3</v>
      </c>
    </row>
    <row r="1370" spans="1:18">
      <c r="A1370" t="s">
        <v>1970</v>
      </c>
      <c r="B1370" t="s">
        <v>74</v>
      </c>
      <c r="C1370" t="s">
        <v>104</v>
      </c>
      <c r="D1370">
        <v>2</v>
      </c>
      <c r="E1370" t="s">
        <v>132</v>
      </c>
      <c r="F1370" t="s">
        <v>1971</v>
      </c>
      <c r="G1370" t="s">
        <v>206</v>
      </c>
      <c r="H1370" s="16">
        <v>1443</v>
      </c>
      <c r="I1370" s="16">
        <v>1059</v>
      </c>
      <c r="J1370" s="16">
        <v>54</v>
      </c>
      <c r="K1370" s="16">
        <v>628</v>
      </c>
      <c r="L1370" s="16">
        <v>615</v>
      </c>
      <c r="M1370" s="16">
        <v>814</v>
      </c>
      <c r="N1370" s="16">
        <v>84</v>
      </c>
      <c r="O1370">
        <v>0</v>
      </c>
      <c r="P1370">
        <v>0</v>
      </c>
      <c r="Q1370" s="20">
        <v>0.73388773388773387</v>
      </c>
      <c r="R1370" s="21">
        <v>0.10319410319410319</v>
      </c>
    </row>
    <row r="1371" spans="1:18">
      <c r="A1371" t="s">
        <v>1972</v>
      </c>
      <c r="B1371" t="s">
        <v>83</v>
      </c>
      <c r="C1371" t="s">
        <v>104</v>
      </c>
      <c r="D1371">
        <v>2</v>
      </c>
      <c r="E1371" t="s">
        <v>132</v>
      </c>
      <c r="F1371" t="s">
        <v>152</v>
      </c>
      <c r="G1371" t="s">
        <v>153</v>
      </c>
      <c r="H1371" s="16">
        <v>1435</v>
      </c>
      <c r="I1371" s="16">
        <v>1311</v>
      </c>
      <c r="J1371" s="16">
        <v>0</v>
      </c>
      <c r="K1371" s="16">
        <v>134</v>
      </c>
      <c r="L1371" s="16">
        <v>0</v>
      </c>
      <c r="M1371" s="16">
        <v>1301</v>
      </c>
      <c r="N1371" s="16">
        <v>-540</v>
      </c>
      <c r="O1371">
        <v>2</v>
      </c>
      <c r="P1371">
        <v>0</v>
      </c>
      <c r="Q1371" s="20">
        <v>0.91358885017421598</v>
      </c>
      <c r="R1371" s="21">
        <v>-0.41506533435818599</v>
      </c>
    </row>
    <row r="1372" spans="1:18">
      <c r="A1372" t="s">
        <v>1973</v>
      </c>
      <c r="B1372" t="s">
        <v>74</v>
      </c>
      <c r="C1372" t="s">
        <v>104</v>
      </c>
      <c r="D1372">
        <v>2</v>
      </c>
      <c r="E1372" t="s">
        <v>132</v>
      </c>
      <c r="F1372" t="s">
        <v>145</v>
      </c>
      <c r="G1372" t="s">
        <v>146</v>
      </c>
      <c r="H1372" s="16">
        <v>1431</v>
      </c>
      <c r="I1372" s="16">
        <v>1055</v>
      </c>
      <c r="J1372" s="16">
        <v>13</v>
      </c>
      <c r="K1372" s="16">
        <v>30</v>
      </c>
      <c r="L1372" s="16">
        <v>0</v>
      </c>
      <c r="M1372" s="16">
        <v>1402</v>
      </c>
      <c r="N1372" s="16">
        <v>45</v>
      </c>
      <c r="O1372">
        <v>0</v>
      </c>
      <c r="P1372">
        <v>0</v>
      </c>
      <c r="Q1372" s="20">
        <v>0.7372466806429071</v>
      </c>
      <c r="R1372" s="21">
        <v>3.209700427960057E-2</v>
      </c>
    </row>
    <row r="1373" spans="1:18">
      <c r="A1373" t="s">
        <v>1974</v>
      </c>
      <c r="B1373" t="s">
        <v>74</v>
      </c>
      <c r="C1373" t="s">
        <v>104</v>
      </c>
      <c r="D1373">
        <v>2</v>
      </c>
      <c r="E1373" t="s">
        <v>132</v>
      </c>
      <c r="F1373" t="s">
        <v>1596</v>
      </c>
      <c r="G1373" t="s">
        <v>134</v>
      </c>
      <c r="H1373" s="16">
        <v>1380</v>
      </c>
      <c r="I1373" s="16">
        <v>555</v>
      </c>
      <c r="J1373" s="16">
        <v>645</v>
      </c>
      <c r="K1373" s="16">
        <v>10</v>
      </c>
      <c r="L1373" s="16">
        <v>0</v>
      </c>
      <c r="M1373" s="16">
        <v>1369</v>
      </c>
      <c r="N1373" s="16">
        <v>16</v>
      </c>
      <c r="O1373">
        <v>0</v>
      </c>
      <c r="P1373">
        <v>0</v>
      </c>
      <c r="Q1373" s="20">
        <v>0.40217391304347827</v>
      </c>
      <c r="R1373" s="21">
        <v>1.168736303871439E-2</v>
      </c>
    </row>
    <row r="1374" spans="1:18">
      <c r="A1374" t="s">
        <v>1975</v>
      </c>
      <c r="B1374" t="s">
        <v>83</v>
      </c>
      <c r="C1374" t="s">
        <v>104</v>
      </c>
      <c r="D1374">
        <v>2</v>
      </c>
      <c r="E1374" t="s">
        <v>132</v>
      </c>
      <c r="F1374" t="s">
        <v>133</v>
      </c>
      <c r="G1374" t="s">
        <v>134</v>
      </c>
      <c r="H1374" s="16">
        <v>1378</v>
      </c>
      <c r="I1374" s="16">
        <v>0</v>
      </c>
      <c r="J1374" s="16">
        <v>1229</v>
      </c>
      <c r="K1374" s="16">
        <v>320</v>
      </c>
      <c r="L1374" s="16">
        <v>0</v>
      </c>
      <c r="M1374" s="16">
        <v>1058</v>
      </c>
      <c r="N1374" s="16">
        <v>18</v>
      </c>
      <c r="O1374">
        <v>2</v>
      </c>
      <c r="P1374">
        <v>0</v>
      </c>
      <c r="Q1374" s="20">
        <v>0</v>
      </c>
      <c r="R1374" s="21">
        <v>1.7013232514177693E-2</v>
      </c>
    </row>
    <row r="1375" spans="1:18">
      <c r="A1375" t="s">
        <v>1976</v>
      </c>
      <c r="B1375" t="s">
        <v>83</v>
      </c>
      <c r="C1375" t="s">
        <v>104</v>
      </c>
      <c r="D1375">
        <v>3</v>
      </c>
      <c r="E1375" t="s">
        <v>143</v>
      </c>
      <c r="F1375" t="s">
        <v>133</v>
      </c>
      <c r="G1375" t="s">
        <v>134</v>
      </c>
      <c r="H1375" s="16">
        <v>1351</v>
      </c>
      <c r="I1375" s="16">
        <v>18</v>
      </c>
      <c r="J1375" s="16">
        <v>1286</v>
      </c>
      <c r="K1375" s="16">
        <v>249</v>
      </c>
      <c r="L1375" s="16">
        <v>0</v>
      </c>
      <c r="M1375" s="16">
        <v>1102</v>
      </c>
      <c r="N1375" s="16">
        <v>-202</v>
      </c>
      <c r="O1375">
        <v>2</v>
      </c>
      <c r="P1375">
        <v>0</v>
      </c>
      <c r="Q1375" s="20">
        <v>1.3323464100666173E-2</v>
      </c>
      <c r="R1375" s="21">
        <v>-0.18330308529945555</v>
      </c>
    </row>
    <row r="1376" spans="1:18">
      <c r="A1376" t="s">
        <v>1977</v>
      </c>
      <c r="B1376" t="s">
        <v>83</v>
      </c>
      <c r="C1376" t="s">
        <v>104</v>
      </c>
      <c r="D1376">
        <v>2</v>
      </c>
      <c r="E1376" t="s">
        <v>132</v>
      </c>
      <c r="F1376" t="s">
        <v>133</v>
      </c>
      <c r="G1376" t="s">
        <v>134</v>
      </c>
      <c r="H1376" s="16">
        <v>1307</v>
      </c>
      <c r="I1376" s="16">
        <v>4</v>
      </c>
      <c r="J1376" s="16">
        <v>0</v>
      </c>
      <c r="K1376" s="16">
        <v>0</v>
      </c>
      <c r="L1376" s="16">
        <v>0</v>
      </c>
      <c r="M1376" s="16">
        <v>1307</v>
      </c>
      <c r="N1376" s="16">
        <v>0</v>
      </c>
      <c r="O1376">
        <v>2</v>
      </c>
      <c r="P1376">
        <v>0</v>
      </c>
      <c r="Q1376" s="20">
        <v>3.06044376434583E-3</v>
      </c>
      <c r="R1376" s="21">
        <v>0</v>
      </c>
    </row>
    <row r="1377" spans="1:18">
      <c r="A1377" t="s">
        <v>1978</v>
      </c>
      <c r="B1377" t="s">
        <v>86</v>
      </c>
      <c r="C1377" t="s">
        <v>104</v>
      </c>
      <c r="D1377">
        <v>2</v>
      </c>
      <c r="E1377" t="s">
        <v>132</v>
      </c>
      <c r="F1377" t="s">
        <v>197</v>
      </c>
      <c r="G1377" t="s">
        <v>198</v>
      </c>
      <c r="H1377" s="16">
        <v>1249</v>
      </c>
      <c r="I1377" s="16">
        <v>0</v>
      </c>
      <c r="J1377" s="16">
        <v>0</v>
      </c>
      <c r="K1377" s="16">
        <v>334</v>
      </c>
      <c r="L1377" s="16">
        <v>0</v>
      </c>
      <c r="M1377" s="16">
        <v>916</v>
      </c>
      <c r="N1377" s="16">
        <v>-238</v>
      </c>
      <c r="O1377">
        <v>2</v>
      </c>
      <c r="P1377">
        <v>0</v>
      </c>
      <c r="Q1377" s="20">
        <v>0</v>
      </c>
      <c r="R1377" s="21">
        <v>-0.25982532751091703</v>
      </c>
    </row>
    <row r="1378" spans="1:18">
      <c r="A1378" t="s">
        <v>1979</v>
      </c>
      <c r="B1378" t="s">
        <v>74</v>
      </c>
      <c r="C1378" t="s">
        <v>104</v>
      </c>
      <c r="D1378">
        <v>2</v>
      </c>
      <c r="E1378" t="s">
        <v>132</v>
      </c>
      <c r="F1378" t="s">
        <v>133</v>
      </c>
      <c r="G1378" t="s">
        <v>134</v>
      </c>
      <c r="H1378" s="16">
        <v>1247</v>
      </c>
      <c r="I1378" s="16">
        <v>1166</v>
      </c>
      <c r="J1378" s="16">
        <v>0</v>
      </c>
      <c r="K1378" s="16">
        <v>1034</v>
      </c>
      <c r="L1378" s="16">
        <v>0</v>
      </c>
      <c r="M1378" s="16">
        <v>213</v>
      </c>
      <c r="N1378" s="16">
        <v>-244</v>
      </c>
      <c r="O1378">
        <v>0</v>
      </c>
      <c r="P1378">
        <v>0</v>
      </c>
      <c r="Q1378" s="20">
        <v>0.93504410585404973</v>
      </c>
      <c r="R1378" s="21">
        <v>-1.1455399061032865</v>
      </c>
    </row>
    <row r="1379" spans="1:18">
      <c r="A1379" t="s">
        <v>1980</v>
      </c>
      <c r="B1379" t="s">
        <v>74</v>
      </c>
      <c r="C1379" t="s">
        <v>104</v>
      </c>
      <c r="D1379">
        <v>2</v>
      </c>
      <c r="E1379" t="s">
        <v>132</v>
      </c>
      <c r="F1379" t="s">
        <v>223</v>
      </c>
      <c r="G1379" t="s">
        <v>134</v>
      </c>
      <c r="H1379" s="16">
        <v>1235</v>
      </c>
      <c r="I1379" s="16">
        <v>573</v>
      </c>
      <c r="J1379" s="16">
        <v>599</v>
      </c>
      <c r="K1379" s="16">
        <v>136</v>
      </c>
      <c r="L1379" s="16">
        <v>0</v>
      </c>
      <c r="M1379" s="16">
        <v>1099</v>
      </c>
      <c r="N1379" s="16">
        <v>14</v>
      </c>
      <c r="O1379">
        <v>0</v>
      </c>
      <c r="P1379">
        <v>0</v>
      </c>
      <c r="Q1379" s="20">
        <v>0.46396761133603237</v>
      </c>
      <c r="R1379" s="21">
        <v>1.2738853503184714E-2</v>
      </c>
    </row>
    <row r="1380" spans="1:18">
      <c r="A1380" t="s">
        <v>1981</v>
      </c>
      <c r="B1380" t="s">
        <v>74</v>
      </c>
      <c r="C1380" t="s">
        <v>104</v>
      </c>
      <c r="D1380">
        <v>2</v>
      </c>
      <c r="E1380" t="s">
        <v>132</v>
      </c>
      <c r="F1380" t="s">
        <v>1982</v>
      </c>
      <c r="G1380" t="s">
        <v>146</v>
      </c>
      <c r="H1380" s="16">
        <v>1194</v>
      </c>
      <c r="I1380" s="16">
        <v>921</v>
      </c>
      <c r="J1380" s="16">
        <v>52</v>
      </c>
      <c r="K1380" s="16">
        <v>80</v>
      </c>
      <c r="L1380" s="16">
        <v>0</v>
      </c>
      <c r="M1380" s="16">
        <v>1114</v>
      </c>
      <c r="N1380" s="16">
        <v>-6</v>
      </c>
      <c r="O1380">
        <v>0</v>
      </c>
      <c r="P1380">
        <v>0</v>
      </c>
      <c r="Q1380" s="20">
        <v>0.77135678391959794</v>
      </c>
      <c r="R1380" s="21">
        <v>-5.3859964093357273E-3</v>
      </c>
    </row>
    <row r="1381" spans="1:18">
      <c r="A1381" t="s">
        <v>1983</v>
      </c>
      <c r="B1381" t="s">
        <v>86</v>
      </c>
      <c r="C1381" t="s">
        <v>104</v>
      </c>
      <c r="D1381">
        <v>2</v>
      </c>
      <c r="E1381" t="s">
        <v>132</v>
      </c>
      <c r="F1381" t="s">
        <v>133</v>
      </c>
      <c r="G1381" t="s">
        <v>134</v>
      </c>
      <c r="H1381" s="16">
        <v>1179</v>
      </c>
      <c r="I1381" s="16">
        <v>0</v>
      </c>
      <c r="J1381" s="16">
        <v>353</v>
      </c>
      <c r="K1381" s="16">
        <v>382</v>
      </c>
      <c r="L1381" s="16">
        <v>0</v>
      </c>
      <c r="M1381" s="16">
        <v>798</v>
      </c>
      <c r="N1381" s="16">
        <v>267</v>
      </c>
      <c r="O1381">
        <v>2</v>
      </c>
      <c r="P1381">
        <v>0</v>
      </c>
      <c r="Q1381" s="20">
        <v>0</v>
      </c>
      <c r="R1381" s="21">
        <v>0.33458646616541354</v>
      </c>
    </row>
    <row r="1382" spans="1:18">
      <c r="A1382" t="s">
        <v>1984</v>
      </c>
      <c r="B1382" t="s">
        <v>74</v>
      </c>
      <c r="C1382" t="s">
        <v>104</v>
      </c>
      <c r="D1382">
        <v>2</v>
      </c>
      <c r="E1382" t="s">
        <v>132</v>
      </c>
      <c r="F1382" t="s">
        <v>152</v>
      </c>
      <c r="G1382" t="s">
        <v>153</v>
      </c>
      <c r="H1382" s="16">
        <v>1170</v>
      </c>
      <c r="I1382" s="16">
        <v>679</v>
      </c>
      <c r="J1382" s="16">
        <v>0</v>
      </c>
      <c r="K1382" s="16">
        <v>775</v>
      </c>
      <c r="L1382" s="16">
        <v>0</v>
      </c>
      <c r="M1382" s="16">
        <v>395</v>
      </c>
      <c r="N1382" s="16">
        <v>-384</v>
      </c>
      <c r="O1382">
        <v>0</v>
      </c>
      <c r="P1382">
        <v>0</v>
      </c>
      <c r="Q1382" s="20">
        <v>0.58034188034188039</v>
      </c>
      <c r="R1382" s="21">
        <v>-0.97215189873417718</v>
      </c>
    </row>
    <row r="1383" spans="1:18">
      <c r="A1383" t="s">
        <v>1985</v>
      </c>
      <c r="B1383" t="s">
        <v>74</v>
      </c>
      <c r="C1383" t="s">
        <v>104</v>
      </c>
      <c r="D1383">
        <v>2</v>
      </c>
      <c r="E1383" t="s">
        <v>132</v>
      </c>
      <c r="F1383" t="s">
        <v>168</v>
      </c>
      <c r="G1383" t="s">
        <v>169</v>
      </c>
      <c r="H1383" s="16">
        <v>1167</v>
      </c>
      <c r="I1383" s="16">
        <v>997</v>
      </c>
      <c r="J1383" s="16">
        <v>0</v>
      </c>
      <c r="K1383" s="16">
        <v>44</v>
      </c>
      <c r="L1383" s="16">
        <v>0</v>
      </c>
      <c r="M1383" s="16">
        <v>1122</v>
      </c>
      <c r="N1383" s="16">
        <v>82</v>
      </c>
      <c r="O1383">
        <v>0</v>
      </c>
      <c r="P1383">
        <v>0</v>
      </c>
      <c r="Q1383" s="20">
        <v>0.85432733504712943</v>
      </c>
      <c r="R1383" s="21">
        <v>7.3083778966131913E-2</v>
      </c>
    </row>
    <row r="1384" spans="1:18">
      <c r="A1384" t="s">
        <v>1986</v>
      </c>
      <c r="B1384" t="s">
        <v>83</v>
      </c>
      <c r="C1384" t="s">
        <v>104</v>
      </c>
      <c r="D1384">
        <v>2</v>
      </c>
      <c r="E1384" t="s">
        <v>132</v>
      </c>
      <c r="F1384" t="s">
        <v>133</v>
      </c>
      <c r="G1384" t="s">
        <v>134</v>
      </c>
      <c r="H1384" s="16">
        <v>1113</v>
      </c>
      <c r="I1384" s="16">
        <v>661</v>
      </c>
      <c r="J1384" s="16">
        <v>45</v>
      </c>
      <c r="K1384" s="16">
        <v>29</v>
      </c>
      <c r="L1384" s="16">
        <v>0</v>
      </c>
      <c r="M1384" s="16">
        <v>1084</v>
      </c>
      <c r="N1384" s="16">
        <v>-242</v>
      </c>
      <c r="O1384">
        <v>2</v>
      </c>
      <c r="P1384">
        <v>0</v>
      </c>
      <c r="Q1384" s="20">
        <v>0.59389038634321656</v>
      </c>
      <c r="R1384" s="21">
        <v>-0.22324723247232472</v>
      </c>
    </row>
    <row r="1385" spans="1:18">
      <c r="A1385" t="s">
        <v>1987</v>
      </c>
      <c r="B1385" t="s">
        <v>83</v>
      </c>
      <c r="C1385" t="s">
        <v>104</v>
      </c>
      <c r="D1385">
        <v>2</v>
      </c>
      <c r="E1385" t="s">
        <v>132</v>
      </c>
      <c r="F1385" t="s">
        <v>285</v>
      </c>
      <c r="G1385" t="s">
        <v>286</v>
      </c>
      <c r="H1385" s="16">
        <v>1100</v>
      </c>
      <c r="I1385" s="16">
        <v>32</v>
      </c>
      <c r="J1385" s="16">
        <v>1019</v>
      </c>
      <c r="K1385" s="16">
        <v>29</v>
      </c>
      <c r="L1385" s="16">
        <v>0</v>
      </c>
      <c r="M1385" s="16">
        <v>1071</v>
      </c>
      <c r="N1385" s="16">
        <v>-48</v>
      </c>
      <c r="O1385">
        <v>2</v>
      </c>
      <c r="P1385">
        <v>0</v>
      </c>
      <c r="Q1385" s="20">
        <v>2.9090909090909091E-2</v>
      </c>
      <c r="R1385" s="21">
        <v>-4.4817927170868348E-2</v>
      </c>
    </row>
    <row r="1386" spans="1:18">
      <c r="A1386" t="s">
        <v>1988</v>
      </c>
      <c r="B1386" t="s">
        <v>86</v>
      </c>
      <c r="C1386" t="s">
        <v>104</v>
      </c>
      <c r="D1386">
        <v>2</v>
      </c>
      <c r="E1386" t="s">
        <v>132</v>
      </c>
      <c r="F1386" t="s">
        <v>210</v>
      </c>
      <c r="G1386" t="s">
        <v>211</v>
      </c>
      <c r="H1386" s="16">
        <v>1087</v>
      </c>
      <c r="I1386" s="16">
        <v>0</v>
      </c>
      <c r="J1386" s="16">
        <v>843</v>
      </c>
      <c r="K1386" s="16">
        <v>9</v>
      </c>
      <c r="L1386" s="16">
        <v>0</v>
      </c>
      <c r="M1386" s="16">
        <v>1078</v>
      </c>
      <c r="N1386" s="16">
        <v>-30</v>
      </c>
      <c r="O1386">
        <v>2</v>
      </c>
      <c r="P1386">
        <v>0</v>
      </c>
      <c r="Q1386" s="20">
        <v>0</v>
      </c>
      <c r="R1386" s="21">
        <v>-2.7829313543599257E-2</v>
      </c>
    </row>
    <row r="1387" spans="1:18">
      <c r="A1387" t="s">
        <v>1989</v>
      </c>
      <c r="B1387" t="s">
        <v>74</v>
      </c>
      <c r="C1387" t="s">
        <v>104</v>
      </c>
      <c r="D1387">
        <v>2</v>
      </c>
      <c r="E1387" t="s">
        <v>132</v>
      </c>
      <c r="F1387" t="s">
        <v>1990</v>
      </c>
      <c r="G1387" t="s">
        <v>286</v>
      </c>
      <c r="H1387" s="16">
        <v>1080</v>
      </c>
      <c r="I1387" s="16">
        <v>556</v>
      </c>
      <c r="J1387" s="16">
        <v>151</v>
      </c>
      <c r="K1387" s="16">
        <v>63</v>
      </c>
      <c r="L1387" s="16">
        <v>0</v>
      </c>
      <c r="M1387" s="16">
        <v>1017</v>
      </c>
      <c r="N1387" s="16">
        <v>39</v>
      </c>
      <c r="O1387">
        <v>0</v>
      </c>
      <c r="P1387">
        <v>0</v>
      </c>
      <c r="Q1387" s="20">
        <v>0.51481481481481484</v>
      </c>
      <c r="R1387" s="21">
        <v>3.8348082595870206E-2</v>
      </c>
    </row>
    <row r="1388" spans="1:18">
      <c r="A1388" t="s">
        <v>1991</v>
      </c>
      <c r="B1388" t="s">
        <v>83</v>
      </c>
      <c r="C1388" t="s">
        <v>104</v>
      </c>
      <c r="D1388">
        <v>2</v>
      </c>
      <c r="E1388" t="s">
        <v>132</v>
      </c>
      <c r="F1388" t="s">
        <v>152</v>
      </c>
      <c r="G1388" t="s">
        <v>153</v>
      </c>
      <c r="H1388" s="16">
        <v>1074</v>
      </c>
      <c r="I1388" s="16">
        <v>0</v>
      </c>
      <c r="J1388" s="16">
        <v>965</v>
      </c>
      <c r="K1388" s="16">
        <v>91</v>
      </c>
      <c r="L1388" s="16">
        <v>0</v>
      </c>
      <c r="M1388" s="16">
        <v>983</v>
      </c>
      <c r="N1388" s="16">
        <v>-40</v>
      </c>
      <c r="O1388">
        <v>2</v>
      </c>
      <c r="P1388">
        <v>0</v>
      </c>
      <c r="Q1388" s="20">
        <v>0</v>
      </c>
      <c r="R1388" s="21">
        <v>-4.0691759918616482E-2</v>
      </c>
    </row>
    <row r="1389" spans="1:18">
      <c r="A1389" t="s">
        <v>1992</v>
      </c>
      <c r="B1389" t="s">
        <v>86</v>
      </c>
      <c r="C1389" t="s">
        <v>104</v>
      </c>
      <c r="D1389">
        <v>2</v>
      </c>
      <c r="E1389" t="s">
        <v>132</v>
      </c>
      <c r="F1389" t="s">
        <v>168</v>
      </c>
      <c r="G1389" t="s">
        <v>169</v>
      </c>
      <c r="H1389" s="16">
        <v>1070</v>
      </c>
      <c r="I1389" s="16">
        <v>0</v>
      </c>
      <c r="J1389" s="16">
        <v>704</v>
      </c>
      <c r="K1389" s="16">
        <v>111</v>
      </c>
      <c r="L1389" s="16">
        <v>0</v>
      </c>
      <c r="M1389" s="16">
        <v>960</v>
      </c>
      <c r="N1389" s="16">
        <v>317</v>
      </c>
      <c r="O1389">
        <v>2</v>
      </c>
      <c r="P1389">
        <v>0</v>
      </c>
      <c r="Q1389" s="20">
        <v>0</v>
      </c>
      <c r="R1389" s="21">
        <v>0.33020833333333333</v>
      </c>
    </row>
    <row r="1390" spans="1:18">
      <c r="A1390" t="s">
        <v>1993</v>
      </c>
      <c r="B1390" t="s">
        <v>86</v>
      </c>
      <c r="C1390" t="s">
        <v>104</v>
      </c>
      <c r="D1390">
        <v>2</v>
      </c>
      <c r="E1390" t="s">
        <v>132</v>
      </c>
      <c r="F1390" t="s">
        <v>1919</v>
      </c>
      <c r="G1390" t="s">
        <v>211</v>
      </c>
      <c r="H1390" s="16">
        <v>1022</v>
      </c>
      <c r="I1390" s="16">
        <v>0</v>
      </c>
      <c r="J1390" s="16">
        <v>450</v>
      </c>
      <c r="K1390" s="16">
        <v>257</v>
      </c>
      <c r="L1390" s="16">
        <v>0</v>
      </c>
      <c r="M1390" s="16">
        <v>765</v>
      </c>
      <c r="N1390" s="16">
        <v>-140</v>
      </c>
      <c r="O1390">
        <v>2</v>
      </c>
      <c r="P1390">
        <v>0</v>
      </c>
      <c r="Q1390" s="20">
        <v>0</v>
      </c>
      <c r="R1390" s="21">
        <v>-0.18300653594771241</v>
      </c>
    </row>
    <row r="1391" spans="1:18">
      <c r="A1391" t="s">
        <v>1994</v>
      </c>
      <c r="B1391" t="s">
        <v>74</v>
      </c>
      <c r="C1391" t="s">
        <v>104</v>
      </c>
      <c r="D1391">
        <v>2</v>
      </c>
      <c r="E1391" t="s">
        <v>132</v>
      </c>
      <c r="F1391" t="s">
        <v>404</v>
      </c>
      <c r="G1391" t="s">
        <v>405</v>
      </c>
      <c r="H1391" s="16">
        <v>1001</v>
      </c>
      <c r="I1391" s="16">
        <v>374</v>
      </c>
      <c r="J1391" s="16">
        <v>0</v>
      </c>
      <c r="K1391" s="16">
        <v>1072</v>
      </c>
      <c r="L1391" s="16">
        <v>0</v>
      </c>
      <c r="M1391" s="16">
        <v>-71</v>
      </c>
      <c r="N1391" s="16">
        <v>-307</v>
      </c>
      <c r="O1391">
        <v>0</v>
      </c>
      <c r="P1391">
        <v>0</v>
      </c>
      <c r="Q1391" s="20">
        <v>0.37362637362637363</v>
      </c>
      <c r="R1391" s="21">
        <v>4.323943661971831</v>
      </c>
    </row>
    <row r="1392" spans="1:18">
      <c r="A1392" t="s">
        <v>1995</v>
      </c>
      <c r="B1392" t="s">
        <v>83</v>
      </c>
      <c r="C1392" t="s">
        <v>104</v>
      </c>
      <c r="D1392">
        <v>2</v>
      </c>
      <c r="E1392" t="s">
        <v>132</v>
      </c>
      <c r="F1392" t="s">
        <v>1318</v>
      </c>
      <c r="G1392" t="s">
        <v>206</v>
      </c>
      <c r="H1392" s="16">
        <v>990</v>
      </c>
      <c r="I1392" s="16">
        <v>0</v>
      </c>
      <c r="J1392" s="16">
        <v>0</v>
      </c>
      <c r="K1392" s="16">
        <v>1</v>
      </c>
      <c r="L1392" s="16">
        <v>0</v>
      </c>
      <c r="M1392" s="16">
        <v>989</v>
      </c>
      <c r="N1392" s="16">
        <v>-78</v>
      </c>
      <c r="O1392">
        <v>2</v>
      </c>
      <c r="P1392">
        <v>0</v>
      </c>
      <c r="Q1392" s="20">
        <v>0</v>
      </c>
      <c r="R1392" s="21">
        <v>-7.8867542972699697E-2</v>
      </c>
    </row>
    <row r="1393" spans="1:18">
      <c r="A1393" t="s">
        <v>1996</v>
      </c>
      <c r="B1393" t="s">
        <v>83</v>
      </c>
      <c r="C1393" t="s">
        <v>104</v>
      </c>
      <c r="D1393">
        <v>2</v>
      </c>
      <c r="E1393" t="s">
        <v>132</v>
      </c>
      <c r="F1393" t="s">
        <v>368</v>
      </c>
      <c r="G1393" t="s">
        <v>206</v>
      </c>
      <c r="H1393" s="16">
        <v>938</v>
      </c>
      <c r="I1393" s="16">
        <v>463</v>
      </c>
      <c r="J1393" s="16">
        <v>0</v>
      </c>
      <c r="K1393" s="16">
        <v>9</v>
      </c>
      <c r="L1393" s="16">
        <v>0</v>
      </c>
      <c r="M1393" s="16">
        <v>928</v>
      </c>
      <c r="N1393" s="16">
        <v>-98</v>
      </c>
      <c r="O1393">
        <v>2</v>
      </c>
      <c r="P1393">
        <v>0</v>
      </c>
      <c r="Q1393" s="20">
        <v>0.49360341151385928</v>
      </c>
      <c r="R1393" s="21">
        <v>-0.10560344827586207</v>
      </c>
    </row>
    <row r="1394" spans="1:18">
      <c r="A1394" t="s">
        <v>1997</v>
      </c>
      <c r="B1394" t="s">
        <v>74</v>
      </c>
      <c r="C1394" t="s">
        <v>104</v>
      </c>
      <c r="D1394">
        <v>2</v>
      </c>
      <c r="E1394" t="s">
        <v>132</v>
      </c>
      <c r="F1394" t="s">
        <v>904</v>
      </c>
      <c r="G1394" t="s">
        <v>153</v>
      </c>
      <c r="H1394" s="16">
        <v>913</v>
      </c>
      <c r="I1394" s="16">
        <v>743</v>
      </c>
      <c r="J1394" s="16">
        <v>0</v>
      </c>
      <c r="K1394" s="16">
        <v>15</v>
      </c>
      <c r="L1394" s="16">
        <v>0</v>
      </c>
      <c r="M1394" s="16">
        <v>898</v>
      </c>
      <c r="N1394" s="16">
        <v>-19</v>
      </c>
      <c r="O1394">
        <v>0</v>
      </c>
      <c r="P1394">
        <v>0</v>
      </c>
      <c r="Q1394" s="20">
        <v>0.81380065717415118</v>
      </c>
      <c r="R1394" s="21">
        <v>-2.1158129175946547E-2</v>
      </c>
    </row>
    <row r="1395" spans="1:18">
      <c r="A1395" t="s">
        <v>1998</v>
      </c>
      <c r="B1395" t="s">
        <v>74</v>
      </c>
      <c r="C1395" t="s">
        <v>104</v>
      </c>
      <c r="D1395">
        <v>2</v>
      </c>
      <c r="E1395" t="s">
        <v>132</v>
      </c>
      <c r="F1395" t="s">
        <v>1801</v>
      </c>
      <c r="G1395" t="s">
        <v>146</v>
      </c>
      <c r="H1395" s="16">
        <v>832</v>
      </c>
      <c r="I1395" s="16">
        <v>321</v>
      </c>
      <c r="J1395" s="16">
        <v>257</v>
      </c>
      <c r="K1395" s="16">
        <v>18</v>
      </c>
      <c r="L1395" s="16">
        <v>0</v>
      </c>
      <c r="M1395" s="16">
        <v>814</v>
      </c>
      <c r="N1395" s="16">
        <v>-34</v>
      </c>
      <c r="O1395">
        <v>0</v>
      </c>
      <c r="P1395">
        <v>0</v>
      </c>
      <c r="Q1395" s="20">
        <v>0.38581730769230771</v>
      </c>
      <c r="R1395" s="21">
        <v>-4.1769041769041768E-2</v>
      </c>
    </row>
    <row r="1396" spans="1:18">
      <c r="A1396" t="s">
        <v>1999</v>
      </c>
      <c r="B1396" t="s">
        <v>74</v>
      </c>
      <c r="C1396" t="s">
        <v>104</v>
      </c>
      <c r="D1396">
        <v>2</v>
      </c>
      <c r="E1396" t="s">
        <v>132</v>
      </c>
      <c r="F1396" t="s">
        <v>168</v>
      </c>
      <c r="G1396" t="s">
        <v>169</v>
      </c>
      <c r="H1396" s="16">
        <v>804</v>
      </c>
      <c r="I1396" s="16">
        <v>714</v>
      </c>
      <c r="J1396" s="16">
        <v>37</v>
      </c>
      <c r="K1396" s="16">
        <v>47</v>
      </c>
      <c r="L1396" s="16">
        <v>0</v>
      </c>
      <c r="M1396" s="16">
        <v>757</v>
      </c>
      <c r="N1396" s="16">
        <v>11</v>
      </c>
      <c r="O1396">
        <v>0</v>
      </c>
      <c r="P1396">
        <v>0</v>
      </c>
      <c r="Q1396" s="20">
        <v>0.88805970149253732</v>
      </c>
      <c r="R1396" s="21">
        <v>1.4531043593130779E-2</v>
      </c>
    </row>
    <row r="1397" spans="1:18">
      <c r="A1397" t="s">
        <v>2000</v>
      </c>
      <c r="B1397" t="s">
        <v>89</v>
      </c>
      <c r="C1397" t="s">
        <v>162</v>
      </c>
      <c r="D1397">
        <v>2</v>
      </c>
      <c r="E1397" t="s">
        <v>132</v>
      </c>
      <c r="F1397" t="s">
        <v>163</v>
      </c>
      <c r="G1397" t="s">
        <v>134</v>
      </c>
      <c r="H1397" s="16">
        <v>687</v>
      </c>
      <c r="I1397" s="16">
        <v>0</v>
      </c>
      <c r="J1397" s="16">
        <v>63</v>
      </c>
      <c r="K1397" s="16">
        <v>0</v>
      </c>
      <c r="L1397" s="16">
        <v>0</v>
      </c>
      <c r="M1397" s="16">
        <v>687</v>
      </c>
      <c r="N1397" s="16">
        <v>-105</v>
      </c>
      <c r="O1397">
        <v>1</v>
      </c>
      <c r="P1397">
        <v>0</v>
      </c>
      <c r="Q1397" s="20">
        <v>0</v>
      </c>
      <c r="R1397" s="21">
        <v>-0.15283842794759825</v>
      </c>
    </row>
    <row r="1398" spans="1:18">
      <c r="A1398" t="s">
        <v>2001</v>
      </c>
      <c r="B1398" t="s">
        <v>74</v>
      </c>
      <c r="C1398" t="s">
        <v>104</v>
      </c>
      <c r="D1398">
        <v>2</v>
      </c>
      <c r="E1398" t="s">
        <v>132</v>
      </c>
      <c r="F1398" t="s">
        <v>2002</v>
      </c>
      <c r="G1398" t="s">
        <v>169</v>
      </c>
      <c r="H1398" s="16">
        <v>598</v>
      </c>
      <c r="I1398" s="16">
        <v>13</v>
      </c>
      <c r="J1398" s="16">
        <v>500</v>
      </c>
      <c r="K1398" s="16">
        <v>297</v>
      </c>
      <c r="L1398" s="16">
        <v>0</v>
      </c>
      <c r="M1398" s="16">
        <v>301</v>
      </c>
      <c r="N1398" s="16">
        <v>-44</v>
      </c>
      <c r="O1398">
        <v>0</v>
      </c>
      <c r="P1398">
        <v>0</v>
      </c>
      <c r="Q1398" s="20">
        <v>2.1739130434782608E-2</v>
      </c>
      <c r="R1398" s="21">
        <v>-0.1461794019933555</v>
      </c>
    </row>
    <row r="1399" spans="1:18">
      <c r="A1399" t="s">
        <v>2003</v>
      </c>
      <c r="B1399" t="s">
        <v>74</v>
      </c>
      <c r="C1399" t="s">
        <v>104</v>
      </c>
      <c r="D1399">
        <v>2</v>
      </c>
      <c r="E1399" t="s">
        <v>132</v>
      </c>
      <c r="F1399" t="s">
        <v>145</v>
      </c>
      <c r="G1399" t="s">
        <v>146</v>
      </c>
      <c r="H1399" s="16">
        <v>595</v>
      </c>
      <c r="I1399" s="16">
        <v>433</v>
      </c>
      <c r="J1399" s="16">
        <v>3</v>
      </c>
      <c r="K1399" s="16">
        <v>143</v>
      </c>
      <c r="L1399" s="16">
        <v>0</v>
      </c>
      <c r="M1399" s="16">
        <v>453</v>
      </c>
      <c r="N1399" s="16">
        <v>-68</v>
      </c>
      <c r="O1399">
        <v>0</v>
      </c>
      <c r="P1399">
        <v>0</v>
      </c>
      <c r="Q1399" s="20">
        <v>0.72773109243697476</v>
      </c>
      <c r="R1399" s="21">
        <v>-0.15011037527593818</v>
      </c>
    </row>
    <row r="1400" spans="1:18">
      <c r="A1400" t="s">
        <v>2004</v>
      </c>
      <c r="B1400" t="s">
        <v>74</v>
      </c>
      <c r="C1400" t="s">
        <v>104</v>
      </c>
      <c r="D1400">
        <v>2</v>
      </c>
      <c r="E1400" t="s">
        <v>132</v>
      </c>
      <c r="F1400" t="s">
        <v>2005</v>
      </c>
      <c r="G1400" t="s">
        <v>134</v>
      </c>
      <c r="H1400" s="16">
        <v>562</v>
      </c>
      <c r="I1400" s="16">
        <v>176</v>
      </c>
      <c r="J1400" s="16">
        <v>0</v>
      </c>
      <c r="K1400" s="16">
        <v>12</v>
      </c>
      <c r="L1400" s="16">
        <v>0</v>
      </c>
      <c r="M1400" s="16">
        <v>549</v>
      </c>
      <c r="N1400" s="16">
        <v>5</v>
      </c>
      <c r="O1400">
        <v>0</v>
      </c>
      <c r="P1400">
        <v>0</v>
      </c>
      <c r="Q1400" s="20">
        <v>0.31316725978647686</v>
      </c>
      <c r="R1400" s="21">
        <v>9.1074681238615673E-3</v>
      </c>
    </row>
    <row r="1401" spans="1:18">
      <c r="A1401" t="s">
        <v>2006</v>
      </c>
      <c r="B1401" t="s">
        <v>86</v>
      </c>
      <c r="C1401" t="s">
        <v>104</v>
      </c>
      <c r="D1401">
        <v>2</v>
      </c>
      <c r="E1401" t="s">
        <v>132</v>
      </c>
      <c r="F1401" t="s">
        <v>210</v>
      </c>
      <c r="G1401" t="s">
        <v>211</v>
      </c>
      <c r="H1401" s="16">
        <v>557</v>
      </c>
      <c r="I1401" s="16">
        <v>0</v>
      </c>
      <c r="J1401" s="16">
        <v>373</v>
      </c>
      <c r="K1401" s="16">
        <v>5</v>
      </c>
      <c r="L1401" s="16">
        <v>0</v>
      </c>
      <c r="M1401" s="16">
        <v>552</v>
      </c>
      <c r="N1401" s="16">
        <v>-84</v>
      </c>
      <c r="O1401">
        <v>2</v>
      </c>
      <c r="P1401">
        <v>0</v>
      </c>
      <c r="Q1401" s="20">
        <v>0</v>
      </c>
      <c r="R1401" s="21">
        <v>-0.15217391304347827</v>
      </c>
    </row>
    <row r="1402" spans="1:18">
      <c r="A1402" t="s">
        <v>2007</v>
      </c>
      <c r="B1402" t="s">
        <v>86</v>
      </c>
      <c r="C1402" t="s">
        <v>101</v>
      </c>
      <c r="D1402">
        <v>2</v>
      </c>
      <c r="E1402" t="s">
        <v>132</v>
      </c>
      <c r="F1402" t="s">
        <v>145</v>
      </c>
      <c r="G1402" t="s">
        <v>146</v>
      </c>
      <c r="H1402" s="16">
        <v>557</v>
      </c>
      <c r="I1402" s="16">
        <v>0</v>
      </c>
      <c r="J1402" s="16">
        <v>403</v>
      </c>
      <c r="K1402" s="16">
        <v>7</v>
      </c>
      <c r="L1402" s="16">
        <v>0</v>
      </c>
      <c r="M1402" s="16">
        <v>550</v>
      </c>
      <c r="N1402" s="16">
        <v>-51</v>
      </c>
      <c r="O1402">
        <v>2</v>
      </c>
      <c r="P1402">
        <v>0</v>
      </c>
      <c r="Q1402" s="20">
        <v>0</v>
      </c>
      <c r="R1402" s="21">
        <v>-9.2727272727272728E-2</v>
      </c>
    </row>
    <row r="1403" spans="1:18">
      <c r="A1403" t="s">
        <v>2008</v>
      </c>
      <c r="B1403" t="s">
        <v>74</v>
      </c>
      <c r="C1403" t="s">
        <v>104</v>
      </c>
      <c r="D1403">
        <v>2</v>
      </c>
      <c r="E1403" t="s">
        <v>132</v>
      </c>
      <c r="F1403" t="s">
        <v>671</v>
      </c>
      <c r="G1403" t="s">
        <v>211</v>
      </c>
      <c r="H1403" s="16">
        <v>535</v>
      </c>
      <c r="I1403" s="16">
        <v>312</v>
      </c>
      <c r="J1403" s="16">
        <v>209</v>
      </c>
      <c r="K1403" s="16">
        <v>32</v>
      </c>
      <c r="L1403" s="16">
        <v>0</v>
      </c>
      <c r="M1403" s="16">
        <v>502</v>
      </c>
      <c r="N1403" s="16">
        <v>-26</v>
      </c>
      <c r="O1403">
        <v>0</v>
      </c>
      <c r="P1403">
        <v>0</v>
      </c>
      <c r="Q1403" s="20">
        <v>0.58317757009345794</v>
      </c>
      <c r="R1403" s="21">
        <v>-5.1792828685258967E-2</v>
      </c>
    </row>
    <row r="1404" spans="1:18">
      <c r="A1404" t="s">
        <v>2009</v>
      </c>
      <c r="B1404" t="s">
        <v>74</v>
      </c>
      <c r="C1404" t="s">
        <v>104</v>
      </c>
      <c r="D1404">
        <v>2</v>
      </c>
      <c r="E1404" t="s">
        <v>132</v>
      </c>
      <c r="F1404" t="s">
        <v>1904</v>
      </c>
      <c r="G1404" t="s">
        <v>169</v>
      </c>
      <c r="H1404" s="16">
        <v>493</v>
      </c>
      <c r="I1404" s="16">
        <v>251</v>
      </c>
      <c r="J1404" s="16">
        <v>0</v>
      </c>
      <c r="K1404" s="16">
        <v>25</v>
      </c>
      <c r="L1404" s="16">
        <v>0</v>
      </c>
      <c r="M1404" s="16">
        <v>469</v>
      </c>
      <c r="N1404" s="16">
        <v>0</v>
      </c>
      <c r="O1404">
        <v>0</v>
      </c>
      <c r="P1404">
        <v>0</v>
      </c>
      <c r="Q1404" s="20">
        <v>0.50912778904665312</v>
      </c>
      <c r="R1404" s="21">
        <v>0</v>
      </c>
    </row>
    <row r="1405" spans="1:18">
      <c r="A1405" t="s">
        <v>2010</v>
      </c>
      <c r="B1405" t="s">
        <v>74</v>
      </c>
      <c r="C1405" t="s">
        <v>104</v>
      </c>
      <c r="D1405">
        <v>2</v>
      </c>
      <c r="E1405" t="s">
        <v>132</v>
      </c>
      <c r="F1405" t="s">
        <v>530</v>
      </c>
      <c r="G1405" t="s">
        <v>134</v>
      </c>
      <c r="H1405" s="16">
        <v>436</v>
      </c>
      <c r="I1405" s="16">
        <v>191</v>
      </c>
      <c r="J1405" s="16">
        <v>174</v>
      </c>
      <c r="K1405" s="16">
        <v>100</v>
      </c>
      <c r="L1405" s="16">
        <v>0</v>
      </c>
      <c r="M1405" s="16">
        <v>336</v>
      </c>
      <c r="N1405" s="16">
        <v>30</v>
      </c>
      <c r="O1405">
        <v>0</v>
      </c>
      <c r="P1405">
        <v>0</v>
      </c>
      <c r="Q1405" s="20">
        <v>0.43807339449541283</v>
      </c>
      <c r="R1405" s="21">
        <v>8.9285714285714288E-2</v>
      </c>
    </row>
    <row r="1406" spans="1:18">
      <c r="A1406" t="s">
        <v>2011</v>
      </c>
      <c r="B1406" t="s">
        <v>86</v>
      </c>
      <c r="C1406" t="s">
        <v>104</v>
      </c>
      <c r="D1406">
        <v>2</v>
      </c>
      <c r="E1406" t="s">
        <v>132</v>
      </c>
      <c r="F1406" t="s">
        <v>210</v>
      </c>
      <c r="G1406" t="s">
        <v>211</v>
      </c>
      <c r="H1406" s="16">
        <v>401</v>
      </c>
      <c r="I1406" s="16">
        <v>0</v>
      </c>
      <c r="J1406" s="16">
        <v>0</v>
      </c>
      <c r="K1406" s="16">
        <v>5</v>
      </c>
      <c r="L1406" s="16">
        <v>0</v>
      </c>
      <c r="M1406" s="16">
        <v>396</v>
      </c>
      <c r="N1406" s="16">
        <v>26</v>
      </c>
      <c r="O1406">
        <v>2</v>
      </c>
      <c r="P1406">
        <v>0</v>
      </c>
      <c r="Q1406" s="20">
        <v>0</v>
      </c>
      <c r="R1406" s="21">
        <v>6.5656565656565663E-2</v>
      </c>
    </row>
    <row r="1407" spans="1:18">
      <c r="A1407" t="s">
        <v>2012</v>
      </c>
      <c r="B1407" t="s">
        <v>86</v>
      </c>
      <c r="C1407" t="s">
        <v>104</v>
      </c>
      <c r="D1407">
        <v>2</v>
      </c>
      <c r="E1407" t="s">
        <v>132</v>
      </c>
      <c r="F1407" t="s">
        <v>133</v>
      </c>
      <c r="G1407" t="s">
        <v>134</v>
      </c>
      <c r="H1407" s="16">
        <v>365</v>
      </c>
      <c r="I1407" s="16">
        <v>0</v>
      </c>
      <c r="J1407" s="16">
        <v>333</v>
      </c>
      <c r="K1407" s="16">
        <v>143</v>
      </c>
      <c r="L1407" s="16">
        <v>0</v>
      </c>
      <c r="M1407" s="16">
        <v>222</v>
      </c>
      <c r="N1407" s="16">
        <v>-178</v>
      </c>
      <c r="O1407">
        <v>2</v>
      </c>
      <c r="P1407">
        <v>0</v>
      </c>
      <c r="Q1407" s="20">
        <v>0</v>
      </c>
      <c r="R1407" s="21">
        <v>-0.80180180180180183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F7EE-6B57-44C7-9C1C-9A3DBCF358B7}">
  <dimension ref="A1:G88"/>
  <sheetViews>
    <sheetView zoomScale="80" zoomScaleNormal="80" workbookViewId="0">
      <selection activeCell="H15" sqref="H15"/>
    </sheetView>
  </sheetViews>
  <sheetFormatPr defaultRowHeight="15"/>
  <cols>
    <col min="1" max="1" width="19" bestFit="1" customWidth="1"/>
    <col min="2" max="2" width="18.5703125" bestFit="1" customWidth="1"/>
    <col min="3" max="3" width="9.85546875" customWidth="1"/>
    <col min="4" max="4" width="18.42578125" bestFit="1" customWidth="1"/>
    <col min="5" max="5" width="19.140625" bestFit="1" customWidth="1"/>
    <col min="6" max="6" width="15.140625" bestFit="1" customWidth="1"/>
    <col min="7" max="7" width="23.42578125" bestFit="1" customWidth="1"/>
    <col min="8" max="8" width="17.85546875" bestFit="1" customWidth="1"/>
  </cols>
  <sheetData>
    <row r="1" spans="1:7" ht="17.25">
      <c r="A1" s="138" t="s">
        <v>2013</v>
      </c>
      <c r="B1" s="138"/>
      <c r="C1" s="138"/>
      <c r="D1" s="138"/>
      <c r="E1" s="138"/>
      <c r="F1" s="138"/>
      <c r="G1" s="138"/>
    </row>
    <row r="3" spans="1:7">
      <c r="A3" s="14" t="s">
        <v>2014</v>
      </c>
      <c r="B3" t="s">
        <v>2015</v>
      </c>
      <c r="D3" t="s">
        <v>2014</v>
      </c>
      <c r="E3" t="s">
        <v>2015</v>
      </c>
    </row>
    <row r="4" spans="1:7">
      <c r="A4" s="15" t="s">
        <v>92</v>
      </c>
      <c r="B4" s="49">
        <v>10</v>
      </c>
      <c r="D4" t="str">
        <f t="shared" ref="D4:D8" si="0">A4</f>
        <v>S1</v>
      </c>
      <c r="E4">
        <f t="shared" ref="E4:E9" si="1">B4</f>
        <v>10</v>
      </c>
    </row>
    <row r="5" spans="1:7">
      <c r="A5" s="15" t="s">
        <v>95</v>
      </c>
      <c r="B5" s="49">
        <v>14</v>
      </c>
      <c r="D5" t="str">
        <f t="shared" si="0"/>
        <v>S2</v>
      </c>
      <c r="E5">
        <f t="shared" si="1"/>
        <v>14</v>
      </c>
    </row>
    <row r="6" spans="1:7">
      <c r="A6" s="15" t="s">
        <v>98</v>
      </c>
      <c r="B6" s="49">
        <v>71</v>
      </c>
      <c r="D6" t="str">
        <f t="shared" si="0"/>
        <v>S3</v>
      </c>
      <c r="E6">
        <f t="shared" si="1"/>
        <v>71</v>
      </c>
    </row>
    <row r="7" spans="1:7">
      <c r="A7" s="15" t="s">
        <v>162</v>
      </c>
      <c r="B7" s="49">
        <v>130</v>
      </c>
      <c r="D7" t="str">
        <f t="shared" si="0"/>
        <v>NA</v>
      </c>
      <c r="E7">
        <f t="shared" si="1"/>
        <v>130</v>
      </c>
    </row>
    <row r="8" spans="1:7">
      <c r="A8" s="15" t="s">
        <v>101</v>
      </c>
      <c r="B8" s="49">
        <v>391</v>
      </c>
      <c r="D8" t="str">
        <f t="shared" si="0"/>
        <v>S4</v>
      </c>
      <c r="E8">
        <f t="shared" si="1"/>
        <v>391</v>
      </c>
    </row>
    <row r="9" spans="1:7">
      <c r="A9" s="15" t="s">
        <v>104</v>
      </c>
      <c r="B9" s="49">
        <v>790</v>
      </c>
      <c r="D9" t="str">
        <f>A9</f>
        <v>S5</v>
      </c>
      <c r="E9">
        <f t="shared" si="1"/>
        <v>790</v>
      </c>
    </row>
    <row r="10" spans="1:7">
      <c r="A10" s="15" t="s">
        <v>2016</v>
      </c>
      <c r="B10" s="49">
        <v>1406</v>
      </c>
    </row>
    <row r="11" spans="1:7" ht="23.25" customHeight="1"/>
    <row r="12" spans="1:7">
      <c r="A12" s="14" t="s">
        <v>18</v>
      </c>
      <c r="B12" t="s">
        <v>2015</v>
      </c>
      <c r="D12" t="s">
        <v>18</v>
      </c>
      <c r="E12" t="s">
        <v>2015</v>
      </c>
    </row>
    <row r="13" spans="1:7">
      <c r="A13" s="15" t="s">
        <v>136</v>
      </c>
      <c r="B13" s="49">
        <v>29</v>
      </c>
      <c r="D13" t="str">
        <f t="shared" ref="D13:D16" si="2">A13</f>
        <v>Público</v>
      </c>
      <c r="E13">
        <f t="shared" ref="E13:E16" si="3">B13</f>
        <v>29</v>
      </c>
    </row>
    <row r="14" spans="1:7">
      <c r="A14" s="15" t="s">
        <v>143</v>
      </c>
      <c r="B14" s="49">
        <v>173</v>
      </c>
      <c r="D14" t="str">
        <f t="shared" si="2"/>
        <v>Privado Estrangeiro</v>
      </c>
      <c r="E14">
        <f t="shared" si="3"/>
        <v>173</v>
      </c>
      <c r="G14" s="50" t="s">
        <v>2017</v>
      </c>
    </row>
    <row r="15" spans="1:7">
      <c r="A15" s="15" t="s">
        <v>132</v>
      </c>
      <c r="B15" s="49">
        <v>1204</v>
      </c>
      <c r="D15" t="str">
        <f t="shared" si="2"/>
        <v>Privado Nacional</v>
      </c>
      <c r="E15">
        <f t="shared" si="3"/>
        <v>1204</v>
      </c>
    </row>
    <row r="16" spans="1:7">
      <c r="A16" s="15" t="s">
        <v>2016</v>
      </c>
      <c r="B16" s="49">
        <v>1406</v>
      </c>
      <c r="D16" t="str">
        <f t="shared" si="2"/>
        <v>Grand Total</v>
      </c>
      <c r="E16">
        <f t="shared" si="3"/>
        <v>1406</v>
      </c>
    </row>
    <row r="18" spans="1:5">
      <c r="A18" s="14" t="s">
        <v>2014</v>
      </c>
      <c r="B18" t="s">
        <v>2018</v>
      </c>
      <c r="D18" t="s">
        <v>2014</v>
      </c>
      <c r="E18" t="s">
        <v>29</v>
      </c>
    </row>
    <row r="19" spans="1:5">
      <c r="A19" s="15" t="s">
        <v>162</v>
      </c>
      <c r="B19" s="17">
        <v>158921710</v>
      </c>
      <c r="D19" t="str">
        <f t="shared" ref="D19:E24" si="4">A19</f>
        <v>NA</v>
      </c>
      <c r="E19" s="17">
        <f t="shared" si="4"/>
        <v>158921710</v>
      </c>
    </row>
    <row r="20" spans="1:5">
      <c r="A20" s="15" t="s">
        <v>104</v>
      </c>
      <c r="B20" s="17">
        <v>512557103</v>
      </c>
      <c r="D20" t="str">
        <f t="shared" si="4"/>
        <v>S5</v>
      </c>
      <c r="E20" s="17">
        <f t="shared" si="4"/>
        <v>512557103</v>
      </c>
    </row>
    <row r="21" spans="1:5">
      <c r="A21" s="15" t="s">
        <v>101</v>
      </c>
      <c r="B21" s="17">
        <v>942098679</v>
      </c>
      <c r="D21" t="str">
        <f t="shared" si="4"/>
        <v>S4</v>
      </c>
      <c r="E21" s="17">
        <f t="shared" si="4"/>
        <v>942098679</v>
      </c>
    </row>
    <row r="22" spans="1:5">
      <c r="A22" s="15" t="s">
        <v>98</v>
      </c>
      <c r="B22" s="17">
        <v>2412543434</v>
      </c>
      <c r="D22" t="str">
        <f t="shared" si="4"/>
        <v>S3</v>
      </c>
      <c r="E22" s="17">
        <f t="shared" si="4"/>
        <v>2412543434</v>
      </c>
    </row>
    <row r="23" spans="1:5">
      <c r="A23" s="15" t="s">
        <v>95</v>
      </c>
      <c r="B23" s="17">
        <v>3132959342</v>
      </c>
      <c r="D23" t="str">
        <f t="shared" si="4"/>
        <v>S2</v>
      </c>
      <c r="E23" s="17">
        <f t="shared" si="4"/>
        <v>3132959342</v>
      </c>
    </row>
    <row r="24" spans="1:5">
      <c r="A24" s="15" t="s">
        <v>92</v>
      </c>
      <c r="B24" s="17">
        <v>12299822252</v>
      </c>
      <c r="D24" t="str">
        <f t="shared" si="4"/>
        <v>S1</v>
      </c>
      <c r="E24" s="17">
        <f t="shared" si="4"/>
        <v>12299822252</v>
      </c>
    </row>
    <row r="25" spans="1:5">
      <c r="A25" s="15" t="s">
        <v>2016</v>
      </c>
      <c r="B25" s="17">
        <v>19458902520</v>
      </c>
      <c r="E25" s="17"/>
    </row>
    <row r="26" spans="1:5" ht="18.75" customHeight="1">
      <c r="A26" s="15"/>
      <c r="B26" s="17"/>
      <c r="E26" s="17"/>
    </row>
    <row r="27" spans="1:5">
      <c r="A27" s="14" t="s">
        <v>18</v>
      </c>
      <c r="B27" t="s">
        <v>2019</v>
      </c>
      <c r="D27" t="s">
        <v>18</v>
      </c>
      <c r="E27" t="s">
        <v>120</v>
      </c>
    </row>
    <row r="28" spans="1:5">
      <c r="A28" s="15" t="s">
        <v>143</v>
      </c>
      <c r="B28" s="17">
        <v>3257438553</v>
      </c>
      <c r="D28" t="str">
        <f t="shared" ref="D28:E30" si="5">A28</f>
        <v>Privado Estrangeiro</v>
      </c>
      <c r="E28" s="17">
        <f t="shared" si="5"/>
        <v>3257438553</v>
      </c>
    </row>
    <row r="29" spans="1:5">
      <c r="A29" s="15" t="s">
        <v>136</v>
      </c>
      <c r="B29" s="17">
        <v>6497590725</v>
      </c>
      <c r="D29" t="str">
        <f t="shared" si="5"/>
        <v>Público</v>
      </c>
      <c r="E29" s="17">
        <f t="shared" si="5"/>
        <v>6497590725</v>
      </c>
    </row>
    <row r="30" spans="1:5">
      <c r="A30" s="15" t="s">
        <v>132</v>
      </c>
      <c r="B30" s="17">
        <v>9703873242</v>
      </c>
      <c r="D30" t="str">
        <f t="shared" si="5"/>
        <v>Privado Nacional</v>
      </c>
      <c r="E30" s="17">
        <f t="shared" si="5"/>
        <v>9703873242</v>
      </c>
    </row>
    <row r="31" spans="1:5">
      <c r="A31" s="15" t="s">
        <v>2016</v>
      </c>
      <c r="B31" s="17">
        <v>19458902520</v>
      </c>
    </row>
    <row r="32" spans="1:5" ht="19.5" customHeight="1"/>
    <row r="33" spans="1:7">
      <c r="A33" s="14" t="s">
        <v>18</v>
      </c>
      <c r="B33" t="s">
        <v>2020</v>
      </c>
    </row>
    <row r="34" spans="1:7">
      <c r="A34" s="15" t="s">
        <v>132</v>
      </c>
      <c r="B34" s="49">
        <v>1204</v>
      </c>
    </row>
    <row r="35" spans="1:7">
      <c r="A35" s="15" t="s">
        <v>143</v>
      </c>
      <c r="B35" s="49">
        <v>173</v>
      </c>
    </row>
    <row r="36" spans="1:7">
      <c r="A36" s="15" t="s">
        <v>136</v>
      </c>
      <c r="B36" s="49">
        <v>29</v>
      </c>
    </row>
    <row r="37" spans="1:7">
      <c r="A37" s="15" t="s">
        <v>2016</v>
      </c>
      <c r="B37" s="49">
        <v>1406</v>
      </c>
    </row>
    <row r="38" spans="1:7" ht="19.5" customHeight="1">
      <c r="A38" s="15"/>
    </row>
    <row r="39" spans="1:7">
      <c r="A39" s="14" t="s">
        <v>2014</v>
      </c>
      <c r="B39" t="s">
        <v>2021</v>
      </c>
      <c r="D39" t="s">
        <v>2014</v>
      </c>
      <c r="E39" s="17" t="s">
        <v>29</v>
      </c>
      <c r="F39" s="17" t="s">
        <v>2022</v>
      </c>
      <c r="G39" s="17" t="s">
        <v>2023</v>
      </c>
    </row>
    <row r="40" spans="1:7">
      <c r="A40" s="15" t="s">
        <v>150</v>
      </c>
      <c r="B40" s="17">
        <v>267997089</v>
      </c>
      <c r="D40" t="str">
        <f t="shared" ref="D40:D49" si="6">A40</f>
        <v>NUBANK</v>
      </c>
      <c r="E40" s="17">
        <f t="shared" ref="E40:E49" si="7">B40</f>
        <v>267997089</v>
      </c>
      <c r="F40" s="18">
        <f>Table6[[#This Row],[Ativo Total]]/SUM(IFdata_6_2026[[Ativo Total ]])</f>
        <v>1.3772466804052832E-2</v>
      </c>
      <c r="G40" s="19">
        <f>Table6[[#This Row],[% Ativo Total ]]</f>
        <v>1.3772466804052832E-2</v>
      </c>
    </row>
    <row r="41" spans="1:7">
      <c r="A41" s="15" t="s">
        <v>149</v>
      </c>
      <c r="B41" s="17">
        <v>276259563</v>
      </c>
      <c r="D41" t="str">
        <f t="shared" si="6"/>
        <v>SAFRA</v>
      </c>
      <c r="E41" s="17">
        <f t="shared" si="7"/>
        <v>276259563</v>
      </c>
      <c r="F41" s="18">
        <f>Table6[[#This Row],[Ativo Total]]/SUM(IFdata_6_2026[[Ativo Total ]])</f>
        <v>1.4197078314979914E-2</v>
      </c>
      <c r="G41" s="19">
        <f>G40+Table6[[#This Row],[% Ativo Total ]]</f>
        <v>2.7969545119032747E-2</v>
      </c>
    </row>
    <row r="42" spans="1:7">
      <c r="A42" s="15" t="s">
        <v>148</v>
      </c>
      <c r="B42" s="17">
        <v>347231502</v>
      </c>
      <c r="D42" t="str">
        <f t="shared" si="6"/>
        <v>XP</v>
      </c>
      <c r="E42" s="17">
        <f t="shared" si="7"/>
        <v>347231502</v>
      </c>
      <c r="F42" s="18">
        <f>Table6[[#This Row],[Ativo Total]]/SUM(IFdata_6_2026[[Ativo Total ]])</f>
        <v>1.7844351789270387E-2</v>
      </c>
      <c r="G42" s="19">
        <f>G41+Table6[[#This Row],[% Ativo Total ]]</f>
        <v>4.5813896908303134E-2</v>
      </c>
    </row>
    <row r="43" spans="1:7">
      <c r="A43" s="15" t="s">
        <v>147</v>
      </c>
      <c r="B43" s="17">
        <v>886560321</v>
      </c>
      <c r="D43" t="str">
        <f t="shared" si="6"/>
        <v>BTG PACTUAL</v>
      </c>
      <c r="E43" s="17">
        <f t="shared" si="7"/>
        <v>886560321</v>
      </c>
      <c r="F43" s="18">
        <f>Table6[[#This Row],[Ativo Total]]/SUM(IFdata_6_2026[[Ativo Total ]])</f>
        <v>4.5560653797858688E-2</v>
      </c>
      <c r="G43" s="19">
        <f>G42+Table6[[#This Row],[% Ativo Total ]]</f>
        <v>9.1374550706161822E-2</v>
      </c>
    </row>
    <row r="44" spans="1:7">
      <c r="A44" s="15" t="s">
        <v>144</v>
      </c>
      <c r="B44" s="17">
        <v>1073403746</v>
      </c>
      <c r="D44" t="str">
        <f t="shared" si="6"/>
        <v>BNDES</v>
      </c>
      <c r="E44" s="17">
        <f t="shared" si="7"/>
        <v>1073403746</v>
      </c>
      <c r="F44" s="18">
        <f>Table6[[#This Row],[Ativo Total]]/SUM(IFdata_6_2026[[Ativo Total ]])</f>
        <v>5.5162604617436564E-2</v>
      </c>
      <c r="G44" s="19">
        <f>G43+Table6[[#This Row],[% Ativo Total ]]</f>
        <v>0.1465371553235984</v>
      </c>
    </row>
    <row r="45" spans="1:7">
      <c r="A45" s="15" t="s">
        <v>142</v>
      </c>
      <c r="B45" s="17">
        <v>1318054939</v>
      </c>
      <c r="D45" t="str">
        <f t="shared" si="6"/>
        <v>SANTANDER</v>
      </c>
      <c r="E45" s="17">
        <f t="shared" si="7"/>
        <v>1318054939</v>
      </c>
      <c r="F45" s="18">
        <f>Table6[[#This Row],[Ativo Total]]/SUM(IFdata_6_2026[[Ativo Total ]])</f>
        <v>6.7735317428374686E-2</v>
      </c>
      <c r="G45" s="19">
        <f>G44+Table6[[#This Row],[% Ativo Total ]]</f>
        <v>0.21427247275197309</v>
      </c>
    </row>
    <row r="46" spans="1:7">
      <c r="A46" s="15" t="s">
        <v>140</v>
      </c>
      <c r="B46" s="17">
        <v>2043928673</v>
      </c>
      <c r="D46" t="str">
        <f t="shared" si="6"/>
        <v>BRADESCO</v>
      </c>
      <c r="E46" s="17">
        <f t="shared" si="7"/>
        <v>2043928673</v>
      </c>
      <c r="F46" s="18">
        <f>Table6[[#This Row],[Ativo Total]]/SUM(IFdata_6_2026[[Ativo Total ]])</f>
        <v>0.10503822972026482</v>
      </c>
      <c r="G46" s="19">
        <f>G45+Table6[[#This Row],[% Ativo Total ]]</f>
        <v>0.31931070247223792</v>
      </c>
    </row>
    <row r="47" spans="1:7">
      <c r="A47" s="15" t="s">
        <v>139</v>
      </c>
      <c r="B47" s="17">
        <v>2368233902</v>
      </c>
      <c r="D47" t="str">
        <f t="shared" si="6"/>
        <v>CAIXA</v>
      </c>
      <c r="E47" s="17">
        <f t="shared" si="7"/>
        <v>2368233902</v>
      </c>
      <c r="F47" s="18">
        <f>Table6[[#This Row],[Ativo Total]]/SUM(IFdata_6_2026[[Ativo Total ]])</f>
        <v>0.12170439209333168</v>
      </c>
      <c r="G47" s="19">
        <f>G46+Table6[[#This Row],[% Ativo Total ]]</f>
        <v>0.44101509456556959</v>
      </c>
    </row>
    <row r="48" spans="1:7">
      <c r="A48" s="15" t="s">
        <v>135</v>
      </c>
      <c r="B48" s="17">
        <v>2583811190</v>
      </c>
      <c r="D48" t="str">
        <f t="shared" si="6"/>
        <v>BB</v>
      </c>
      <c r="E48" s="17">
        <f t="shared" si="7"/>
        <v>2583811190</v>
      </c>
      <c r="F48" s="18">
        <f>Table6[[#This Row],[Ativo Total]]/SUM(IFdata_6_2026[[Ativo Total ]])</f>
        <v>0.13278298646824199</v>
      </c>
      <c r="G48" s="19">
        <f>G47+Table6[[#This Row],[% Ativo Total ]]</f>
        <v>0.57379808103381158</v>
      </c>
    </row>
    <row r="49" spans="1:7">
      <c r="A49" s="15" t="s">
        <v>131</v>
      </c>
      <c r="B49" s="17">
        <v>2845762304</v>
      </c>
      <c r="D49" t="str">
        <f t="shared" si="6"/>
        <v>ITAU</v>
      </c>
      <c r="E49" s="17">
        <f t="shared" si="7"/>
        <v>2845762304</v>
      </c>
      <c r="F49" s="18">
        <f>Table6[[#This Row],[Ativo Total]]/SUM(IFdata_6_2026[[Ativo Total ]])</f>
        <v>0.14624474844226723</v>
      </c>
      <c r="G49" s="19">
        <f>G48+Table6[[#This Row],[% Ativo Total ]]</f>
        <v>0.72004282947607878</v>
      </c>
    </row>
    <row r="50" spans="1:7">
      <c r="A50" s="15" t="s">
        <v>2016</v>
      </c>
      <c r="B50" s="17">
        <v>14011243229</v>
      </c>
      <c r="D50" t="s">
        <v>2024</v>
      </c>
      <c r="E50" s="17">
        <f>SUBTOTAL(109,Table6[Ativo Total])</f>
        <v>14011243229</v>
      </c>
      <c r="F50" s="19">
        <f>SUBTOTAL(109,Table6[% Ativo Total ])</f>
        <v>0.72004282947607878</v>
      </c>
      <c r="G50" s="19">
        <f>SUBTOTAL(109,Table6[% Ativo Total Acum.])</f>
        <v>2.5939067951608199</v>
      </c>
    </row>
    <row r="83" spans="4:5">
      <c r="D83" t="s">
        <v>92</v>
      </c>
      <c r="E83" t="e">
        <f>COUNTIF(#REF!,"S1")</f>
        <v>#REF!</v>
      </c>
    </row>
    <row r="84" spans="4:5">
      <c r="D84" t="s">
        <v>95</v>
      </c>
      <c r="E84" t="e">
        <f>COUNTIF(#REF!,"S2")</f>
        <v>#REF!</v>
      </c>
    </row>
    <row r="85" spans="4:5">
      <c r="D85" t="s">
        <v>98</v>
      </c>
      <c r="E85" t="e">
        <f>COUNTIF(#REF!,"S3")</f>
        <v>#REF!</v>
      </c>
    </row>
    <row r="86" spans="4:5">
      <c r="D86" t="s">
        <v>101</v>
      </c>
      <c r="E86" t="e">
        <f>COUNTIF(#REF!,"S4")</f>
        <v>#REF!</v>
      </c>
    </row>
    <row r="87" spans="4:5">
      <c r="D87" t="s">
        <v>104</v>
      </c>
      <c r="E87" t="e">
        <f>COUNTIF(#REF!,"S5")</f>
        <v>#REF!</v>
      </c>
    </row>
    <row r="88" spans="4:5">
      <c r="D88" t="s">
        <v>162</v>
      </c>
      <c r="E88" t="e">
        <f>COUNTIF(#REF!,"NA")</f>
        <v>#REF!</v>
      </c>
    </row>
  </sheetData>
  <mergeCells count="1">
    <mergeCell ref="A1:G1"/>
  </mergeCells>
  <phoneticPr fontId="10" type="noConversion"/>
  <pageMargins left="0.7" right="0.7" top="0.75" bottom="0.75" header="0.3" footer="0.3"/>
  <ignoredErrors>
    <ignoredError sqref="G41:G49" calculatedColumn="1"/>
  </ignoredErrors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C9D3-058A-42CC-9A9E-B66E7085B052}">
  <dimension ref="A1:I70"/>
  <sheetViews>
    <sheetView showGridLines="0" zoomScale="90" zoomScaleNormal="90" workbookViewId="0">
      <selection activeCell="O61" sqref="O61"/>
    </sheetView>
  </sheetViews>
  <sheetFormatPr defaultRowHeight="15"/>
  <cols>
    <col min="1" max="1" width="99.140625" customWidth="1"/>
    <col min="4" max="4" width="9.140625" customWidth="1"/>
    <col min="7" max="7" width="5.85546875" customWidth="1"/>
    <col min="9" max="9" width="7" customWidth="1"/>
  </cols>
  <sheetData>
    <row r="1" spans="1:9" ht="20.25" customHeight="1">
      <c r="A1" s="138" t="s">
        <v>2025</v>
      </c>
      <c r="B1" s="138"/>
      <c r="C1" s="138"/>
      <c r="D1" s="138"/>
      <c r="E1" s="138"/>
      <c r="F1" s="138"/>
      <c r="G1" s="138"/>
      <c r="H1" s="138"/>
      <c r="I1" s="138"/>
    </row>
    <row r="14" spans="1:9" ht="21.75" customHeight="1"/>
    <row r="15" spans="1:9" ht="17.25">
      <c r="A15" s="138" t="s">
        <v>2026</v>
      </c>
      <c r="B15" s="138"/>
      <c r="C15" s="138"/>
      <c r="D15" s="138"/>
      <c r="E15" s="138"/>
      <c r="F15" s="138"/>
      <c r="G15" s="138"/>
      <c r="H15" s="138"/>
      <c r="I15" s="138"/>
    </row>
    <row r="31" spans="1:9" ht="32.25" customHeight="1"/>
    <row r="32" spans="1:9" ht="17.25">
      <c r="A32" s="138" t="s">
        <v>2027</v>
      </c>
      <c r="B32" s="138"/>
      <c r="C32" s="138"/>
      <c r="D32" s="138"/>
      <c r="E32" s="138"/>
      <c r="F32" s="138"/>
      <c r="G32" s="138"/>
      <c r="H32" s="138"/>
      <c r="I32" s="138"/>
    </row>
    <row r="49" spans="1:9" ht="9.75" customHeight="1"/>
    <row r="50" spans="1:9" ht="17.25">
      <c r="A50" s="138" t="s">
        <v>2028</v>
      </c>
      <c r="B50" s="138"/>
      <c r="C50" s="138"/>
      <c r="D50" s="138"/>
      <c r="E50" s="138"/>
      <c r="F50" s="138"/>
      <c r="G50" s="138"/>
      <c r="H50" s="138"/>
      <c r="I50" s="138"/>
    </row>
    <row r="69" spans="1:1" ht="12.75" customHeight="1">
      <c r="A69" s="1"/>
    </row>
    <row r="70" spans="1:1" ht="16.5">
      <c r="A70" s="1"/>
    </row>
  </sheetData>
  <mergeCells count="4">
    <mergeCell ref="A1:I1"/>
    <mergeCell ref="A15:I15"/>
    <mergeCell ref="A32:I32"/>
    <mergeCell ref="A50:I5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82C4-6C83-4FAF-B64C-2B09DF1ECD54}">
  <dimension ref="A1:D34"/>
  <sheetViews>
    <sheetView showGridLines="0" zoomScale="85" zoomScaleNormal="85" workbookViewId="0">
      <selection activeCell="H12" sqref="H12"/>
    </sheetView>
  </sheetViews>
  <sheetFormatPr defaultColWidth="8.7109375" defaultRowHeight="15"/>
  <cols>
    <col min="1" max="1" width="41" bestFit="1" customWidth="1"/>
    <col min="2" max="3" width="26" customWidth="1"/>
    <col min="4" max="4" width="45.7109375" customWidth="1"/>
    <col min="5" max="5" width="0.140625" customWidth="1"/>
  </cols>
  <sheetData>
    <row r="1" spans="1:4" ht="17.25">
      <c r="A1" s="138" t="s">
        <v>2029</v>
      </c>
      <c r="B1" s="138"/>
      <c r="C1" s="138"/>
      <c r="D1" s="138"/>
    </row>
    <row r="2" spans="1:4" ht="0.75" customHeight="1"/>
    <row r="3" spans="1:4" ht="7.5" customHeight="1"/>
    <row r="4" spans="1:4" ht="21.75" customHeight="1">
      <c r="A4" s="144" t="s">
        <v>2030</v>
      </c>
      <c r="B4" s="145"/>
      <c r="C4" s="145"/>
      <c r="D4" s="146"/>
    </row>
    <row r="5" spans="1:4" ht="87" customHeight="1">
      <c r="A5" s="25" t="s">
        <v>2031</v>
      </c>
      <c r="B5" s="147" t="s">
        <v>2032</v>
      </c>
      <c r="C5" s="148"/>
      <c r="D5" s="149"/>
    </row>
    <row r="6" spans="1:4" ht="27" customHeight="1">
      <c r="A6" s="25" t="s">
        <v>2033</v>
      </c>
      <c r="B6" s="142" t="s">
        <v>2034</v>
      </c>
      <c r="C6" s="142"/>
      <c r="D6" s="143"/>
    </row>
    <row r="7" spans="1:4" ht="15" customHeight="1">
      <c r="A7" s="25" t="s">
        <v>2035</v>
      </c>
      <c r="B7" s="142" t="s">
        <v>2036</v>
      </c>
      <c r="C7" s="142"/>
      <c r="D7" s="143"/>
    </row>
    <row r="8" spans="1:4" ht="15" customHeight="1">
      <c r="A8" s="32" t="s">
        <v>2037</v>
      </c>
      <c r="B8" s="140" t="s">
        <v>2038</v>
      </c>
      <c r="C8" s="140"/>
      <c r="D8" s="141"/>
    </row>
    <row r="9" spans="1:4">
      <c r="A9" s="32" t="s">
        <v>2039</v>
      </c>
      <c r="B9" s="140" t="s">
        <v>2040</v>
      </c>
      <c r="C9" s="140"/>
      <c r="D9" s="141"/>
    </row>
    <row r="10" spans="1:4" ht="7.5" customHeight="1"/>
    <row r="11" spans="1:4" ht="21.75" customHeight="1">
      <c r="A11" s="144" t="s">
        <v>2041</v>
      </c>
      <c r="B11" s="145"/>
      <c r="C11" s="145"/>
      <c r="D11" s="146"/>
    </row>
    <row r="12" spans="1:4">
      <c r="A12" s="27" t="s">
        <v>2042</v>
      </c>
      <c r="B12" s="35">
        <f>COUNTA(IFdata_6_2026[Instituição])</f>
        <v>1406</v>
      </c>
      <c r="C12" s="152"/>
      <c r="D12" s="153"/>
    </row>
    <row r="13" spans="1:4">
      <c r="A13" s="27" t="s">
        <v>2043</v>
      </c>
      <c r="B13" s="36">
        <f>SUM(IFdata_6_2026[[Ativo Total ]])</f>
        <v>19458902520</v>
      </c>
      <c r="C13" s="33"/>
      <c r="D13" s="42"/>
    </row>
    <row r="14" spans="1:4">
      <c r="A14" s="27" t="s">
        <v>2044</v>
      </c>
      <c r="B14" s="37">
        <f>SUMIF(IFdata_6_2026[Controle (TC)], 1, IFdata_6_2026[[Ativo Total ]])/B13</f>
        <v>0.33391352458453039</v>
      </c>
      <c r="C14" s="30"/>
      <c r="D14" s="43"/>
    </row>
    <row r="15" spans="1:4">
      <c r="A15" s="27" t="s">
        <v>2045</v>
      </c>
      <c r="B15" s="38">
        <f>AVERAGE(IFdata_6_2026[[Ativo Total ]])</f>
        <v>13839902.219061166</v>
      </c>
      <c r="C15" s="30"/>
      <c r="D15" s="43"/>
    </row>
    <row r="16" spans="1:4">
      <c r="A16" s="27" t="s">
        <v>2046</v>
      </c>
      <c r="B16" s="38">
        <f>MEDIAN(IFdata_6_2026[[Ativo Total ]])</f>
        <v>285688</v>
      </c>
      <c r="C16" s="30"/>
      <c r="D16" s="43"/>
    </row>
    <row r="17" spans="1:4">
      <c r="A17" s="27" t="s">
        <v>2047</v>
      </c>
      <c r="B17" s="38">
        <f>MEDIAN(IFdata_6_2026[Carteira de Crédito (R$ mil)])</f>
        <v>50082.5</v>
      </c>
      <c r="C17" s="30"/>
      <c r="D17" s="43"/>
    </row>
    <row r="18" spans="1:4">
      <c r="A18" s="27" t="s">
        <v>2048</v>
      </c>
      <c r="B18" s="39">
        <f>COUNTIF(IFdata_6_2026[Agências], 0)</f>
        <v>739</v>
      </c>
      <c r="C18" s="34"/>
      <c r="D18" s="44"/>
    </row>
    <row r="19" spans="1:4">
      <c r="A19" s="27" t="s">
        <v>2049</v>
      </c>
      <c r="B19" s="40">
        <f>AVERAGE(IFdata_6_2026[ROE (%)])</f>
        <v>2.2466294006670856E-2</v>
      </c>
      <c r="C19" s="30"/>
      <c r="D19" s="43"/>
    </row>
    <row r="20" spans="1:4">
      <c r="A20" s="28" t="s">
        <v>2050</v>
      </c>
      <c r="B20" s="41">
        <f>MEDIAN(IFdata_6_2026[ROE (%)])</f>
        <v>4.4225499257267806E-2</v>
      </c>
      <c r="C20" s="45"/>
      <c r="D20" s="46"/>
    </row>
    <row r="21" spans="1:4" ht="8.25" customHeight="1">
      <c r="A21" s="31"/>
      <c r="B21" s="29"/>
      <c r="C21" s="30"/>
      <c r="D21" s="30"/>
    </row>
    <row r="22" spans="1:4" ht="21.75" customHeight="1">
      <c r="A22" s="150" t="s">
        <v>2051</v>
      </c>
      <c r="B22" s="137"/>
      <c r="C22" s="137"/>
      <c r="D22" s="151"/>
    </row>
    <row r="23" spans="1:4" ht="27.75" customHeight="1">
      <c r="A23" s="25" t="s">
        <v>2052</v>
      </c>
      <c r="B23" s="142" t="s">
        <v>2053</v>
      </c>
      <c r="C23" s="142"/>
      <c r="D23" s="143"/>
    </row>
    <row r="24" spans="1:4">
      <c r="A24" s="25" t="s">
        <v>2054</v>
      </c>
      <c r="B24" s="142" t="s">
        <v>2055</v>
      </c>
      <c r="C24" s="142"/>
      <c r="D24" s="143"/>
    </row>
    <row r="25" spans="1:4" ht="17.25" customHeight="1">
      <c r="A25" s="25" t="s">
        <v>2056</v>
      </c>
      <c r="B25" s="147" t="s">
        <v>2057</v>
      </c>
      <c r="C25" s="148"/>
      <c r="D25" s="149"/>
    </row>
    <row r="26" spans="1:4">
      <c r="A26" s="25" t="s">
        <v>2058</v>
      </c>
      <c r="B26" s="142" t="s">
        <v>2059</v>
      </c>
      <c r="C26" s="142"/>
      <c r="D26" s="143"/>
    </row>
    <row r="27" spans="1:4">
      <c r="A27" s="26" t="s">
        <v>2060</v>
      </c>
      <c r="B27" s="140" t="s">
        <v>2061</v>
      </c>
      <c r="C27" s="140"/>
      <c r="D27" s="141"/>
    </row>
    <row r="28" spans="1:4" ht="7.5" customHeight="1"/>
    <row r="29" spans="1:4" ht="21.75" customHeight="1">
      <c r="A29" s="144" t="s">
        <v>2062</v>
      </c>
      <c r="B29" s="145"/>
      <c r="C29" s="145"/>
      <c r="D29" s="146"/>
    </row>
    <row r="30" spans="1:4" ht="67.5" customHeight="1">
      <c r="A30" s="25" t="s">
        <v>2063</v>
      </c>
      <c r="B30" s="142" t="s">
        <v>2064</v>
      </c>
      <c r="C30" s="142"/>
      <c r="D30" s="143"/>
    </row>
    <row r="31" spans="1:4" ht="67.5" customHeight="1">
      <c r="A31" s="26" t="s">
        <v>2065</v>
      </c>
      <c r="B31" s="140" t="s">
        <v>2066</v>
      </c>
      <c r="C31" s="140"/>
      <c r="D31" s="141"/>
    </row>
    <row r="32" spans="1:4" ht="7.5" customHeight="1"/>
    <row r="33" spans="1:4" ht="21.75" customHeight="1">
      <c r="A33" s="137" t="s">
        <v>2067</v>
      </c>
      <c r="B33" s="137"/>
      <c r="C33" s="137"/>
      <c r="D33" s="137"/>
    </row>
    <row r="34" spans="1:4" ht="98.25" customHeight="1">
      <c r="A34" s="139" t="s">
        <v>2068</v>
      </c>
      <c r="B34" s="139"/>
      <c r="C34" s="139"/>
      <c r="D34" s="139"/>
    </row>
  </sheetData>
  <mergeCells count="20">
    <mergeCell ref="A1:D1"/>
    <mergeCell ref="A4:D4"/>
    <mergeCell ref="B5:D5"/>
    <mergeCell ref="B6:D6"/>
    <mergeCell ref="B7:D7"/>
    <mergeCell ref="A34:D34"/>
    <mergeCell ref="B31:D31"/>
    <mergeCell ref="A33:D33"/>
    <mergeCell ref="B30:D30"/>
    <mergeCell ref="B8:D8"/>
    <mergeCell ref="A11:D11"/>
    <mergeCell ref="B26:D26"/>
    <mergeCell ref="A29:D29"/>
    <mergeCell ref="B25:D25"/>
    <mergeCell ref="B27:D27"/>
    <mergeCell ref="A22:D22"/>
    <mergeCell ref="B23:D23"/>
    <mergeCell ref="B24:D24"/>
    <mergeCell ref="C12:D12"/>
    <mergeCell ref="B9:D9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3FED-370B-4440-854D-A135702B0D3F}">
  <dimension ref="B1:IB86"/>
  <sheetViews>
    <sheetView showGridLines="0" showRowColHeaders="0" zoomScale="80" zoomScaleNormal="80" workbookViewId="0">
      <pane ySplit="5" topLeftCell="A6" activePane="bottomLeft" state="frozen"/>
      <selection pane="bottomLeft" activeCell="JH51" sqref="JH51"/>
    </sheetView>
  </sheetViews>
  <sheetFormatPr defaultColWidth="0.85546875" defaultRowHeight="6" customHeight="1"/>
  <cols>
    <col min="1" max="1" width="0.85546875" customWidth="1"/>
    <col min="18" max="18" width="0.85546875" customWidth="1"/>
    <col min="31" max="31" width="0.85546875" customWidth="1"/>
    <col min="118" max="118" width="0.85546875" customWidth="1"/>
  </cols>
  <sheetData>
    <row r="1" spans="2:236" ht="6" customHeight="1">
      <c r="D1" s="53" t="s">
        <v>2069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24"/>
      <c r="IB1" s="24"/>
    </row>
    <row r="2" spans="2:236" ht="6" customHeight="1">
      <c r="C2" s="24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24"/>
      <c r="IB2" s="24"/>
    </row>
    <row r="3" spans="2:236" ht="6" customHeight="1">
      <c r="C3" s="24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24"/>
      <c r="IB3" s="24"/>
    </row>
    <row r="4" spans="2:236" ht="6" customHeight="1">
      <c r="C4" s="24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24"/>
      <c r="IB4" s="24"/>
    </row>
    <row r="5" spans="2:236" ht="13.5" customHeight="1">
      <c r="B5" s="24"/>
      <c r="C5" s="23"/>
      <c r="D5" s="52" t="s">
        <v>2070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23"/>
      <c r="IB5" s="23"/>
    </row>
    <row r="7" spans="2:236" ht="6" customHeight="1">
      <c r="D7" s="55" t="s">
        <v>2071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6"/>
      <c r="AG7" s="54" t="s">
        <v>29</v>
      </c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6"/>
      <c r="BJ7" s="54" t="s">
        <v>2072</v>
      </c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6"/>
      <c r="CM7" s="54" t="s">
        <v>2073</v>
      </c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6"/>
      <c r="DP7" s="54" t="s">
        <v>2074</v>
      </c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6"/>
      <c r="ES7" s="54" t="s">
        <v>2075</v>
      </c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6"/>
      <c r="FV7" s="54" t="s">
        <v>2076</v>
      </c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6"/>
      <c r="GY7" s="54" t="s">
        <v>2077</v>
      </c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6"/>
    </row>
    <row r="8" spans="2:236" ht="6" customHeight="1">
      <c r="D8" s="57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9"/>
      <c r="AG8" s="57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9"/>
      <c r="BJ8" s="57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9"/>
      <c r="CM8" s="57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9"/>
      <c r="DP8" s="57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9"/>
      <c r="ES8" s="57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9"/>
      <c r="FV8" s="57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9"/>
      <c r="GY8" s="57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9"/>
    </row>
    <row r="9" spans="2:236" ht="6" customHeight="1">
      <c r="D9" s="60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2"/>
      <c r="AG9" s="60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2"/>
      <c r="BJ9" s="60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2"/>
      <c r="CM9" s="60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2"/>
      <c r="DP9" s="60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2"/>
      <c r="ES9" s="60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2"/>
      <c r="FV9" s="60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2"/>
      <c r="GY9" s="60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  <c r="HO9" s="61"/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2"/>
    </row>
    <row r="10" spans="2:236" ht="6" customHeight="1">
      <c r="D10" s="90">
        <f>Análise!B12</f>
        <v>1406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2"/>
      <c r="AG10" s="108">
        <f>Análise!B13</f>
        <v>19458902520</v>
      </c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10"/>
      <c r="BJ10" s="99">
        <f>Análise!B14</f>
        <v>0.33391352458453039</v>
      </c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1"/>
      <c r="CM10" s="127">
        <f>Análise!B15</f>
        <v>13839902.219061166</v>
      </c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  <c r="DH10" s="128"/>
      <c r="DI10" s="128"/>
      <c r="DJ10" s="128"/>
      <c r="DK10" s="128"/>
      <c r="DL10" s="128"/>
      <c r="DM10" s="128"/>
      <c r="DN10" s="129"/>
      <c r="DP10" s="81">
        <f>Análise!B16</f>
        <v>285688</v>
      </c>
      <c r="DQ10" s="82"/>
      <c r="DR10" s="82"/>
      <c r="DS10" s="82"/>
      <c r="DT10" s="82"/>
      <c r="DU10" s="82"/>
      <c r="DV10" s="82"/>
      <c r="DW10" s="82"/>
      <c r="DX10" s="82"/>
      <c r="DY10" s="82"/>
      <c r="DZ10" s="82"/>
      <c r="EA10" s="82"/>
      <c r="EB10" s="82"/>
      <c r="EC10" s="82"/>
      <c r="ED10" s="82"/>
      <c r="EE10" s="82"/>
      <c r="EF10" s="82"/>
      <c r="EG10" s="82"/>
      <c r="EH10" s="82"/>
      <c r="EI10" s="82"/>
      <c r="EJ10" s="82"/>
      <c r="EK10" s="82"/>
      <c r="EL10" s="82"/>
      <c r="EM10" s="82"/>
      <c r="EN10" s="82"/>
      <c r="EO10" s="82"/>
      <c r="EP10" s="82"/>
      <c r="EQ10" s="83"/>
      <c r="ES10" s="81">
        <f>Análise!B17</f>
        <v>50082.5</v>
      </c>
      <c r="ET10" s="82"/>
      <c r="EU10" s="82"/>
      <c r="EV10" s="82"/>
      <c r="EW10" s="82"/>
      <c r="EX10" s="82"/>
      <c r="EY10" s="82"/>
      <c r="EZ10" s="82"/>
      <c r="FA10" s="82"/>
      <c r="FB10" s="82"/>
      <c r="FC10" s="82"/>
      <c r="FD10" s="82"/>
      <c r="FE10" s="82"/>
      <c r="FF10" s="82"/>
      <c r="FG10" s="82"/>
      <c r="FH10" s="82"/>
      <c r="FI10" s="82"/>
      <c r="FJ10" s="82"/>
      <c r="FK10" s="82"/>
      <c r="FL10" s="82"/>
      <c r="FM10" s="82"/>
      <c r="FN10" s="82"/>
      <c r="FO10" s="82"/>
      <c r="FP10" s="82"/>
      <c r="FQ10" s="82"/>
      <c r="FR10" s="82"/>
      <c r="FS10" s="82"/>
      <c r="FT10" s="83"/>
      <c r="FV10" s="90">
        <f>Análise!B18</f>
        <v>739</v>
      </c>
      <c r="FW10" s="91"/>
      <c r="FX10" s="91"/>
      <c r="FY10" s="91"/>
      <c r="FZ10" s="91"/>
      <c r="GA10" s="91"/>
      <c r="GB10" s="91"/>
      <c r="GC10" s="91"/>
      <c r="GD10" s="91"/>
      <c r="GE10" s="91"/>
      <c r="GF10" s="91"/>
      <c r="GG10" s="91"/>
      <c r="GH10" s="91"/>
      <c r="GI10" s="91"/>
      <c r="GJ10" s="91"/>
      <c r="GK10" s="91"/>
      <c r="GL10" s="91"/>
      <c r="GM10" s="91"/>
      <c r="GN10" s="91"/>
      <c r="GO10" s="91"/>
      <c r="GP10" s="91"/>
      <c r="GQ10" s="91"/>
      <c r="GR10" s="91"/>
      <c r="GS10" s="91"/>
      <c r="GT10" s="91"/>
      <c r="GU10" s="91"/>
      <c r="GV10" s="91"/>
      <c r="GW10" s="92"/>
      <c r="GY10" s="99">
        <f>Análise!B20</f>
        <v>4.4225499257267806E-2</v>
      </c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1"/>
    </row>
    <row r="11" spans="2:236" ht="6" customHeight="1">
      <c r="D11" s="93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G11" s="111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3"/>
      <c r="BJ11" s="102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4"/>
      <c r="CM11" s="130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2"/>
      <c r="DP11" s="84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6"/>
      <c r="ES11" s="84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6"/>
      <c r="FV11" s="93"/>
      <c r="FW11" s="94"/>
      <c r="FX11" s="94"/>
      <c r="FY11" s="94"/>
      <c r="FZ11" s="94"/>
      <c r="GA11" s="94"/>
      <c r="GB11" s="94"/>
      <c r="GC11" s="94"/>
      <c r="GD11" s="94"/>
      <c r="GE11" s="94"/>
      <c r="GF11" s="94"/>
      <c r="GG11" s="94"/>
      <c r="GH11" s="94"/>
      <c r="GI11" s="94"/>
      <c r="GJ11" s="94"/>
      <c r="GK11" s="94"/>
      <c r="GL11" s="94"/>
      <c r="GM11" s="94"/>
      <c r="GN11" s="94"/>
      <c r="GO11" s="94"/>
      <c r="GP11" s="94"/>
      <c r="GQ11" s="94"/>
      <c r="GR11" s="94"/>
      <c r="GS11" s="94"/>
      <c r="GT11" s="94"/>
      <c r="GU11" s="94"/>
      <c r="GV11" s="94"/>
      <c r="GW11" s="95"/>
      <c r="GY11" s="102"/>
      <c r="GZ11" s="103"/>
      <c r="HA11" s="103"/>
      <c r="HB11" s="103"/>
      <c r="HC11" s="103"/>
      <c r="HD11" s="103"/>
      <c r="HE11" s="103"/>
      <c r="HF11" s="103"/>
      <c r="HG11" s="103"/>
      <c r="HH11" s="103"/>
      <c r="HI11" s="103"/>
      <c r="HJ11" s="103"/>
      <c r="HK11" s="103"/>
      <c r="HL11" s="103"/>
      <c r="HM11" s="103"/>
      <c r="HN11" s="103"/>
      <c r="HO11" s="103"/>
      <c r="HP11" s="103"/>
      <c r="HQ11" s="103"/>
      <c r="HR11" s="103"/>
      <c r="HS11" s="103"/>
      <c r="HT11" s="103"/>
      <c r="HU11" s="103"/>
      <c r="HV11" s="103"/>
      <c r="HW11" s="103"/>
      <c r="HX11" s="103"/>
      <c r="HY11" s="103"/>
      <c r="HZ11" s="104"/>
    </row>
    <row r="12" spans="2:236" ht="6" customHeight="1">
      <c r="D12" s="93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G12" s="111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3"/>
      <c r="BJ12" s="102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4"/>
      <c r="CM12" s="130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131"/>
      <c r="DC12" s="131"/>
      <c r="DD12" s="131"/>
      <c r="DE12" s="131"/>
      <c r="DF12" s="131"/>
      <c r="DG12" s="131"/>
      <c r="DH12" s="131"/>
      <c r="DI12" s="131"/>
      <c r="DJ12" s="131"/>
      <c r="DK12" s="131"/>
      <c r="DL12" s="131"/>
      <c r="DM12" s="131"/>
      <c r="DN12" s="132"/>
      <c r="DP12" s="84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6"/>
      <c r="ES12" s="84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6"/>
      <c r="FV12" s="93"/>
      <c r="FW12" s="94"/>
      <c r="FX12" s="94"/>
      <c r="FY12" s="94"/>
      <c r="FZ12" s="94"/>
      <c r="GA12" s="94"/>
      <c r="GB12" s="94"/>
      <c r="GC12" s="94"/>
      <c r="GD12" s="94"/>
      <c r="GE12" s="94"/>
      <c r="GF12" s="94"/>
      <c r="GG12" s="94"/>
      <c r="GH12" s="94"/>
      <c r="GI12" s="94"/>
      <c r="GJ12" s="94"/>
      <c r="GK12" s="94"/>
      <c r="GL12" s="94"/>
      <c r="GM12" s="94"/>
      <c r="GN12" s="94"/>
      <c r="GO12" s="94"/>
      <c r="GP12" s="94"/>
      <c r="GQ12" s="94"/>
      <c r="GR12" s="94"/>
      <c r="GS12" s="94"/>
      <c r="GT12" s="94"/>
      <c r="GU12" s="94"/>
      <c r="GV12" s="94"/>
      <c r="GW12" s="95"/>
      <c r="GY12" s="102"/>
      <c r="GZ12" s="103"/>
      <c r="HA12" s="103"/>
      <c r="HB12" s="103"/>
      <c r="HC12" s="103"/>
      <c r="HD12" s="103"/>
      <c r="HE12" s="103"/>
      <c r="HF12" s="103"/>
      <c r="HG12" s="103"/>
      <c r="HH12" s="103"/>
      <c r="HI12" s="103"/>
      <c r="HJ12" s="103"/>
      <c r="HK12" s="103"/>
      <c r="HL12" s="103"/>
      <c r="HM12" s="103"/>
      <c r="HN12" s="103"/>
      <c r="HO12" s="103"/>
      <c r="HP12" s="103"/>
      <c r="HQ12" s="103"/>
      <c r="HR12" s="103"/>
      <c r="HS12" s="103"/>
      <c r="HT12" s="103"/>
      <c r="HU12" s="103"/>
      <c r="HV12" s="103"/>
      <c r="HW12" s="103"/>
      <c r="HX12" s="103"/>
      <c r="HY12" s="103"/>
      <c r="HZ12" s="104"/>
    </row>
    <row r="13" spans="2:236" ht="6" customHeight="1">
      <c r="D13" s="93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G13" s="111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3"/>
      <c r="BJ13" s="102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4"/>
      <c r="CM13" s="130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  <c r="CY13" s="131"/>
      <c r="CZ13" s="131"/>
      <c r="DA13" s="131"/>
      <c r="DB13" s="131"/>
      <c r="DC13" s="131"/>
      <c r="DD13" s="131"/>
      <c r="DE13" s="131"/>
      <c r="DF13" s="131"/>
      <c r="DG13" s="131"/>
      <c r="DH13" s="131"/>
      <c r="DI13" s="131"/>
      <c r="DJ13" s="131"/>
      <c r="DK13" s="131"/>
      <c r="DL13" s="131"/>
      <c r="DM13" s="131"/>
      <c r="DN13" s="132"/>
      <c r="DP13" s="84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6"/>
      <c r="ES13" s="84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6"/>
      <c r="FV13" s="93"/>
      <c r="FW13" s="94"/>
      <c r="FX13" s="94"/>
      <c r="FY13" s="94"/>
      <c r="FZ13" s="94"/>
      <c r="GA13" s="94"/>
      <c r="GB13" s="94"/>
      <c r="GC13" s="94"/>
      <c r="GD13" s="94"/>
      <c r="GE13" s="94"/>
      <c r="GF13" s="94"/>
      <c r="GG13" s="94"/>
      <c r="GH13" s="94"/>
      <c r="GI13" s="94"/>
      <c r="GJ13" s="94"/>
      <c r="GK13" s="94"/>
      <c r="GL13" s="94"/>
      <c r="GM13" s="94"/>
      <c r="GN13" s="94"/>
      <c r="GO13" s="94"/>
      <c r="GP13" s="94"/>
      <c r="GQ13" s="94"/>
      <c r="GR13" s="94"/>
      <c r="GS13" s="94"/>
      <c r="GT13" s="94"/>
      <c r="GU13" s="94"/>
      <c r="GV13" s="94"/>
      <c r="GW13" s="95"/>
      <c r="GY13" s="102"/>
      <c r="GZ13" s="103"/>
      <c r="HA13" s="103"/>
      <c r="HB13" s="103"/>
      <c r="HC13" s="103"/>
      <c r="HD13" s="103"/>
      <c r="HE13" s="103"/>
      <c r="HF13" s="103"/>
      <c r="HG13" s="103"/>
      <c r="HH13" s="103"/>
      <c r="HI13" s="103"/>
      <c r="HJ13" s="103"/>
      <c r="HK13" s="103"/>
      <c r="HL13" s="103"/>
      <c r="HM13" s="103"/>
      <c r="HN13" s="103"/>
      <c r="HO13" s="103"/>
      <c r="HP13" s="103"/>
      <c r="HQ13" s="103"/>
      <c r="HR13" s="103"/>
      <c r="HS13" s="103"/>
      <c r="HT13" s="103"/>
      <c r="HU13" s="103"/>
      <c r="HV13" s="103"/>
      <c r="HW13" s="103"/>
      <c r="HX13" s="103"/>
      <c r="HY13" s="103"/>
      <c r="HZ13" s="104"/>
    </row>
    <row r="14" spans="2:236" ht="6" customHeight="1"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8"/>
      <c r="AG14" s="114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6"/>
      <c r="BJ14" s="105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7"/>
      <c r="CM14" s="133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34"/>
      <c r="DJ14" s="134"/>
      <c r="DK14" s="134"/>
      <c r="DL14" s="134"/>
      <c r="DM14" s="134"/>
      <c r="DN14" s="135"/>
      <c r="DP14" s="87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9"/>
      <c r="ES14" s="87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9"/>
      <c r="FV14" s="96"/>
      <c r="FW14" s="97"/>
      <c r="FX14" s="97"/>
      <c r="FY14" s="97"/>
      <c r="FZ14" s="97"/>
      <c r="GA14" s="97"/>
      <c r="GB14" s="97"/>
      <c r="GC14" s="97"/>
      <c r="GD14" s="97"/>
      <c r="GE14" s="97"/>
      <c r="GF14" s="97"/>
      <c r="GG14" s="97"/>
      <c r="GH14" s="97"/>
      <c r="GI14" s="97"/>
      <c r="GJ14" s="97"/>
      <c r="GK14" s="97"/>
      <c r="GL14" s="97"/>
      <c r="GM14" s="97"/>
      <c r="GN14" s="97"/>
      <c r="GO14" s="97"/>
      <c r="GP14" s="97"/>
      <c r="GQ14" s="97"/>
      <c r="GR14" s="97"/>
      <c r="GS14" s="97"/>
      <c r="GT14" s="97"/>
      <c r="GU14" s="97"/>
      <c r="GV14" s="97"/>
      <c r="GW14" s="98"/>
      <c r="GY14" s="105"/>
      <c r="GZ14" s="106"/>
      <c r="HA14" s="106"/>
      <c r="HB14" s="106"/>
      <c r="HC14" s="106"/>
      <c r="HD14" s="106"/>
      <c r="HE14" s="106"/>
      <c r="HF14" s="106"/>
      <c r="HG14" s="106"/>
      <c r="HH14" s="106"/>
      <c r="HI14" s="106"/>
      <c r="HJ14" s="106"/>
      <c r="HK14" s="106"/>
      <c r="HL14" s="106"/>
      <c r="HM14" s="106"/>
      <c r="HN14" s="106"/>
      <c r="HO14" s="106"/>
      <c r="HP14" s="106"/>
      <c r="HQ14" s="106"/>
      <c r="HR14" s="106"/>
      <c r="HS14" s="106"/>
      <c r="HT14" s="106"/>
      <c r="HU14" s="106"/>
      <c r="HV14" s="106"/>
      <c r="HW14" s="106"/>
      <c r="HX14" s="106"/>
      <c r="HY14" s="106"/>
      <c r="HZ14" s="107"/>
    </row>
    <row r="16" spans="2:236" ht="6" customHeight="1">
      <c r="D16" s="126" t="s">
        <v>2078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  <c r="CF16" s="126"/>
      <c r="CG16" s="126"/>
      <c r="CH16" s="126"/>
      <c r="CI16" s="126"/>
      <c r="CJ16" s="126"/>
      <c r="CK16" s="126"/>
      <c r="CL16" s="126"/>
      <c r="CM16" s="126"/>
      <c r="CN16" s="126"/>
      <c r="CO16" s="126"/>
      <c r="CP16" s="126"/>
      <c r="CQ16" s="126"/>
      <c r="CR16" s="126"/>
      <c r="CS16" s="126"/>
      <c r="CT16" s="126"/>
      <c r="CU16" s="126"/>
      <c r="CV16" s="126"/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P16" s="126" t="s">
        <v>2079</v>
      </c>
      <c r="DQ16" s="126"/>
      <c r="DR16" s="126"/>
      <c r="DS16" s="126"/>
      <c r="DT16" s="126"/>
      <c r="DU16" s="126"/>
      <c r="DV16" s="126"/>
      <c r="DW16" s="126"/>
      <c r="DX16" s="126"/>
      <c r="DY16" s="126"/>
      <c r="DZ16" s="126"/>
      <c r="EA16" s="126"/>
      <c r="EB16" s="126"/>
      <c r="EC16" s="126"/>
      <c r="ED16" s="126"/>
      <c r="EE16" s="126"/>
      <c r="EF16" s="126"/>
      <c r="EG16" s="126"/>
      <c r="EH16" s="126"/>
      <c r="EI16" s="126"/>
      <c r="EJ16" s="126"/>
      <c r="EK16" s="126"/>
      <c r="EL16" s="126"/>
      <c r="EM16" s="126"/>
      <c r="EN16" s="126"/>
      <c r="EO16" s="126"/>
      <c r="EP16" s="126"/>
      <c r="EQ16" s="126"/>
      <c r="ER16" s="126"/>
      <c r="ES16" s="126"/>
      <c r="ET16" s="126"/>
      <c r="EU16" s="126"/>
      <c r="EV16" s="126"/>
      <c r="EW16" s="126"/>
      <c r="EX16" s="126"/>
      <c r="EY16" s="126"/>
      <c r="EZ16" s="126"/>
      <c r="FA16" s="126"/>
      <c r="FB16" s="126"/>
      <c r="FC16" s="126"/>
      <c r="FD16" s="126"/>
      <c r="FE16" s="126"/>
      <c r="FF16" s="126"/>
      <c r="FG16" s="126"/>
      <c r="FH16" s="126"/>
      <c r="FI16" s="126"/>
      <c r="FJ16" s="126"/>
      <c r="FK16" s="126"/>
      <c r="FL16" s="126"/>
      <c r="FM16" s="126"/>
      <c r="FN16" s="126"/>
      <c r="FO16" s="126"/>
      <c r="FP16" s="126"/>
      <c r="FQ16" s="126"/>
      <c r="FR16" s="126"/>
      <c r="FS16" s="126"/>
      <c r="FT16" s="126"/>
      <c r="FU16" s="126"/>
      <c r="FV16" s="126"/>
      <c r="FW16" s="126"/>
      <c r="FX16" s="126"/>
      <c r="FY16" s="126"/>
      <c r="FZ16" s="126"/>
      <c r="GA16" s="126"/>
      <c r="GB16" s="126"/>
      <c r="GC16" s="126"/>
      <c r="GD16" s="126"/>
      <c r="GE16" s="126"/>
      <c r="GF16" s="126"/>
      <c r="GG16" s="126"/>
      <c r="GH16" s="126"/>
      <c r="GI16" s="126"/>
      <c r="GJ16" s="126"/>
      <c r="GK16" s="126"/>
      <c r="GL16" s="126"/>
      <c r="GM16" s="126"/>
      <c r="GN16" s="126"/>
      <c r="GO16" s="126"/>
      <c r="GP16" s="126"/>
      <c r="GQ16" s="126"/>
      <c r="GR16" s="126"/>
      <c r="GS16" s="126"/>
      <c r="GT16" s="126"/>
      <c r="GU16" s="126"/>
      <c r="GV16" s="126"/>
      <c r="GW16" s="126"/>
      <c r="GX16" s="126"/>
      <c r="GY16" s="126"/>
      <c r="GZ16" s="126"/>
      <c r="HA16" s="126"/>
      <c r="HB16" s="126"/>
      <c r="HC16" s="126"/>
      <c r="HD16" s="126"/>
      <c r="HE16" s="126"/>
      <c r="HF16" s="126"/>
      <c r="HG16" s="126"/>
      <c r="HH16" s="126"/>
      <c r="HI16" s="126"/>
      <c r="HJ16" s="126"/>
      <c r="HK16" s="126"/>
      <c r="HL16" s="126"/>
      <c r="HM16" s="126"/>
      <c r="HN16" s="126"/>
      <c r="HO16" s="126"/>
      <c r="HP16" s="126"/>
      <c r="HQ16" s="126"/>
      <c r="HR16" s="126"/>
      <c r="HS16" s="126"/>
      <c r="HT16" s="126"/>
      <c r="HU16" s="126"/>
      <c r="HV16" s="126"/>
      <c r="HW16" s="126"/>
      <c r="HX16" s="126"/>
      <c r="HY16" s="126"/>
      <c r="HZ16" s="126"/>
    </row>
    <row r="17" spans="4:234" ht="6" customHeight="1"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  <c r="DP17" s="126"/>
      <c r="DQ17" s="126"/>
      <c r="DR17" s="126"/>
      <c r="DS17" s="126"/>
      <c r="DT17" s="126"/>
      <c r="DU17" s="126"/>
      <c r="DV17" s="126"/>
      <c r="DW17" s="126"/>
      <c r="DX17" s="126"/>
      <c r="DY17" s="126"/>
      <c r="DZ17" s="126"/>
      <c r="EA17" s="126"/>
      <c r="EB17" s="126"/>
      <c r="EC17" s="126"/>
      <c r="ED17" s="126"/>
      <c r="EE17" s="126"/>
      <c r="EF17" s="126"/>
      <c r="EG17" s="126"/>
      <c r="EH17" s="126"/>
      <c r="EI17" s="126"/>
      <c r="EJ17" s="126"/>
      <c r="EK17" s="126"/>
      <c r="EL17" s="126"/>
      <c r="EM17" s="126"/>
      <c r="EN17" s="126"/>
      <c r="EO17" s="126"/>
      <c r="EP17" s="126"/>
      <c r="EQ17" s="126"/>
      <c r="ER17" s="126"/>
      <c r="ES17" s="126"/>
      <c r="ET17" s="126"/>
      <c r="EU17" s="126"/>
      <c r="EV17" s="126"/>
      <c r="EW17" s="126"/>
      <c r="EX17" s="126"/>
      <c r="EY17" s="126"/>
      <c r="EZ17" s="126"/>
      <c r="FA17" s="126"/>
      <c r="FB17" s="126"/>
      <c r="FC17" s="126"/>
      <c r="FD17" s="126"/>
      <c r="FE17" s="126"/>
      <c r="FF17" s="126"/>
      <c r="FG17" s="126"/>
      <c r="FH17" s="126"/>
      <c r="FI17" s="126"/>
      <c r="FJ17" s="126"/>
      <c r="FK17" s="126"/>
      <c r="FL17" s="126"/>
      <c r="FM17" s="126"/>
      <c r="FN17" s="126"/>
      <c r="FO17" s="126"/>
      <c r="FP17" s="126"/>
      <c r="FQ17" s="126"/>
      <c r="FR17" s="126"/>
      <c r="FS17" s="126"/>
      <c r="FT17" s="126"/>
      <c r="FU17" s="126"/>
      <c r="FV17" s="126"/>
      <c r="FW17" s="126"/>
      <c r="FX17" s="126"/>
      <c r="FY17" s="126"/>
      <c r="FZ17" s="126"/>
      <c r="GA17" s="126"/>
      <c r="GB17" s="126"/>
      <c r="GC17" s="126"/>
      <c r="GD17" s="126"/>
      <c r="GE17" s="126"/>
      <c r="GF17" s="126"/>
      <c r="GG17" s="126"/>
      <c r="GH17" s="126"/>
      <c r="GI17" s="126"/>
      <c r="GJ17" s="126"/>
      <c r="GK17" s="126"/>
      <c r="GL17" s="126"/>
      <c r="GM17" s="126"/>
      <c r="GN17" s="126"/>
      <c r="GO17" s="126"/>
      <c r="GP17" s="126"/>
      <c r="GQ17" s="126"/>
      <c r="GR17" s="126"/>
      <c r="GS17" s="126"/>
      <c r="GT17" s="126"/>
      <c r="GU17" s="126"/>
      <c r="GV17" s="126"/>
      <c r="GW17" s="126"/>
      <c r="GX17" s="126"/>
      <c r="GY17" s="126"/>
      <c r="GZ17" s="126"/>
      <c r="HA17" s="126"/>
      <c r="HB17" s="126"/>
      <c r="HC17" s="126"/>
      <c r="HD17" s="126"/>
      <c r="HE17" s="126"/>
      <c r="HF17" s="126"/>
      <c r="HG17" s="126"/>
      <c r="HH17" s="126"/>
      <c r="HI17" s="126"/>
      <c r="HJ17" s="126"/>
      <c r="HK17" s="126"/>
      <c r="HL17" s="126"/>
      <c r="HM17" s="126"/>
      <c r="HN17" s="126"/>
      <c r="HO17" s="126"/>
      <c r="HP17" s="126"/>
      <c r="HQ17" s="126"/>
      <c r="HR17" s="126"/>
      <c r="HS17" s="126"/>
      <c r="HT17" s="126"/>
      <c r="HU17" s="126"/>
      <c r="HV17" s="126"/>
      <c r="HW17" s="126"/>
      <c r="HX17" s="126"/>
      <c r="HY17" s="126"/>
      <c r="HZ17" s="126"/>
    </row>
    <row r="18" spans="4:234" ht="6" customHeight="1"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  <c r="DK18" s="126"/>
      <c r="DL18" s="126"/>
      <c r="DM18" s="126"/>
      <c r="DN18" s="126"/>
      <c r="DP18" s="126"/>
      <c r="DQ18" s="126"/>
      <c r="DR18" s="126"/>
      <c r="DS18" s="126"/>
      <c r="DT18" s="126"/>
      <c r="DU18" s="126"/>
      <c r="DV18" s="126"/>
      <c r="DW18" s="126"/>
      <c r="DX18" s="126"/>
      <c r="DY18" s="126"/>
      <c r="DZ18" s="126"/>
      <c r="EA18" s="126"/>
      <c r="EB18" s="126"/>
      <c r="EC18" s="126"/>
      <c r="ED18" s="126"/>
      <c r="EE18" s="126"/>
      <c r="EF18" s="126"/>
      <c r="EG18" s="126"/>
      <c r="EH18" s="126"/>
      <c r="EI18" s="126"/>
      <c r="EJ18" s="126"/>
      <c r="EK18" s="126"/>
      <c r="EL18" s="126"/>
      <c r="EM18" s="126"/>
      <c r="EN18" s="126"/>
      <c r="EO18" s="126"/>
      <c r="EP18" s="126"/>
      <c r="EQ18" s="126"/>
      <c r="ER18" s="126"/>
      <c r="ES18" s="126"/>
      <c r="ET18" s="126"/>
      <c r="EU18" s="126"/>
      <c r="EV18" s="126"/>
      <c r="EW18" s="126"/>
      <c r="EX18" s="126"/>
      <c r="EY18" s="126"/>
      <c r="EZ18" s="126"/>
      <c r="FA18" s="126"/>
      <c r="FB18" s="126"/>
      <c r="FC18" s="126"/>
      <c r="FD18" s="126"/>
      <c r="FE18" s="126"/>
      <c r="FF18" s="126"/>
      <c r="FG18" s="126"/>
      <c r="FH18" s="126"/>
      <c r="FI18" s="126"/>
      <c r="FJ18" s="126"/>
      <c r="FK18" s="126"/>
      <c r="FL18" s="126"/>
      <c r="FM18" s="126"/>
      <c r="FN18" s="126"/>
      <c r="FO18" s="126"/>
      <c r="FP18" s="126"/>
      <c r="FQ18" s="126"/>
      <c r="FR18" s="126"/>
      <c r="FS18" s="126"/>
      <c r="FT18" s="126"/>
      <c r="FU18" s="126"/>
      <c r="FV18" s="126"/>
      <c r="FW18" s="126"/>
      <c r="FX18" s="126"/>
      <c r="FY18" s="126"/>
      <c r="FZ18" s="126"/>
      <c r="GA18" s="126"/>
      <c r="GB18" s="126"/>
      <c r="GC18" s="126"/>
      <c r="GD18" s="126"/>
      <c r="GE18" s="126"/>
      <c r="GF18" s="126"/>
      <c r="GG18" s="126"/>
      <c r="GH18" s="126"/>
      <c r="GI18" s="126"/>
      <c r="GJ18" s="126"/>
      <c r="GK18" s="126"/>
      <c r="GL18" s="126"/>
      <c r="GM18" s="126"/>
      <c r="GN18" s="126"/>
      <c r="GO18" s="126"/>
      <c r="GP18" s="126"/>
      <c r="GQ18" s="126"/>
      <c r="GR18" s="126"/>
      <c r="GS18" s="126"/>
      <c r="GT18" s="126"/>
      <c r="GU18" s="126"/>
      <c r="GV18" s="126"/>
      <c r="GW18" s="126"/>
      <c r="GX18" s="126"/>
      <c r="GY18" s="126"/>
      <c r="GZ18" s="126"/>
      <c r="HA18" s="126"/>
      <c r="HB18" s="126"/>
      <c r="HC18" s="126"/>
      <c r="HD18" s="126"/>
      <c r="HE18" s="126"/>
      <c r="HF18" s="126"/>
      <c r="HG18" s="126"/>
      <c r="HH18" s="126"/>
      <c r="HI18" s="126"/>
      <c r="HJ18" s="126"/>
      <c r="HK18" s="126"/>
      <c r="HL18" s="126"/>
      <c r="HM18" s="126"/>
      <c r="HN18" s="126"/>
      <c r="HO18" s="126"/>
      <c r="HP18" s="126"/>
      <c r="HQ18" s="126"/>
      <c r="HR18" s="126"/>
      <c r="HS18" s="126"/>
      <c r="HT18" s="126"/>
      <c r="HU18" s="126"/>
      <c r="HV18" s="126"/>
      <c r="HW18" s="126"/>
      <c r="HX18" s="126"/>
      <c r="HY18" s="126"/>
      <c r="HZ18" s="126"/>
    </row>
    <row r="19" spans="4:234" ht="6" customHeight="1">
      <c r="D19" s="117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9"/>
      <c r="DP19" s="117"/>
      <c r="DQ19" s="118"/>
      <c r="DR19" s="118"/>
      <c r="DS19" s="118"/>
      <c r="DT19" s="118"/>
      <c r="DU19" s="118"/>
      <c r="DV19" s="118"/>
      <c r="DW19" s="118"/>
      <c r="DX19" s="118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  <c r="EJ19" s="118"/>
      <c r="EK19" s="118"/>
      <c r="EL19" s="118"/>
      <c r="EM19" s="118"/>
      <c r="EN19" s="118"/>
      <c r="EO19" s="118"/>
      <c r="EP19" s="118"/>
      <c r="EQ19" s="118"/>
      <c r="ER19" s="118"/>
      <c r="ES19" s="118"/>
      <c r="ET19" s="118"/>
      <c r="EU19" s="118"/>
      <c r="EV19" s="118"/>
      <c r="EW19" s="118"/>
      <c r="EX19" s="118"/>
      <c r="EY19" s="118"/>
      <c r="EZ19" s="118"/>
      <c r="FA19" s="118"/>
      <c r="FB19" s="118"/>
      <c r="FC19" s="118"/>
      <c r="FD19" s="118"/>
      <c r="FE19" s="118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118"/>
      <c r="GL19" s="118"/>
      <c r="GM19" s="118"/>
      <c r="GN19" s="118"/>
      <c r="GO19" s="118"/>
      <c r="GP19" s="118"/>
      <c r="GQ19" s="118"/>
      <c r="GR19" s="118"/>
      <c r="GS19" s="118"/>
      <c r="GT19" s="118"/>
      <c r="GU19" s="118"/>
      <c r="GV19" s="118"/>
      <c r="GW19" s="118"/>
      <c r="GX19" s="118"/>
      <c r="GY19" s="118"/>
      <c r="GZ19" s="118"/>
      <c r="HA19" s="118"/>
      <c r="HB19" s="118"/>
      <c r="HC19" s="118"/>
      <c r="HD19" s="118"/>
      <c r="HE19" s="118"/>
      <c r="HF19" s="118"/>
      <c r="HG19" s="118"/>
      <c r="HH19" s="118"/>
      <c r="HI19" s="118"/>
      <c r="HJ19" s="118"/>
      <c r="HK19" s="118"/>
      <c r="HL19" s="118"/>
      <c r="HM19" s="118"/>
      <c r="HN19" s="118"/>
      <c r="HO19" s="118"/>
      <c r="HP19" s="118"/>
      <c r="HQ19" s="118"/>
      <c r="HR19" s="118"/>
      <c r="HS19" s="118"/>
      <c r="HT19" s="118"/>
      <c r="HU19" s="118"/>
      <c r="HV19" s="118"/>
      <c r="HW19" s="118"/>
      <c r="HX19" s="118"/>
      <c r="HY19" s="118"/>
      <c r="HZ19" s="119"/>
    </row>
    <row r="20" spans="4:234" ht="6" customHeight="1">
      <c r="D20" s="120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2"/>
      <c r="DP20" s="120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  <c r="GQ20" s="121"/>
      <c r="GR20" s="121"/>
      <c r="GS20" s="121"/>
      <c r="GT20" s="121"/>
      <c r="GU20" s="121"/>
      <c r="GV20" s="121"/>
      <c r="GW20" s="121"/>
      <c r="GX20" s="121"/>
      <c r="GY20" s="121"/>
      <c r="GZ20" s="121"/>
      <c r="HA20" s="121"/>
      <c r="HB20" s="121"/>
      <c r="HC20" s="121"/>
      <c r="HD20" s="121"/>
      <c r="HE20" s="121"/>
      <c r="HF20" s="121"/>
      <c r="HG20" s="121"/>
      <c r="HH20" s="121"/>
      <c r="HI20" s="121"/>
      <c r="HJ20" s="121"/>
      <c r="HK20" s="121"/>
      <c r="HL20" s="121"/>
      <c r="HM20" s="121"/>
      <c r="HN20" s="121"/>
      <c r="HO20" s="121"/>
      <c r="HP20" s="121"/>
      <c r="HQ20" s="121"/>
      <c r="HR20" s="121"/>
      <c r="HS20" s="121"/>
      <c r="HT20" s="121"/>
      <c r="HU20" s="121"/>
      <c r="HV20" s="121"/>
      <c r="HW20" s="121"/>
      <c r="HX20" s="121"/>
      <c r="HY20" s="121"/>
      <c r="HZ20" s="122"/>
    </row>
    <row r="21" spans="4:234" ht="6" customHeight="1">
      <c r="D21" s="120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2"/>
      <c r="DP21" s="120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  <c r="GQ21" s="121"/>
      <c r="GR21" s="121"/>
      <c r="GS21" s="121"/>
      <c r="GT21" s="121"/>
      <c r="GU21" s="121"/>
      <c r="GV21" s="121"/>
      <c r="GW21" s="121"/>
      <c r="GX21" s="121"/>
      <c r="GY21" s="121"/>
      <c r="GZ21" s="121"/>
      <c r="HA21" s="121"/>
      <c r="HB21" s="121"/>
      <c r="HC21" s="121"/>
      <c r="HD21" s="121"/>
      <c r="HE21" s="121"/>
      <c r="HF21" s="121"/>
      <c r="HG21" s="121"/>
      <c r="HH21" s="121"/>
      <c r="HI21" s="121"/>
      <c r="HJ21" s="121"/>
      <c r="HK21" s="121"/>
      <c r="HL21" s="121"/>
      <c r="HM21" s="121"/>
      <c r="HN21" s="121"/>
      <c r="HO21" s="121"/>
      <c r="HP21" s="121"/>
      <c r="HQ21" s="121"/>
      <c r="HR21" s="121"/>
      <c r="HS21" s="121"/>
      <c r="HT21" s="121"/>
      <c r="HU21" s="121"/>
      <c r="HV21" s="121"/>
      <c r="HW21" s="121"/>
      <c r="HX21" s="121"/>
      <c r="HY21" s="121"/>
      <c r="HZ21" s="122"/>
    </row>
    <row r="22" spans="4:234" ht="6" customHeight="1">
      <c r="D22" s="120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2"/>
      <c r="DP22" s="120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  <c r="GQ22" s="121"/>
      <c r="GR22" s="121"/>
      <c r="GS22" s="121"/>
      <c r="GT22" s="121"/>
      <c r="GU22" s="121"/>
      <c r="GV22" s="121"/>
      <c r="GW22" s="121"/>
      <c r="GX22" s="121"/>
      <c r="GY22" s="121"/>
      <c r="GZ22" s="121"/>
      <c r="HA22" s="121"/>
      <c r="HB22" s="121"/>
      <c r="HC22" s="121"/>
      <c r="HD22" s="121"/>
      <c r="HE22" s="121"/>
      <c r="HF22" s="121"/>
      <c r="HG22" s="121"/>
      <c r="HH22" s="121"/>
      <c r="HI22" s="121"/>
      <c r="HJ22" s="121"/>
      <c r="HK22" s="121"/>
      <c r="HL22" s="121"/>
      <c r="HM22" s="121"/>
      <c r="HN22" s="121"/>
      <c r="HO22" s="121"/>
      <c r="HP22" s="121"/>
      <c r="HQ22" s="121"/>
      <c r="HR22" s="121"/>
      <c r="HS22" s="121"/>
      <c r="HT22" s="121"/>
      <c r="HU22" s="121"/>
      <c r="HV22" s="121"/>
      <c r="HW22" s="121"/>
      <c r="HX22" s="121"/>
      <c r="HY22" s="121"/>
      <c r="HZ22" s="122"/>
    </row>
    <row r="23" spans="4:234" ht="6" customHeight="1">
      <c r="D23" s="120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2"/>
      <c r="DP23" s="120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  <c r="GQ23" s="121"/>
      <c r="GR23" s="121"/>
      <c r="GS23" s="121"/>
      <c r="GT23" s="121"/>
      <c r="GU23" s="121"/>
      <c r="GV23" s="121"/>
      <c r="GW23" s="121"/>
      <c r="GX23" s="121"/>
      <c r="GY23" s="121"/>
      <c r="GZ23" s="121"/>
      <c r="HA23" s="121"/>
      <c r="HB23" s="121"/>
      <c r="HC23" s="121"/>
      <c r="HD23" s="121"/>
      <c r="HE23" s="121"/>
      <c r="HF23" s="121"/>
      <c r="HG23" s="121"/>
      <c r="HH23" s="121"/>
      <c r="HI23" s="121"/>
      <c r="HJ23" s="121"/>
      <c r="HK23" s="121"/>
      <c r="HL23" s="121"/>
      <c r="HM23" s="121"/>
      <c r="HN23" s="121"/>
      <c r="HO23" s="121"/>
      <c r="HP23" s="121"/>
      <c r="HQ23" s="121"/>
      <c r="HR23" s="121"/>
      <c r="HS23" s="121"/>
      <c r="HT23" s="121"/>
      <c r="HU23" s="121"/>
      <c r="HV23" s="121"/>
      <c r="HW23" s="121"/>
      <c r="HX23" s="121"/>
      <c r="HY23" s="121"/>
      <c r="HZ23" s="122"/>
    </row>
    <row r="24" spans="4:234" ht="6" customHeight="1">
      <c r="D24" s="120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2"/>
      <c r="DP24" s="120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  <c r="GQ24" s="121"/>
      <c r="GR24" s="121"/>
      <c r="GS24" s="121"/>
      <c r="GT24" s="121"/>
      <c r="GU24" s="121"/>
      <c r="GV24" s="121"/>
      <c r="GW24" s="121"/>
      <c r="GX24" s="121"/>
      <c r="GY24" s="121"/>
      <c r="GZ24" s="121"/>
      <c r="HA24" s="121"/>
      <c r="HB24" s="121"/>
      <c r="HC24" s="121"/>
      <c r="HD24" s="121"/>
      <c r="HE24" s="121"/>
      <c r="HF24" s="121"/>
      <c r="HG24" s="121"/>
      <c r="HH24" s="121"/>
      <c r="HI24" s="121"/>
      <c r="HJ24" s="121"/>
      <c r="HK24" s="121"/>
      <c r="HL24" s="121"/>
      <c r="HM24" s="121"/>
      <c r="HN24" s="121"/>
      <c r="HO24" s="121"/>
      <c r="HP24" s="121"/>
      <c r="HQ24" s="121"/>
      <c r="HR24" s="121"/>
      <c r="HS24" s="121"/>
      <c r="HT24" s="121"/>
      <c r="HU24" s="121"/>
      <c r="HV24" s="121"/>
      <c r="HW24" s="121"/>
      <c r="HX24" s="121"/>
      <c r="HY24" s="121"/>
      <c r="HZ24" s="122"/>
    </row>
    <row r="25" spans="4:234" ht="6" customHeight="1">
      <c r="D25" s="120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2"/>
      <c r="DP25" s="120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  <c r="GQ25" s="121"/>
      <c r="GR25" s="121"/>
      <c r="GS25" s="121"/>
      <c r="GT25" s="121"/>
      <c r="GU25" s="121"/>
      <c r="GV25" s="121"/>
      <c r="GW25" s="121"/>
      <c r="GX25" s="121"/>
      <c r="GY25" s="121"/>
      <c r="GZ25" s="121"/>
      <c r="HA25" s="121"/>
      <c r="HB25" s="121"/>
      <c r="HC25" s="121"/>
      <c r="HD25" s="121"/>
      <c r="HE25" s="121"/>
      <c r="HF25" s="121"/>
      <c r="HG25" s="121"/>
      <c r="HH25" s="121"/>
      <c r="HI25" s="121"/>
      <c r="HJ25" s="121"/>
      <c r="HK25" s="121"/>
      <c r="HL25" s="121"/>
      <c r="HM25" s="121"/>
      <c r="HN25" s="121"/>
      <c r="HO25" s="121"/>
      <c r="HP25" s="121"/>
      <c r="HQ25" s="121"/>
      <c r="HR25" s="121"/>
      <c r="HS25" s="121"/>
      <c r="HT25" s="121"/>
      <c r="HU25" s="121"/>
      <c r="HV25" s="121"/>
      <c r="HW25" s="121"/>
      <c r="HX25" s="121"/>
      <c r="HY25" s="121"/>
      <c r="HZ25" s="122"/>
    </row>
    <row r="26" spans="4:234" ht="6" customHeight="1">
      <c r="D26" s="120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2"/>
      <c r="DP26" s="120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  <c r="GQ26" s="121"/>
      <c r="GR26" s="121"/>
      <c r="GS26" s="121"/>
      <c r="GT26" s="121"/>
      <c r="GU26" s="121"/>
      <c r="GV26" s="121"/>
      <c r="GW26" s="121"/>
      <c r="GX26" s="121"/>
      <c r="GY26" s="121"/>
      <c r="GZ26" s="121"/>
      <c r="HA26" s="121"/>
      <c r="HB26" s="121"/>
      <c r="HC26" s="121"/>
      <c r="HD26" s="121"/>
      <c r="HE26" s="121"/>
      <c r="HF26" s="121"/>
      <c r="HG26" s="121"/>
      <c r="HH26" s="121"/>
      <c r="HI26" s="121"/>
      <c r="HJ26" s="121"/>
      <c r="HK26" s="121"/>
      <c r="HL26" s="121"/>
      <c r="HM26" s="121"/>
      <c r="HN26" s="121"/>
      <c r="HO26" s="121"/>
      <c r="HP26" s="121"/>
      <c r="HQ26" s="121"/>
      <c r="HR26" s="121"/>
      <c r="HS26" s="121"/>
      <c r="HT26" s="121"/>
      <c r="HU26" s="121"/>
      <c r="HV26" s="121"/>
      <c r="HW26" s="121"/>
      <c r="HX26" s="121"/>
      <c r="HY26" s="121"/>
      <c r="HZ26" s="122"/>
    </row>
    <row r="27" spans="4:234" ht="6" customHeight="1">
      <c r="D27" s="120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2"/>
      <c r="DP27" s="120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  <c r="GQ27" s="121"/>
      <c r="GR27" s="121"/>
      <c r="GS27" s="121"/>
      <c r="GT27" s="121"/>
      <c r="GU27" s="121"/>
      <c r="GV27" s="121"/>
      <c r="GW27" s="121"/>
      <c r="GX27" s="121"/>
      <c r="GY27" s="121"/>
      <c r="GZ27" s="121"/>
      <c r="HA27" s="121"/>
      <c r="HB27" s="121"/>
      <c r="HC27" s="121"/>
      <c r="HD27" s="121"/>
      <c r="HE27" s="121"/>
      <c r="HF27" s="121"/>
      <c r="HG27" s="121"/>
      <c r="HH27" s="121"/>
      <c r="HI27" s="121"/>
      <c r="HJ27" s="121"/>
      <c r="HK27" s="121"/>
      <c r="HL27" s="121"/>
      <c r="HM27" s="121"/>
      <c r="HN27" s="121"/>
      <c r="HO27" s="121"/>
      <c r="HP27" s="121"/>
      <c r="HQ27" s="121"/>
      <c r="HR27" s="121"/>
      <c r="HS27" s="121"/>
      <c r="HT27" s="121"/>
      <c r="HU27" s="121"/>
      <c r="HV27" s="121"/>
      <c r="HW27" s="121"/>
      <c r="HX27" s="121"/>
      <c r="HY27" s="121"/>
      <c r="HZ27" s="122"/>
    </row>
    <row r="28" spans="4:234" ht="6" customHeight="1">
      <c r="D28" s="120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2"/>
      <c r="DP28" s="120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  <c r="GQ28" s="121"/>
      <c r="GR28" s="121"/>
      <c r="GS28" s="121"/>
      <c r="GT28" s="121"/>
      <c r="GU28" s="121"/>
      <c r="GV28" s="121"/>
      <c r="GW28" s="121"/>
      <c r="GX28" s="121"/>
      <c r="GY28" s="121"/>
      <c r="GZ28" s="121"/>
      <c r="HA28" s="121"/>
      <c r="HB28" s="121"/>
      <c r="HC28" s="121"/>
      <c r="HD28" s="121"/>
      <c r="HE28" s="121"/>
      <c r="HF28" s="121"/>
      <c r="HG28" s="121"/>
      <c r="HH28" s="121"/>
      <c r="HI28" s="121"/>
      <c r="HJ28" s="121"/>
      <c r="HK28" s="121"/>
      <c r="HL28" s="121"/>
      <c r="HM28" s="121"/>
      <c r="HN28" s="121"/>
      <c r="HO28" s="121"/>
      <c r="HP28" s="121"/>
      <c r="HQ28" s="121"/>
      <c r="HR28" s="121"/>
      <c r="HS28" s="121"/>
      <c r="HT28" s="121"/>
      <c r="HU28" s="121"/>
      <c r="HV28" s="121"/>
      <c r="HW28" s="121"/>
      <c r="HX28" s="121"/>
      <c r="HY28" s="121"/>
      <c r="HZ28" s="122"/>
    </row>
    <row r="29" spans="4:234" ht="6" customHeight="1">
      <c r="D29" s="120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2"/>
      <c r="DP29" s="120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  <c r="GQ29" s="121"/>
      <c r="GR29" s="121"/>
      <c r="GS29" s="121"/>
      <c r="GT29" s="121"/>
      <c r="GU29" s="121"/>
      <c r="GV29" s="121"/>
      <c r="GW29" s="121"/>
      <c r="GX29" s="121"/>
      <c r="GY29" s="121"/>
      <c r="GZ29" s="121"/>
      <c r="HA29" s="121"/>
      <c r="HB29" s="121"/>
      <c r="HC29" s="121"/>
      <c r="HD29" s="121"/>
      <c r="HE29" s="121"/>
      <c r="HF29" s="121"/>
      <c r="HG29" s="121"/>
      <c r="HH29" s="121"/>
      <c r="HI29" s="121"/>
      <c r="HJ29" s="121"/>
      <c r="HK29" s="121"/>
      <c r="HL29" s="121"/>
      <c r="HM29" s="121"/>
      <c r="HN29" s="121"/>
      <c r="HO29" s="121"/>
      <c r="HP29" s="121"/>
      <c r="HQ29" s="121"/>
      <c r="HR29" s="121"/>
      <c r="HS29" s="121"/>
      <c r="HT29" s="121"/>
      <c r="HU29" s="121"/>
      <c r="HV29" s="121"/>
      <c r="HW29" s="121"/>
      <c r="HX29" s="121"/>
      <c r="HY29" s="121"/>
      <c r="HZ29" s="122"/>
    </row>
    <row r="30" spans="4:234" ht="6" customHeight="1">
      <c r="D30" s="120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2"/>
      <c r="DP30" s="120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  <c r="GQ30" s="121"/>
      <c r="GR30" s="121"/>
      <c r="GS30" s="121"/>
      <c r="GT30" s="121"/>
      <c r="GU30" s="121"/>
      <c r="GV30" s="121"/>
      <c r="GW30" s="121"/>
      <c r="GX30" s="121"/>
      <c r="GY30" s="121"/>
      <c r="GZ30" s="121"/>
      <c r="HA30" s="121"/>
      <c r="HB30" s="121"/>
      <c r="HC30" s="121"/>
      <c r="HD30" s="121"/>
      <c r="HE30" s="121"/>
      <c r="HF30" s="121"/>
      <c r="HG30" s="121"/>
      <c r="HH30" s="121"/>
      <c r="HI30" s="121"/>
      <c r="HJ30" s="121"/>
      <c r="HK30" s="121"/>
      <c r="HL30" s="121"/>
      <c r="HM30" s="121"/>
      <c r="HN30" s="121"/>
      <c r="HO30" s="121"/>
      <c r="HP30" s="121"/>
      <c r="HQ30" s="121"/>
      <c r="HR30" s="121"/>
      <c r="HS30" s="121"/>
      <c r="HT30" s="121"/>
      <c r="HU30" s="121"/>
      <c r="HV30" s="121"/>
      <c r="HW30" s="121"/>
      <c r="HX30" s="121"/>
      <c r="HY30" s="121"/>
      <c r="HZ30" s="122"/>
    </row>
    <row r="31" spans="4:234" ht="6" customHeight="1">
      <c r="D31" s="120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  <c r="CK31" s="121"/>
      <c r="CL31" s="121"/>
      <c r="CM31" s="121"/>
      <c r="CN31" s="121"/>
      <c r="CO31" s="121"/>
      <c r="CP31" s="121"/>
      <c r="CQ31" s="121"/>
      <c r="CR31" s="121"/>
      <c r="CS31" s="121"/>
      <c r="CT31" s="121"/>
      <c r="CU31" s="121"/>
      <c r="CV31" s="121"/>
      <c r="CW31" s="121"/>
      <c r="CX31" s="121"/>
      <c r="CY31" s="121"/>
      <c r="CZ31" s="121"/>
      <c r="DA31" s="121"/>
      <c r="DB31" s="121"/>
      <c r="DC31" s="121"/>
      <c r="DD31" s="121"/>
      <c r="DE31" s="121"/>
      <c r="DF31" s="121"/>
      <c r="DG31" s="121"/>
      <c r="DH31" s="121"/>
      <c r="DI31" s="121"/>
      <c r="DJ31" s="121"/>
      <c r="DK31" s="121"/>
      <c r="DL31" s="121"/>
      <c r="DM31" s="121"/>
      <c r="DN31" s="122"/>
      <c r="DP31" s="120"/>
      <c r="DQ31" s="121"/>
      <c r="DR31" s="121"/>
      <c r="DS31" s="121"/>
      <c r="DT31" s="121"/>
      <c r="DU31" s="121"/>
      <c r="DV31" s="121"/>
      <c r="DW31" s="121"/>
      <c r="DX31" s="121"/>
      <c r="DY31" s="121"/>
      <c r="DZ31" s="121"/>
      <c r="EA31" s="121"/>
      <c r="EB31" s="121"/>
      <c r="EC31" s="121"/>
      <c r="ED31" s="121"/>
      <c r="EE31" s="121"/>
      <c r="EF31" s="121"/>
      <c r="EG31" s="121"/>
      <c r="EH31" s="121"/>
      <c r="EI31" s="121"/>
      <c r="EJ31" s="121"/>
      <c r="EK31" s="121"/>
      <c r="EL31" s="121"/>
      <c r="EM31" s="121"/>
      <c r="EN31" s="121"/>
      <c r="EO31" s="121"/>
      <c r="EP31" s="121"/>
      <c r="EQ31" s="121"/>
      <c r="ER31" s="121"/>
      <c r="ES31" s="121"/>
      <c r="ET31" s="121"/>
      <c r="EU31" s="121"/>
      <c r="EV31" s="121"/>
      <c r="EW31" s="121"/>
      <c r="EX31" s="121"/>
      <c r="EY31" s="121"/>
      <c r="EZ31" s="121"/>
      <c r="FA31" s="121"/>
      <c r="FB31" s="121"/>
      <c r="FC31" s="121"/>
      <c r="FD31" s="121"/>
      <c r="FE31" s="121"/>
      <c r="FF31" s="121"/>
      <c r="FG31" s="121"/>
      <c r="FH31" s="121"/>
      <c r="FI31" s="121"/>
      <c r="FJ31" s="121"/>
      <c r="FK31" s="121"/>
      <c r="FL31" s="121"/>
      <c r="FM31" s="121"/>
      <c r="FN31" s="121"/>
      <c r="FO31" s="121"/>
      <c r="FP31" s="121"/>
      <c r="FQ31" s="121"/>
      <c r="FR31" s="121"/>
      <c r="FS31" s="121"/>
      <c r="FT31" s="121"/>
      <c r="FU31" s="121"/>
      <c r="FV31" s="121"/>
      <c r="FW31" s="121"/>
      <c r="FX31" s="121"/>
      <c r="FY31" s="121"/>
      <c r="FZ31" s="121"/>
      <c r="GA31" s="121"/>
      <c r="GB31" s="121"/>
      <c r="GC31" s="121"/>
      <c r="GD31" s="121"/>
      <c r="GE31" s="121"/>
      <c r="GF31" s="121"/>
      <c r="GG31" s="121"/>
      <c r="GH31" s="121"/>
      <c r="GI31" s="121"/>
      <c r="GJ31" s="121"/>
      <c r="GK31" s="121"/>
      <c r="GL31" s="121"/>
      <c r="GM31" s="121"/>
      <c r="GN31" s="121"/>
      <c r="GO31" s="121"/>
      <c r="GP31" s="121"/>
      <c r="GQ31" s="121"/>
      <c r="GR31" s="121"/>
      <c r="GS31" s="121"/>
      <c r="GT31" s="121"/>
      <c r="GU31" s="121"/>
      <c r="GV31" s="121"/>
      <c r="GW31" s="121"/>
      <c r="GX31" s="121"/>
      <c r="GY31" s="121"/>
      <c r="GZ31" s="121"/>
      <c r="HA31" s="121"/>
      <c r="HB31" s="121"/>
      <c r="HC31" s="121"/>
      <c r="HD31" s="121"/>
      <c r="HE31" s="121"/>
      <c r="HF31" s="121"/>
      <c r="HG31" s="121"/>
      <c r="HH31" s="121"/>
      <c r="HI31" s="121"/>
      <c r="HJ31" s="121"/>
      <c r="HK31" s="121"/>
      <c r="HL31" s="121"/>
      <c r="HM31" s="121"/>
      <c r="HN31" s="121"/>
      <c r="HO31" s="121"/>
      <c r="HP31" s="121"/>
      <c r="HQ31" s="121"/>
      <c r="HR31" s="121"/>
      <c r="HS31" s="121"/>
      <c r="HT31" s="121"/>
      <c r="HU31" s="121"/>
      <c r="HV31" s="121"/>
      <c r="HW31" s="121"/>
      <c r="HX31" s="121"/>
      <c r="HY31" s="121"/>
      <c r="HZ31" s="122"/>
    </row>
    <row r="32" spans="4:234" ht="6" customHeight="1">
      <c r="D32" s="120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  <c r="CK32" s="121"/>
      <c r="CL32" s="121"/>
      <c r="CM32" s="121"/>
      <c r="CN32" s="121"/>
      <c r="CO32" s="121"/>
      <c r="CP32" s="121"/>
      <c r="CQ32" s="121"/>
      <c r="CR32" s="121"/>
      <c r="CS32" s="121"/>
      <c r="CT32" s="121"/>
      <c r="CU32" s="121"/>
      <c r="CV32" s="121"/>
      <c r="CW32" s="121"/>
      <c r="CX32" s="121"/>
      <c r="CY32" s="121"/>
      <c r="CZ32" s="121"/>
      <c r="DA32" s="121"/>
      <c r="DB32" s="121"/>
      <c r="DC32" s="121"/>
      <c r="DD32" s="121"/>
      <c r="DE32" s="121"/>
      <c r="DF32" s="121"/>
      <c r="DG32" s="121"/>
      <c r="DH32" s="121"/>
      <c r="DI32" s="121"/>
      <c r="DJ32" s="121"/>
      <c r="DK32" s="121"/>
      <c r="DL32" s="121"/>
      <c r="DM32" s="121"/>
      <c r="DN32" s="122"/>
      <c r="DP32" s="120"/>
      <c r="DQ32" s="121"/>
      <c r="DR32" s="121"/>
      <c r="DS32" s="121"/>
      <c r="DT32" s="121"/>
      <c r="DU32" s="121"/>
      <c r="DV32" s="121"/>
      <c r="DW32" s="121"/>
      <c r="DX32" s="121"/>
      <c r="DY32" s="121"/>
      <c r="DZ32" s="121"/>
      <c r="EA32" s="121"/>
      <c r="EB32" s="121"/>
      <c r="EC32" s="121"/>
      <c r="ED32" s="121"/>
      <c r="EE32" s="121"/>
      <c r="EF32" s="121"/>
      <c r="EG32" s="121"/>
      <c r="EH32" s="121"/>
      <c r="EI32" s="121"/>
      <c r="EJ32" s="121"/>
      <c r="EK32" s="121"/>
      <c r="EL32" s="121"/>
      <c r="EM32" s="121"/>
      <c r="EN32" s="121"/>
      <c r="EO32" s="121"/>
      <c r="EP32" s="121"/>
      <c r="EQ32" s="121"/>
      <c r="ER32" s="121"/>
      <c r="ES32" s="121"/>
      <c r="ET32" s="121"/>
      <c r="EU32" s="121"/>
      <c r="EV32" s="121"/>
      <c r="EW32" s="121"/>
      <c r="EX32" s="121"/>
      <c r="EY32" s="121"/>
      <c r="EZ32" s="121"/>
      <c r="FA32" s="121"/>
      <c r="FB32" s="121"/>
      <c r="FC32" s="121"/>
      <c r="FD32" s="121"/>
      <c r="FE32" s="121"/>
      <c r="FF32" s="121"/>
      <c r="FG32" s="121"/>
      <c r="FH32" s="121"/>
      <c r="FI32" s="121"/>
      <c r="FJ32" s="121"/>
      <c r="FK32" s="121"/>
      <c r="FL32" s="121"/>
      <c r="FM32" s="121"/>
      <c r="FN32" s="121"/>
      <c r="FO32" s="121"/>
      <c r="FP32" s="121"/>
      <c r="FQ32" s="121"/>
      <c r="FR32" s="121"/>
      <c r="FS32" s="121"/>
      <c r="FT32" s="121"/>
      <c r="FU32" s="121"/>
      <c r="FV32" s="121"/>
      <c r="FW32" s="121"/>
      <c r="FX32" s="121"/>
      <c r="FY32" s="121"/>
      <c r="FZ32" s="121"/>
      <c r="GA32" s="121"/>
      <c r="GB32" s="121"/>
      <c r="GC32" s="121"/>
      <c r="GD32" s="121"/>
      <c r="GE32" s="121"/>
      <c r="GF32" s="121"/>
      <c r="GG32" s="121"/>
      <c r="GH32" s="121"/>
      <c r="GI32" s="121"/>
      <c r="GJ32" s="121"/>
      <c r="GK32" s="121"/>
      <c r="GL32" s="121"/>
      <c r="GM32" s="121"/>
      <c r="GN32" s="121"/>
      <c r="GO32" s="121"/>
      <c r="GP32" s="121"/>
      <c r="GQ32" s="121"/>
      <c r="GR32" s="121"/>
      <c r="GS32" s="121"/>
      <c r="GT32" s="121"/>
      <c r="GU32" s="121"/>
      <c r="GV32" s="121"/>
      <c r="GW32" s="121"/>
      <c r="GX32" s="121"/>
      <c r="GY32" s="121"/>
      <c r="GZ32" s="121"/>
      <c r="HA32" s="121"/>
      <c r="HB32" s="121"/>
      <c r="HC32" s="121"/>
      <c r="HD32" s="121"/>
      <c r="HE32" s="121"/>
      <c r="HF32" s="121"/>
      <c r="HG32" s="121"/>
      <c r="HH32" s="121"/>
      <c r="HI32" s="121"/>
      <c r="HJ32" s="121"/>
      <c r="HK32" s="121"/>
      <c r="HL32" s="121"/>
      <c r="HM32" s="121"/>
      <c r="HN32" s="121"/>
      <c r="HO32" s="121"/>
      <c r="HP32" s="121"/>
      <c r="HQ32" s="121"/>
      <c r="HR32" s="121"/>
      <c r="HS32" s="121"/>
      <c r="HT32" s="121"/>
      <c r="HU32" s="121"/>
      <c r="HV32" s="121"/>
      <c r="HW32" s="121"/>
      <c r="HX32" s="121"/>
      <c r="HY32" s="121"/>
      <c r="HZ32" s="122"/>
    </row>
    <row r="33" spans="4:234" ht="6" customHeight="1">
      <c r="D33" s="120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2"/>
      <c r="DP33" s="120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  <c r="GQ33" s="121"/>
      <c r="GR33" s="121"/>
      <c r="GS33" s="121"/>
      <c r="GT33" s="121"/>
      <c r="GU33" s="121"/>
      <c r="GV33" s="121"/>
      <c r="GW33" s="121"/>
      <c r="GX33" s="121"/>
      <c r="GY33" s="121"/>
      <c r="GZ33" s="121"/>
      <c r="HA33" s="121"/>
      <c r="HB33" s="121"/>
      <c r="HC33" s="121"/>
      <c r="HD33" s="121"/>
      <c r="HE33" s="121"/>
      <c r="HF33" s="121"/>
      <c r="HG33" s="121"/>
      <c r="HH33" s="121"/>
      <c r="HI33" s="121"/>
      <c r="HJ33" s="121"/>
      <c r="HK33" s="121"/>
      <c r="HL33" s="121"/>
      <c r="HM33" s="121"/>
      <c r="HN33" s="121"/>
      <c r="HO33" s="121"/>
      <c r="HP33" s="121"/>
      <c r="HQ33" s="121"/>
      <c r="HR33" s="121"/>
      <c r="HS33" s="121"/>
      <c r="HT33" s="121"/>
      <c r="HU33" s="121"/>
      <c r="HV33" s="121"/>
      <c r="HW33" s="121"/>
      <c r="HX33" s="121"/>
      <c r="HY33" s="121"/>
      <c r="HZ33" s="122"/>
    </row>
    <row r="34" spans="4:234" ht="6" customHeight="1">
      <c r="D34" s="120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2"/>
      <c r="DP34" s="120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  <c r="GQ34" s="121"/>
      <c r="GR34" s="121"/>
      <c r="GS34" s="121"/>
      <c r="GT34" s="121"/>
      <c r="GU34" s="121"/>
      <c r="GV34" s="121"/>
      <c r="GW34" s="121"/>
      <c r="GX34" s="121"/>
      <c r="GY34" s="121"/>
      <c r="GZ34" s="121"/>
      <c r="HA34" s="121"/>
      <c r="HB34" s="121"/>
      <c r="HC34" s="121"/>
      <c r="HD34" s="121"/>
      <c r="HE34" s="121"/>
      <c r="HF34" s="121"/>
      <c r="HG34" s="121"/>
      <c r="HH34" s="121"/>
      <c r="HI34" s="121"/>
      <c r="HJ34" s="121"/>
      <c r="HK34" s="121"/>
      <c r="HL34" s="121"/>
      <c r="HM34" s="121"/>
      <c r="HN34" s="121"/>
      <c r="HO34" s="121"/>
      <c r="HP34" s="121"/>
      <c r="HQ34" s="121"/>
      <c r="HR34" s="121"/>
      <c r="HS34" s="121"/>
      <c r="HT34" s="121"/>
      <c r="HU34" s="121"/>
      <c r="HV34" s="121"/>
      <c r="HW34" s="121"/>
      <c r="HX34" s="121"/>
      <c r="HY34" s="121"/>
      <c r="HZ34" s="122"/>
    </row>
    <row r="35" spans="4:234" ht="6" customHeight="1">
      <c r="D35" s="120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2"/>
      <c r="DP35" s="120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  <c r="GQ35" s="121"/>
      <c r="GR35" s="121"/>
      <c r="GS35" s="121"/>
      <c r="GT35" s="121"/>
      <c r="GU35" s="121"/>
      <c r="GV35" s="121"/>
      <c r="GW35" s="121"/>
      <c r="GX35" s="121"/>
      <c r="GY35" s="121"/>
      <c r="GZ35" s="121"/>
      <c r="HA35" s="121"/>
      <c r="HB35" s="121"/>
      <c r="HC35" s="121"/>
      <c r="HD35" s="121"/>
      <c r="HE35" s="121"/>
      <c r="HF35" s="121"/>
      <c r="HG35" s="121"/>
      <c r="HH35" s="121"/>
      <c r="HI35" s="121"/>
      <c r="HJ35" s="121"/>
      <c r="HK35" s="121"/>
      <c r="HL35" s="121"/>
      <c r="HM35" s="121"/>
      <c r="HN35" s="121"/>
      <c r="HO35" s="121"/>
      <c r="HP35" s="121"/>
      <c r="HQ35" s="121"/>
      <c r="HR35" s="121"/>
      <c r="HS35" s="121"/>
      <c r="HT35" s="121"/>
      <c r="HU35" s="121"/>
      <c r="HV35" s="121"/>
      <c r="HW35" s="121"/>
      <c r="HX35" s="121"/>
      <c r="HY35" s="121"/>
      <c r="HZ35" s="122"/>
    </row>
    <row r="36" spans="4:234" ht="6" customHeight="1">
      <c r="D36" s="120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2"/>
      <c r="DP36" s="120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  <c r="GQ36" s="121"/>
      <c r="GR36" s="121"/>
      <c r="GS36" s="121"/>
      <c r="GT36" s="121"/>
      <c r="GU36" s="121"/>
      <c r="GV36" s="121"/>
      <c r="GW36" s="121"/>
      <c r="GX36" s="121"/>
      <c r="GY36" s="121"/>
      <c r="GZ36" s="121"/>
      <c r="HA36" s="121"/>
      <c r="HB36" s="121"/>
      <c r="HC36" s="121"/>
      <c r="HD36" s="121"/>
      <c r="HE36" s="121"/>
      <c r="HF36" s="121"/>
      <c r="HG36" s="121"/>
      <c r="HH36" s="121"/>
      <c r="HI36" s="121"/>
      <c r="HJ36" s="121"/>
      <c r="HK36" s="121"/>
      <c r="HL36" s="121"/>
      <c r="HM36" s="121"/>
      <c r="HN36" s="121"/>
      <c r="HO36" s="121"/>
      <c r="HP36" s="121"/>
      <c r="HQ36" s="121"/>
      <c r="HR36" s="121"/>
      <c r="HS36" s="121"/>
      <c r="HT36" s="121"/>
      <c r="HU36" s="121"/>
      <c r="HV36" s="121"/>
      <c r="HW36" s="121"/>
      <c r="HX36" s="121"/>
      <c r="HY36" s="121"/>
      <c r="HZ36" s="122"/>
    </row>
    <row r="37" spans="4:234" ht="6" customHeight="1">
      <c r="D37" s="120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2"/>
      <c r="DP37" s="120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  <c r="GQ37" s="121"/>
      <c r="GR37" s="121"/>
      <c r="GS37" s="121"/>
      <c r="GT37" s="121"/>
      <c r="GU37" s="121"/>
      <c r="GV37" s="121"/>
      <c r="GW37" s="121"/>
      <c r="GX37" s="121"/>
      <c r="GY37" s="121"/>
      <c r="GZ37" s="121"/>
      <c r="HA37" s="121"/>
      <c r="HB37" s="121"/>
      <c r="HC37" s="121"/>
      <c r="HD37" s="121"/>
      <c r="HE37" s="121"/>
      <c r="HF37" s="121"/>
      <c r="HG37" s="121"/>
      <c r="HH37" s="121"/>
      <c r="HI37" s="121"/>
      <c r="HJ37" s="121"/>
      <c r="HK37" s="121"/>
      <c r="HL37" s="121"/>
      <c r="HM37" s="121"/>
      <c r="HN37" s="121"/>
      <c r="HO37" s="121"/>
      <c r="HP37" s="121"/>
      <c r="HQ37" s="121"/>
      <c r="HR37" s="121"/>
      <c r="HS37" s="121"/>
      <c r="HT37" s="121"/>
      <c r="HU37" s="121"/>
      <c r="HV37" s="121"/>
      <c r="HW37" s="121"/>
      <c r="HX37" s="121"/>
      <c r="HY37" s="121"/>
      <c r="HZ37" s="122"/>
    </row>
    <row r="38" spans="4:234" ht="6" customHeight="1">
      <c r="D38" s="120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2"/>
      <c r="DP38" s="120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  <c r="GQ38" s="121"/>
      <c r="GR38" s="121"/>
      <c r="GS38" s="121"/>
      <c r="GT38" s="121"/>
      <c r="GU38" s="121"/>
      <c r="GV38" s="121"/>
      <c r="GW38" s="121"/>
      <c r="GX38" s="121"/>
      <c r="GY38" s="121"/>
      <c r="GZ38" s="121"/>
      <c r="HA38" s="121"/>
      <c r="HB38" s="121"/>
      <c r="HC38" s="121"/>
      <c r="HD38" s="121"/>
      <c r="HE38" s="121"/>
      <c r="HF38" s="121"/>
      <c r="HG38" s="121"/>
      <c r="HH38" s="121"/>
      <c r="HI38" s="121"/>
      <c r="HJ38" s="121"/>
      <c r="HK38" s="121"/>
      <c r="HL38" s="121"/>
      <c r="HM38" s="121"/>
      <c r="HN38" s="121"/>
      <c r="HO38" s="121"/>
      <c r="HP38" s="121"/>
      <c r="HQ38" s="121"/>
      <c r="HR38" s="121"/>
      <c r="HS38" s="121"/>
      <c r="HT38" s="121"/>
      <c r="HU38" s="121"/>
      <c r="HV38" s="121"/>
      <c r="HW38" s="121"/>
      <c r="HX38" s="121"/>
      <c r="HY38" s="121"/>
      <c r="HZ38" s="122"/>
    </row>
    <row r="39" spans="4:234" ht="6" customHeight="1">
      <c r="D39" s="120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2"/>
      <c r="DP39" s="120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  <c r="GQ39" s="121"/>
      <c r="GR39" s="121"/>
      <c r="GS39" s="121"/>
      <c r="GT39" s="121"/>
      <c r="GU39" s="121"/>
      <c r="GV39" s="121"/>
      <c r="GW39" s="121"/>
      <c r="GX39" s="121"/>
      <c r="GY39" s="121"/>
      <c r="GZ39" s="121"/>
      <c r="HA39" s="121"/>
      <c r="HB39" s="121"/>
      <c r="HC39" s="121"/>
      <c r="HD39" s="121"/>
      <c r="HE39" s="121"/>
      <c r="HF39" s="121"/>
      <c r="HG39" s="121"/>
      <c r="HH39" s="121"/>
      <c r="HI39" s="121"/>
      <c r="HJ39" s="121"/>
      <c r="HK39" s="121"/>
      <c r="HL39" s="121"/>
      <c r="HM39" s="121"/>
      <c r="HN39" s="121"/>
      <c r="HO39" s="121"/>
      <c r="HP39" s="121"/>
      <c r="HQ39" s="121"/>
      <c r="HR39" s="121"/>
      <c r="HS39" s="121"/>
      <c r="HT39" s="121"/>
      <c r="HU39" s="121"/>
      <c r="HV39" s="121"/>
      <c r="HW39" s="121"/>
      <c r="HX39" s="121"/>
      <c r="HY39" s="121"/>
      <c r="HZ39" s="122"/>
    </row>
    <row r="40" spans="4:234" ht="6" customHeight="1">
      <c r="D40" s="123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5"/>
      <c r="DP40" s="123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  <c r="GA40" s="124"/>
      <c r="GB40" s="124"/>
      <c r="GC40" s="124"/>
      <c r="GD40" s="124"/>
      <c r="GE40" s="124"/>
      <c r="GF40" s="124"/>
      <c r="GG40" s="124"/>
      <c r="GH40" s="124"/>
      <c r="GI40" s="124"/>
      <c r="GJ40" s="124"/>
      <c r="GK40" s="124"/>
      <c r="GL40" s="124"/>
      <c r="GM40" s="124"/>
      <c r="GN40" s="124"/>
      <c r="GO40" s="124"/>
      <c r="GP40" s="124"/>
      <c r="GQ40" s="124"/>
      <c r="GR40" s="124"/>
      <c r="GS40" s="124"/>
      <c r="GT40" s="124"/>
      <c r="GU40" s="124"/>
      <c r="GV40" s="124"/>
      <c r="GW40" s="124"/>
      <c r="GX40" s="124"/>
      <c r="GY40" s="124"/>
      <c r="GZ40" s="124"/>
      <c r="HA40" s="124"/>
      <c r="HB40" s="124"/>
      <c r="HC40" s="124"/>
      <c r="HD40" s="124"/>
      <c r="HE40" s="124"/>
      <c r="HF40" s="124"/>
      <c r="HG40" s="124"/>
      <c r="HH40" s="124"/>
      <c r="HI40" s="124"/>
      <c r="HJ40" s="124"/>
      <c r="HK40" s="124"/>
      <c r="HL40" s="124"/>
      <c r="HM40" s="124"/>
      <c r="HN40" s="124"/>
      <c r="HO40" s="124"/>
      <c r="HP40" s="124"/>
      <c r="HQ40" s="124"/>
      <c r="HR40" s="124"/>
      <c r="HS40" s="124"/>
      <c r="HT40" s="124"/>
      <c r="HU40" s="124"/>
      <c r="HV40" s="124"/>
      <c r="HW40" s="124"/>
      <c r="HX40" s="124"/>
      <c r="HY40" s="124"/>
      <c r="HZ40" s="125"/>
    </row>
    <row r="42" spans="4:234" ht="6" customHeight="1">
      <c r="D42" s="126" t="s">
        <v>2080</v>
      </c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26"/>
      <c r="CE42" s="126"/>
      <c r="CF42" s="126"/>
      <c r="CG42" s="126"/>
      <c r="CH42" s="126"/>
      <c r="CI42" s="126"/>
      <c r="CJ42" s="126"/>
      <c r="CK42" s="126"/>
      <c r="CL42" s="126"/>
      <c r="CM42" s="126"/>
      <c r="CN42" s="126"/>
      <c r="CO42" s="126"/>
      <c r="CP42" s="126"/>
      <c r="CQ42" s="126"/>
      <c r="CR42" s="126"/>
      <c r="CS42" s="126"/>
      <c r="CT42" s="126"/>
      <c r="CU42" s="126"/>
      <c r="CV42" s="126"/>
      <c r="CW42" s="126"/>
      <c r="CX42" s="126"/>
      <c r="CY42" s="126"/>
      <c r="CZ42" s="126"/>
      <c r="DA42" s="126"/>
      <c r="DB42" s="126"/>
      <c r="DC42" s="126"/>
      <c r="DD42" s="126"/>
      <c r="DE42" s="126"/>
      <c r="DF42" s="126"/>
      <c r="DG42" s="126"/>
      <c r="DH42" s="126"/>
      <c r="DI42" s="126"/>
      <c r="DJ42" s="126"/>
      <c r="DK42" s="126"/>
      <c r="DL42" s="126"/>
      <c r="DM42" s="126"/>
      <c r="DN42" s="126"/>
      <c r="DP42" s="126" t="s">
        <v>2081</v>
      </c>
      <c r="DQ42" s="126"/>
      <c r="DR42" s="126"/>
      <c r="DS42" s="126"/>
      <c r="DT42" s="126"/>
      <c r="DU42" s="126"/>
      <c r="DV42" s="126"/>
      <c r="DW42" s="126"/>
      <c r="DX42" s="126"/>
      <c r="DY42" s="126"/>
      <c r="DZ42" s="126"/>
      <c r="EA42" s="126"/>
      <c r="EB42" s="126"/>
      <c r="EC42" s="126"/>
      <c r="ED42" s="126"/>
      <c r="EE42" s="126"/>
      <c r="EF42" s="126"/>
      <c r="EG42" s="126"/>
      <c r="EH42" s="126"/>
      <c r="EI42" s="126"/>
      <c r="EJ42" s="126"/>
      <c r="EK42" s="126"/>
      <c r="EL42" s="126"/>
      <c r="EM42" s="126"/>
      <c r="EN42" s="126"/>
      <c r="EO42" s="126"/>
      <c r="EP42" s="126"/>
      <c r="EQ42" s="126"/>
      <c r="ER42" s="126"/>
      <c r="ES42" s="126"/>
      <c r="ET42" s="126"/>
      <c r="EU42" s="126"/>
      <c r="EV42" s="126"/>
      <c r="EW42" s="126"/>
      <c r="EX42" s="126"/>
      <c r="EY42" s="126"/>
      <c r="EZ42" s="126"/>
      <c r="FA42" s="126"/>
      <c r="FB42" s="126"/>
      <c r="FC42" s="126"/>
      <c r="FD42" s="126"/>
      <c r="FE42" s="126"/>
      <c r="FF42" s="126"/>
      <c r="FG42" s="126"/>
      <c r="FH42" s="126"/>
      <c r="FI42" s="126"/>
      <c r="FJ42" s="126"/>
      <c r="FK42" s="126"/>
      <c r="FL42" s="126"/>
      <c r="FM42" s="126"/>
      <c r="FN42" s="126"/>
      <c r="FO42" s="126"/>
      <c r="FP42" s="126"/>
      <c r="FQ42" s="126"/>
      <c r="FR42" s="126"/>
      <c r="FS42" s="126"/>
      <c r="FT42" s="126"/>
      <c r="FU42" s="126"/>
      <c r="FV42" s="126"/>
      <c r="FW42" s="126"/>
      <c r="FX42" s="126"/>
      <c r="FY42" s="126"/>
      <c r="FZ42" s="126"/>
      <c r="GA42" s="126"/>
      <c r="GB42" s="126"/>
      <c r="GC42" s="126"/>
      <c r="GD42" s="126"/>
      <c r="GE42" s="126"/>
      <c r="GF42" s="126"/>
      <c r="GG42" s="126"/>
      <c r="GH42" s="126"/>
      <c r="GI42" s="126"/>
      <c r="GJ42" s="126"/>
      <c r="GK42" s="126"/>
      <c r="GL42" s="126"/>
      <c r="GM42" s="126"/>
      <c r="GN42" s="126"/>
      <c r="GO42" s="126"/>
      <c r="GP42" s="126"/>
      <c r="GQ42" s="126"/>
      <c r="GR42" s="126"/>
      <c r="GS42" s="126"/>
      <c r="GT42" s="126"/>
      <c r="GU42" s="126"/>
      <c r="GV42" s="126"/>
      <c r="GW42" s="126"/>
      <c r="GX42" s="126"/>
      <c r="GY42" s="126"/>
      <c r="GZ42" s="126"/>
      <c r="HA42" s="126"/>
      <c r="HB42" s="126"/>
      <c r="HC42" s="126"/>
      <c r="HD42" s="126"/>
      <c r="HE42" s="126"/>
      <c r="HF42" s="126"/>
      <c r="HG42" s="126"/>
      <c r="HH42" s="126"/>
      <c r="HI42" s="126"/>
      <c r="HJ42" s="126"/>
      <c r="HK42" s="126"/>
      <c r="HL42" s="126"/>
      <c r="HM42" s="126"/>
      <c r="HN42" s="126"/>
      <c r="HO42" s="126"/>
      <c r="HP42" s="126"/>
      <c r="HQ42" s="126"/>
      <c r="HR42" s="126"/>
      <c r="HS42" s="126"/>
      <c r="HT42" s="126"/>
      <c r="HU42" s="126"/>
      <c r="HV42" s="126"/>
      <c r="HW42" s="126"/>
      <c r="HX42" s="126"/>
      <c r="HY42" s="126"/>
      <c r="HZ42" s="126"/>
    </row>
    <row r="43" spans="4:234" ht="6" customHeight="1"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26"/>
      <c r="CE43" s="126"/>
      <c r="CF43" s="126"/>
      <c r="CG43" s="126"/>
      <c r="CH43" s="126"/>
      <c r="CI43" s="126"/>
      <c r="CJ43" s="126"/>
      <c r="CK43" s="126"/>
      <c r="CL43" s="126"/>
      <c r="CM43" s="126"/>
      <c r="CN43" s="126"/>
      <c r="CO43" s="126"/>
      <c r="CP43" s="126"/>
      <c r="CQ43" s="126"/>
      <c r="CR43" s="126"/>
      <c r="CS43" s="126"/>
      <c r="CT43" s="126"/>
      <c r="CU43" s="126"/>
      <c r="CV43" s="126"/>
      <c r="CW43" s="126"/>
      <c r="CX43" s="126"/>
      <c r="CY43" s="126"/>
      <c r="CZ43" s="126"/>
      <c r="DA43" s="126"/>
      <c r="DB43" s="126"/>
      <c r="DC43" s="126"/>
      <c r="DD43" s="126"/>
      <c r="DE43" s="126"/>
      <c r="DF43" s="126"/>
      <c r="DG43" s="126"/>
      <c r="DH43" s="126"/>
      <c r="DI43" s="126"/>
      <c r="DJ43" s="126"/>
      <c r="DK43" s="126"/>
      <c r="DL43" s="126"/>
      <c r="DM43" s="126"/>
      <c r="DN43" s="126"/>
      <c r="DP43" s="126"/>
      <c r="DQ43" s="126"/>
      <c r="DR43" s="126"/>
      <c r="DS43" s="126"/>
      <c r="DT43" s="126"/>
      <c r="DU43" s="126"/>
      <c r="DV43" s="126"/>
      <c r="DW43" s="126"/>
      <c r="DX43" s="126"/>
      <c r="DY43" s="126"/>
      <c r="DZ43" s="126"/>
      <c r="EA43" s="126"/>
      <c r="EB43" s="126"/>
      <c r="EC43" s="126"/>
      <c r="ED43" s="126"/>
      <c r="EE43" s="126"/>
      <c r="EF43" s="126"/>
      <c r="EG43" s="126"/>
      <c r="EH43" s="126"/>
      <c r="EI43" s="126"/>
      <c r="EJ43" s="126"/>
      <c r="EK43" s="126"/>
      <c r="EL43" s="126"/>
      <c r="EM43" s="126"/>
      <c r="EN43" s="126"/>
      <c r="EO43" s="126"/>
      <c r="EP43" s="126"/>
      <c r="EQ43" s="126"/>
      <c r="ER43" s="126"/>
      <c r="ES43" s="126"/>
      <c r="ET43" s="126"/>
      <c r="EU43" s="126"/>
      <c r="EV43" s="126"/>
      <c r="EW43" s="126"/>
      <c r="EX43" s="126"/>
      <c r="EY43" s="126"/>
      <c r="EZ43" s="126"/>
      <c r="FA43" s="126"/>
      <c r="FB43" s="126"/>
      <c r="FC43" s="126"/>
      <c r="FD43" s="126"/>
      <c r="FE43" s="126"/>
      <c r="FF43" s="126"/>
      <c r="FG43" s="126"/>
      <c r="FH43" s="126"/>
      <c r="FI43" s="126"/>
      <c r="FJ43" s="126"/>
      <c r="FK43" s="126"/>
      <c r="FL43" s="126"/>
      <c r="FM43" s="126"/>
      <c r="FN43" s="126"/>
      <c r="FO43" s="126"/>
      <c r="FP43" s="126"/>
      <c r="FQ43" s="126"/>
      <c r="FR43" s="126"/>
      <c r="FS43" s="126"/>
      <c r="FT43" s="126"/>
      <c r="FU43" s="126"/>
      <c r="FV43" s="126"/>
      <c r="FW43" s="126"/>
      <c r="FX43" s="126"/>
      <c r="FY43" s="126"/>
      <c r="FZ43" s="126"/>
      <c r="GA43" s="126"/>
      <c r="GB43" s="126"/>
      <c r="GC43" s="126"/>
      <c r="GD43" s="126"/>
      <c r="GE43" s="126"/>
      <c r="GF43" s="126"/>
      <c r="GG43" s="126"/>
      <c r="GH43" s="126"/>
      <c r="GI43" s="126"/>
      <c r="GJ43" s="126"/>
      <c r="GK43" s="126"/>
      <c r="GL43" s="126"/>
      <c r="GM43" s="126"/>
      <c r="GN43" s="126"/>
      <c r="GO43" s="126"/>
      <c r="GP43" s="126"/>
      <c r="GQ43" s="126"/>
      <c r="GR43" s="126"/>
      <c r="GS43" s="126"/>
      <c r="GT43" s="126"/>
      <c r="GU43" s="126"/>
      <c r="GV43" s="126"/>
      <c r="GW43" s="126"/>
      <c r="GX43" s="126"/>
      <c r="GY43" s="126"/>
      <c r="GZ43" s="126"/>
      <c r="HA43" s="126"/>
      <c r="HB43" s="126"/>
      <c r="HC43" s="126"/>
      <c r="HD43" s="126"/>
      <c r="HE43" s="126"/>
      <c r="HF43" s="126"/>
      <c r="HG43" s="126"/>
      <c r="HH43" s="126"/>
      <c r="HI43" s="126"/>
      <c r="HJ43" s="126"/>
      <c r="HK43" s="126"/>
      <c r="HL43" s="126"/>
      <c r="HM43" s="126"/>
      <c r="HN43" s="126"/>
      <c r="HO43" s="126"/>
      <c r="HP43" s="126"/>
      <c r="HQ43" s="126"/>
      <c r="HR43" s="126"/>
      <c r="HS43" s="126"/>
      <c r="HT43" s="126"/>
      <c r="HU43" s="126"/>
      <c r="HV43" s="126"/>
      <c r="HW43" s="126"/>
      <c r="HX43" s="126"/>
      <c r="HY43" s="126"/>
      <c r="HZ43" s="126"/>
    </row>
    <row r="44" spans="4:234" ht="6" customHeight="1"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6"/>
      <c r="CF44" s="126"/>
      <c r="CG44" s="126"/>
      <c r="CH44" s="126"/>
      <c r="CI44" s="126"/>
      <c r="CJ44" s="126"/>
      <c r="CK44" s="126"/>
      <c r="CL44" s="126"/>
      <c r="CM44" s="126"/>
      <c r="CN44" s="126"/>
      <c r="CO44" s="126"/>
      <c r="CP44" s="126"/>
      <c r="CQ44" s="126"/>
      <c r="CR44" s="126"/>
      <c r="CS44" s="126"/>
      <c r="CT44" s="126"/>
      <c r="CU44" s="126"/>
      <c r="CV44" s="126"/>
      <c r="CW44" s="126"/>
      <c r="CX44" s="126"/>
      <c r="CY44" s="126"/>
      <c r="CZ44" s="126"/>
      <c r="DA44" s="126"/>
      <c r="DB44" s="126"/>
      <c r="DC44" s="126"/>
      <c r="DD44" s="126"/>
      <c r="DE44" s="126"/>
      <c r="DF44" s="126"/>
      <c r="DG44" s="126"/>
      <c r="DH44" s="126"/>
      <c r="DI44" s="126"/>
      <c r="DJ44" s="126"/>
      <c r="DK44" s="126"/>
      <c r="DL44" s="126"/>
      <c r="DM44" s="126"/>
      <c r="DN44" s="126"/>
      <c r="DP44" s="126"/>
      <c r="DQ44" s="126"/>
      <c r="DR44" s="126"/>
      <c r="DS44" s="126"/>
      <c r="DT44" s="126"/>
      <c r="DU44" s="126"/>
      <c r="DV44" s="126"/>
      <c r="DW44" s="126"/>
      <c r="DX44" s="126"/>
      <c r="DY44" s="126"/>
      <c r="DZ44" s="126"/>
      <c r="EA44" s="126"/>
      <c r="EB44" s="126"/>
      <c r="EC44" s="126"/>
      <c r="ED44" s="126"/>
      <c r="EE44" s="126"/>
      <c r="EF44" s="126"/>
      <c r="EG44" s="126"/>
      <c r="EH44" s="126"/>
      <c r="EI44" s="126"/>
      <c r="EJ44" s="126"/>
      <c r="EK44" s="126"/>
      <c r="EL44" s="126"/>
      <c r="EM44" s="126"/>
      <c r="EN44" s="126"/>
      <c r="EO44" s="126"/>
      <c r="EP44" s="126"/>
      <c r="EQ44" s="126"/>
      <c r="ER44" s="126"/>
      <c r="ES44" s="126"/>
      <c r="ET44" s="126"/>
      <c r="EU44" s="126"/>
      <c r="EV44" s="126"/>
      <c r="EW44" s="126"/>
      <c r="EX44" s="126"/>
      <c r="EY44" s="126"/>
      <c r="EZ44" s="126"/>
      <c r="FA44" s="126"/>
      <c r="FB44" s="126"/>
      <c r="FC44" s="126"/>
      <c r="FD44" s="126"/>
      <c r="FE44" s="126"/>
      <c r="FF44" s="126"/>
      <c r="FG44" s="126"/>
      <c r="FH44" s="126"/>
      <c r="FI44" s="126"/>
      <c r="FJ44" s="126"/>
      <c r="FK44" s="126"/>
      <c r="FL44" s="126"/>
      <c r="FM44" s="126"/>
      <c r="FN44" s="126"/>
      <c r="FO44" s="126"/>
      <c r="FP44" s="126"/>
      <c r="FQ44" s="126"/>
      <c r="FR44" s="126"/>
      <c r="FS44" s="126"/>
      <c r="FT44" s="126"/>
      <c r="FU44" s="126"/>
      <c r="FV44" s="126"/>
      <c r="FW44" s="126"/>
      <c r="FX44" s="126"/>
      <c r="FY44" s="126"/>
      <c r="FZ44" s="126"/>
      <c r="GA44" s="126"/>
      <c r="GB44" s="126"/>
      <c r="GC44" s="126"/>
      <c r="GD44" s="126"/>
      <c r="GE44" s="126"/>
      <c r="GF44" s="126"/>
      <c r="GG44" s="126"/>
      <c r="GH44" s="126"/>
      <c r="GI44" s="126"/>
      <c r="GJ44" s="126"/>
      <c r="GK44" s="126"/>
      <c r="GL44" s="126"/>
      <c r="GM44" s="126"/>
      <c r="GN44" s="126"/>
      <c r="GO44" s="126"/>
      <c r="GP44" s="126"/>
      <c r="GQ44" s="126"/>
      <c r="GR44" s="126"/>
      <c r="GS44" s="126"/>
      <c r="GT44" s="126"/>
      <c r="GU44" s="126"/>
      <c r="GV44" s="126"/>
      <c r="GW44" s="126"/>
      <c r="GX44" s="126"/>
      <c r="GY44" s="126"/>
      <c r="GZ44" s="126"/>
      <c r="HA44" s="126"/>
      <c r="HB44" s="126"/>
      <c r="HC44" s="126"/>
      <c r="HD44" s="126"/>
      <c r="HE44" s="126"/>
      <c r="HF44" s="126"/>
      <c r="HG44" s="126"/>
      <c r="HH44" s="126"/>
      <c r="HI44" s="126"/>
      <c r="HJ44" s="126"/>
      <c r="HK44" s="126"/>
      <c r="HL44" s="126"/>
      <c r="HM44" s="126"/>
      <c r="HN44" s="126"/>
      <c r="HO44" s="126"/>
      <c r="HP44" s="126"/>
      <c r="HQ44" s="126"/>
      <c r="HR44" s="126"/>
      <c r="HS44" s="126"/>
      <c r="HT44" s="126"/>
      <c r="HU44" s="126"/>
      <c r="HV44" s="126"/>
      <c r="HW44" s="126"/>
      <c r="HX44" s="126"/>
      <c r="HY44" s="126"/>
      <c r="HZ44" s="126"/>
    </row>
    <row r="45" spans="4:234" ht="6" customHeight="1">
      <c r="D45" s="117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/>
      <c r="CS45" s="118"/>
      <c r="CT45" s="118"/>
      <c r="CU45" s="118"/>
      <c r="CV45" s="118"/>
      <c r="CW45" s="118"/>
      <c r="CX45" s="118"/>
      <c r="CY45" s="118"/>
      <c r="CZ45" s="118"/>
      <c r="DA45" s="118"/>
      <c r="DB45" s="118"/>
      <c r="DC45" s="118"/>
      <c r="DD45" s="118"/>
      <c r="DE45" s="118"/>
      <c r="DF45" s="118"/>
      <c r="DG45" s="118"/>
      <c r="DH45" s="118"/>
      <c r="DI45" s="118"/>
      <c r="DJ45" s="118"/>
      <c r="DK45" s="118"/>
      <c r="DL45" s="118"/>
      <c r="DM45" s="118"/>
      <c r="DN45" s="119"/>
      <c r="DP45" s="117"/>
      <c r="DQ45" s="118"/>
      <c r="DR45" s="118"/>
      <c r="DS45" s="118"/>
      <c r="DT45" s="118"/>
      <c r="DU45" s="118"/>
      <c r="DV45" s="118"/>
      <c r="DW45" s="118"/>
      <c r="DX45" s="118"/>
      <c r="DY45" s="118"/>
      <c r="DZ45" s="118"/>
      <c r="EA45" s="118"/>
      <c r="EB45" s="118"/>
      <c r="EC45" s="118"/>
      <c r="ED45" s="118"/>
      <c r="EE45" s="118"/>
      <c r="EF45" s="118"/>
      <c r="EG45" s="118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  <c r="ES45" s="118"/>
      <c r="ET45" s="118"/>
      <c r="EU45" s="118"/>
      <c r="EV45" s="118"/>
      <c r="EW45" s="118"/>
      <c r="EX45" s="118"/>
      <c r="EY45" s="118"/>
      <c r="EZ45" s="118"/>
      <c r="FA45" s="118"/>
      <c r="FB45" s="118"/>
      <c r="FC45" s="118"/>
      <c r="FD45" s="118"/>
      <c r="FE45" s="118"/>
      <c r="FF45" s="118"/>
      <c r="FG45" s="118"/>
      <c r="FH45" s="118"/>
      <c r="FI45" s="118"/>
      <c r="FJ45" s="118"/>
      <c r="FK45" s="118"/>
      <c r="FL45" s="118"/>
      <c r="FM45" s="118"/>
      <c r="FN45" s="118"/>
      <c r="FO45" s="118"/>
      <c r="FP45" s="118"/>
      <c r="FQ45" s="118"/>
      <c r="FR45" s="118"/>
      <c r="FS45" s="118"/>
      <c r="FT45" s="118"/>
      <c r="FU45" s="118"/>
      <c r="FV45" s="118"/>
      <c r="FW45" s="118"/>
      <c r="FX45" s="118"/>
      <c r="FY45" s="118"/>
      <c r="FZ45" s="118"/>
      <c r="GA45" s="118"/>
      <c r="GB45" s="118"/>
      <c r="GC45" s="118"/>
      <c r="GD45" s="118"/>
      <c r="GE45" s="118"/>
      <c r="GF45" s="118"/>
      <c r="GG45" s="118"/>
      <c r="GH45" s="118"/>
      <c r="GI45" s="118"/>
      <c r="GJ45" s="118"/>
      <c r="GK45" s="118"/>
      <c r="GL45" s="118"/>
      <c r="GM45" s="118"/>
      <c r="GN45" s="118"/>
      <c r="GO45" s="118"/>
      <c r="GP45" s="118"/>
      <c r="GQ45" s="118"/>
      <c r="GR45" s="118"/>
      <c r="GS45" s="118"/>
      <c r="GT45" s="118"/>
      <c r="GU45" s="118"/>
      <c r="GV45" s="118"/>
      <c r="GW45" s="118"/>
      <c r="GX45" s="118"/>
      <c r="GY45" s="118"/>
      <c r="GZ45" s="118"/>
      <c r="HA45" s="118"/>
      <c r="HB45" s="118"/>
      <c r="HC45" s="118"/>
      <c r="HD45" s="118"/>
      <c r="HE45" s="118"/>
      <c r="HF45" s="118"/>
      <c r="HG45" s="118"/>
      <c r="HH45" s="118"/>
      <c r="HI45" s="118"/>
      <c r="HJ45" s="118"/>
      <c r="HK45" s="118"/>
      <c r="HL45" s="118"/>
      <c r="HM45" s="118"/>
      <c r="HN45" s="118"/>
      <c r="HO45" s="118"/>
      <c r="HP45" s="118"/>
      <c r="HQ45" s="118"/>
      <c r="HR45" s="118"/>
      <c r="HS45" s="118"/>
      <c r="HT45" s="118"/>
      <c r="HU45" s="118"/>
      <c r="HV45" s="118"/>
      <c r="HW45" s="118"/>
      <c r="HX45" s="118"/>
      <c r="HY45" s="118"/>
      <c r="HZ45" s="119"/>
    </row>
    <row r="46" spans="4:234" ht="6" customHeight="1">
      <c r="D46" s="120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2"/>
      <c r="DP46" s="120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  <c r="GQ46" s="121"/>
      <c r="GR46" s="121"/>
      <c r="GS46" s="121"/>
      <c r="GT46" s="121"/>
      <c r="GU46" s="121"/>
      <c r="GV46" s="121"/>
      <c r="GW46" s="121"/>
      <c r="GX46" s="121"/>
      <c r="GY46" s="121"/>
      <c r="GZ46" s="121"/>
      <c r="HA46" s="121"/>
      <c r="HB46" s="121"/>
      <c r="HC46" s="121"/>
      <c r="HD46" s="121"/>
      <c r="HE46" s="121"/>
      <c r="HF46" s="121"/>
      <c r="HG46" s="121"/>
      <c r="HH46" s="121"/>
      <c r="HI46" s="121"/>
      <c r="HJ46" s="121"/>
      <c r="HK46" s="121"/>
      <c r="HL46" s="121"/>
      <c r="HM46" s="121"/>
      <c r="HN46" s="121"/>
      <c r="HO46" s="121"/>
      <c r="HP46" s="121"/>
      <c r="HQ46" s="121"/>
      <c r="HR46" s="121"/>
      <c r="HS46" s="121"/>
      <c r="HT46" s="121"/>
      <c r="HU46" s="121"/>
      <c r="HV46" s="121"/>
      <c r="HW46" s="121"/>
      <c r="HX46" s="121"/>
      <c r="HY46" s="121"/>
      <c r="HZ46" s="122"/>
    </row>
    <row r="47" spans="4:234" ht="6" customHeight="1">
      <c r="D47" s="120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2"/>
      <c r="DP47" s="120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  <c r="GQ47" s="121"/>
      <c r="GR47" s="121"/>
      <c r="GS47" s="121"/>
      <c r="GT47" s="121"/>
      <c r="GU47" s="121"/>
      <c r="GV47" s="121"/>
      <c r="GW47" s="121"/>
      <c r="GX47" s="121"/>
      <c r="GY47" s="121"/>
      <c r="GZ47" s="121"/>
      <c r="HA47" s="121"/>
      <c r="HB47" s="121"/>
      <c r="HC47" s="121"/>
      <c r="HD47" s="121"/>
      <c r="HE47" s="121"/>
      <c r="HF47" s="121"/>
      <c r="HG47" s="121"/>
      <c r="HH47" s="121"/>
      <c r="HI47" s="121"/>
      <c r="HJ47" s="121"/>
      <c r="HK47" s="121"/>
      <c r="HL47" s="121"/>
      <c r="HM47" s="121"/>
      <c r="HN47" s="121"/>
      <c r="HO47" s="121"/>
      <c r="HP47" s="121"/>
      <c r="HQ47" s="121"/>
      <c r="HR47" s="121"/>
      <c r="HS47" s="121"/>
      <c r="HT47" s="121"/>
      <c r="HU47" s="121"/>
      <c r="HV47" s="121"/>
      <c r="HW47" s="121"/>
      <c r="HX47" s="121"/>
      <c r="HY47" s="121"/>
      <c r="HZ47" s="122"/>
    </row>
    <row r="48" spans="4:234" ht="6" customHeight="1">
      <c r="D48" s="120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2"/>
      <c r="DP48" s="120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  <c r="GQ48" s="121"/>
      <c r="GR48" s="121"/>
      <c r="GS48" s="121"/>
      <c r="GT48" s="121"/>
      <c r="GU48" s="121"/>
      <c r="GV48" s="121"/>
      <c r="GW48" s="121"/>
      <c r="GX48" s="121"/>
      <c r="GY48" s="121"/>
      <c r="GZ48" s="121"/>
      <c r="HA48" s="121"/>
      <c r="HB48" s="121"/>
      <c r="HC48" s="121"/>
      <c r="HD48" s="121"/>
      <c r="HE48" s="121"/>
      <c r="HF48" s="121"/>
      <c r="HG48" s="121"/>
      <c r="HH48" s="121"/>
      <c r="HI48" s="121"/>
      <c r="HJ48" s="121"/>
      <c r="HK48" s="121"/>
      <c r="HL48" s="121"/>
      <c r="HM48" s="121"/>
      <c r="HN48" s="121"/>
      <c r="HO48" s="121"/>
      <c r="HP48" s="121"/>
      <c r="HQ48" s="121"/>
      <c r="HR48" s="121"/>
      <c r="HS48" s="121"/>
      <c r="HT48" s="121"/>
      <c r="HU48" s="121"/>
      <c r="HV48" s="121"/>
      <c r="HW48" s="121"/>
      <c r="HX48" s="121"/>
      <c r="HY48" s="121"/>
      <c r="HZ48" s="122"/>
    </row>
    <row r="49" spans="4:234" ht="6" customHeight="1">
      <c r="D49" s="120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2"/>
      <c r="DP49" s="120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  <c r="GQ49" s="121"/>
      <c r="GR49" s="121"/>
      <c r="GS49" s="121"/>
      <c r="GT49" s="121"/>
      <c r="GU49" s="121"/>
      <c r="GV49" s="121"/>
      <c r="GW49" s="121"/>
      <c r="GX49" s="121"/>
      <c r="GY49" s="121"/>
      <c r="GZ49" s="121"/>
      <c r="HA49" s="121"/>
      <c r="HB49" s="121"/>
      <c r="HC49" s="121"/>
      <c r="HD49" s="121"/>
      <c r="HE49" s="121"/>
      <c r="HF49" s="121"/>
      <c r="HG49" s="121"/>
      <c r="HH49" s="121"/>
      <c r="HI49" s="121"/>
      <c r="HJ49" s="121"/>
      <c r="HK49" s="121"/>
      <c r="HL49" s="121"/>
      <c r="HM49" s="121"/>
      <c r="HN49" s="121"/>
      <c r="HO49" s="121"/>
      <c r="HP49" s="121"/>
      <c r="HQ49" s="121"/>
      <c r="HR49" s="121"/>
      <c r="HS49" s="121"/>
      <c r="HT49" s="121"/>
      <c r="HU49" s="121"/>
      <c r="HV49" s="121"/>
      <c r="HW49" s="121"/>
      <c r="HX49" s="121"/>
      <c r="HY49" s="121"/>
      <c r="HZ49" s="122"/>
    </row>
    <row r="50" spans="4:234" ht="6" customHeight="1">
      <c r="D50" s="120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2"/>
      <c r="DP50" s="120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  <c r="GQ50" s="121"/>
      <c r="GR50" s="121"/>
      <c r="GS50" s="121"/>
      <c r="GT50" s="121"/>
      <c r="GU50" s="121"/>
      <c r="GV50" s="121"/>
      <c r="GW50" s="121"/>
      <c r="GX50" s="121"/>
      <c r="GY50" s="121"/>
      <c r="GZ50" s="121"/>
      <c r="HA50" s="121"/>
      <c r="HB50" s="121"/>
      <c r="HC50" s="121"/>
      <c r="HD50" s="121"/>
      <c r="HE50" s="121"/>
      <c r="HF50" s="121"/>
      <c r="HG50" s="121"/>
      <c r="HH50" s="121"/>
      <c r="HI50" s="121"/>
      <c r="HJ50" s="121"/>
      <c r="HK50" s="121"/>
      <c r="HL50" s="121"/>
      <c r="HM50" s="121"/>
      <c r="HN50" s="121"/>
      <c r="HO50" s="121"/>
      <c r="HP50" s="121"/>
      <c r="HQ50" s="121"/>
      <c r="HR50" s="121"/>
      <c r="HS50" s="121"/>
      <c r="HT50" s="121"/>
      <c r="HU50" s="121"/>
      <c r="HV50" s="121"/>
      <c r="HW50" s="121"/>
      <c r="HX50" s="121"/>
      <c r="HY50" s="121"/>
      <c r="HZ50" s="122"/>
    </row>
    <row r="51" spans="4:234" ht="6" customHeight="1">
      <c r="D51" s="120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2"/>
      <c r="DP51" s="120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  <c r="GQ51" s="121"/>
      <c r="GR51" s="121"/>
      <c r="GS51" s="121"/>
      <c r="GT51" s="121"/>
      <c r="GU51" s="121"/>
      <c r="GV51" s="121"/>
      <c r="GW51" s="121"/>
      <c r="GX51" s="121"/>
      <c r="GY51" s="121"/>
      <c r="GZ51" s="121"/>
      <c r="HA51" s="121"/>
      <c r="HB51" s="121"/>
      <c r="HC51" s="121"/>
      <c r="HD51" s="121"/>
      <c r="HE51" s="121"/>
      <c r="HF51" s="121"/>
      <c r="HG51" s="121"/>
      <c r="HH51" s="121"/>
      <c r="HI51" s="121"/>
      <c r="HJ51" s="121"/>
      <c r="HK51" s="121"/>
      <c r="HL51" s="121"/>
      <c r="HM51" s="121"/>
      <c r="HN51" s="121"/>
      <c r="HO51" s="121"/>
      <c r="HP51" s="121"/>
      <c r="HQ51" s="121"/>
      <c r="HR51" s="121"/>
      <c r="HS51" s="121"/>
      <c r="HT51" s="121"/>
      <c r="HU51" s="121"/>
      <c r="HV51" s="121"/>
      <c r="HW51" s="121"/>
      <c r="HX51" s="121"/>
      <c r="HY51" s="121"/>
      <c r="HZ51" s="122"/>
    </row>
    <row r="52" spans="4:234" ht="6" customHeight="1">
      <c r="D52" s="120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2"/>
      <c r="DP52" s="120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  <c r="GQ52" s="121"/>
      <c r="GR52" s="121"/>
      <c r="GS52" s="121"/>
      <c r="GT52" s="121"/>
      <c r="GU52" s="121"/>
      <c r="GV52" s="121"/>
      <c r="GW52" s="121"/>
      <c r="GX52" s="121"/>
      <c r="GY52" s="121"/>
      <c r="GZ52" s="121"/>
      <c r="HA52" s="121"/>
      <c r="HB52" s="121"/>
      <c r="HC52" s="121"/>
      <c r="HD52" s="121"/>
      <c r="HE52" s="121"/>
      <c r="HF52" s="121"/>
      <c r="HG52" s="121"/>
      <c r="HH52" s="121"/>
      <c r="HI52" s="121"/>
      <c r="HJ52" s="121"/>
      <c r="HK52" s="121"/>
      <c r="HL52" s="121"/>
      <c r="HM52" s="121"/>
      <c r="HN52" s="121"/>
      <c r="HO52" s="121"/>
      <c r="HP52" s="121"/>
      <c r="HQ52" s="121"/>
      <c r="HR52" s="121"/>
      <c r="HS52" s="121"/>
      <c r="HT52" s="121"/>
      <c r="HU52" s="121"/>
      <c r="HV52" s="121"/>
      <c r="HW52" s="121"/>
      <c r="HX52" s="121"/>
      <c r="HY52" s="121"/>
      <c r="HZ52" s="122"/>
    </row>
    <row r="53" spans="4:234" ht="6" customHeight="1">
      <c r="D53" s="120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2"/>
      <c r="DP53" s="120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  <c r="GQ53" s="121"/>
      <c r="GR53" s="121"/>
      <c r="GS53" s="121"/>
      <c r="GT53" s="121"/>
      <c r="GU53" s="121"/>
      <c r="GV53" s="121"/>
      <c r="GW53" s="121"/>
      <c r="GX53" s="121"/>
      <c r="GY53" s="121"/>
      <c r="GZ53" s="121"/>
      <c r="HA53" s="121"/>
      <c r="HB53" s="121"/>
      <c r="HC53" s="121"/>
      <c r="HD53" s="121"/>
      <c r="HE53" s="121"/>
      <c r="HF53" s="121"/>
      <c r="HG53" s="121"/>
      <c r="HH53" s="121"/>
      <c r="HI53" s="121"/>
      <c r="HJ53" s="121"/>
      <c r="HK53" s="121"/>
      <c r="HL53" s="121"/>
      <c r="HM53" s="121"/>
      <c r="HN53" s="121"/>
      <c r="HO53" s="121"/>
      <c r="HP53" s="121"/>
      <c r="HQ53" s="121"/>
      <c r="HR53" s="121"/>
      <c r="HS53" s="121"/>
      <c r="HT53" s="121"/>
      <c r="HU53" s="121"/>
      <c r="HV53" s="121"/>
      <c r="HW53" s="121"/>
      <c r="HX53" s="121"/>
      <c r="HY53" s="121"/>
      <c r="HZ53" s="122"/>
    </row>
    <row r="54" spans="4:234" ht="6" customHeight="1">
      <c r="D54" s="120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2"/>
      <c r="DP54" s="120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  <c r="GQ54" s="121"/>
      <c r="GR54" s="121"/>
      <c r="GS54" s="121"/>
      <c r="GT54" s="121"/>
      <c r="GU54" s="121"/>
      <c r="GV54" s="121"/>
      <c r="GW54" s="121"/>
      <c r="GX54" s="121"/>
      <c r="GY54" s="121"/>
      <c r="GZ54" s="121"/>
      <c r="HA54" s="121"/>
      <c r="HB54" s="121"/>
      <c r="HC54" s="121"/>
      <c r="HD54" s="121"/>
      <c r="HE54" s="121"/>
      <c r="HF54" s="121"/>
      <c r="HG54" s="121"/>
      <c r="HH54" s="121"/>
      <c r="HI54" s="121"/>
      <c r="HJ54" s="121"/>
      <c r="HK54" s="121"/>
      <c r="HL54" s="121"/>
      <c r="HM54" s="121"/>
      <c r="HN54" s="121"/>
      <c r="HO54" s="121"/>
      <c r="HP54" s="121"/>
      <c r="HQ54" s="121"/>
      <c r="HR54" s="121"/>
      <c r="HS54" s="121"/>
      <c r="HT54" s="121"/>
      <c r="HU54" s="121"/>
      <c r="HV54" s="121"/>
      <c r="HW54" s="121"/>
      <c r="HX54" s="121"/>
      <c r="HY54" s="121"/>
      <c r="HZ54" s="122"/>
    </row>
    <row r="55" spans="4:234" ht="6" customHeight="1">
      <c r="D55" s="120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2"/>
      <c r="DP55" s="120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  <c r="GQ55" s="121"/>
      <c r="GR55" s="121"/>
      <c r="GS55" s="121"/>
      <c r="GT55" s="121"/>
      <c r="GU55" s="121"/>
      <c r="GV55" s="121"/>
      <c r="GW55" s="121"/>
      <c r="GX55" s="121"/>
      <c r="GY55" s="121"/>
      <c r="GZ55" s="121"/>
      <c r="HA55" s="121"/>
      <c r="HB55" s="121"/>
      <c r="HC55" s="121"/>
      <c r="HD55" s="121"/>
      <c r="HE55" s="121"/>
      <c r="HF55" s="121"/>
      <c r="HG55" s="121"/>
      <c r="HH55" s="121"/>
      <c r="HI55" s="121"/>
      <c r="HJ55" s="121"/>
      <c r="HK55" s="121"/>
      <c r="HL55" s="121"/>
      <c r="HM55" s="121"/>
      <c r="HN55" s="121"/>
      <c r="HO55" s="121"/>
      <c r="HP55" s="121"/>
      <c r="HQ55" s="121"/>
      <c r="HR55" s="121"/>
      <c r="HS55" s="121"/>
      <c r="HT55" s="121"/>
      <c r="HU55" s="121"/>
      <c r="HV55" s="121"/>
      <c r="HW55" s="121"/>
      <c r="HX55" s="121"/>
      <c r="HY55" s="121"/>
      <c r="HZ55" s="122"/>
    </row>
    <row r="56" spans="4:234" ht="6" customHeight="1">
      <c r="D56" s="120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2"/>
      <c r="DP56" s="120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  <c r="GQ56" s="121"/>
      <c r="GR56" s="121"/>
      <c r="GS56" s="121"/>
      <c r="GT56" s="121"/>
      <c r="GU56" s="121"/>
      <c r="GV56" s="121"/>
      <c r="GW56" s="121"/>
      <c r="GX56" s="121"/>
      <c r="GY56" s="121"/>
      <c r="GZ56" s="121"/>
      <c r="HA56" s="121"/>
      <c r="HB56" s="121"/>
      <c r="HC56" s="121"/>
      <c r="HD56" s="121"/>
      <c r="HE56" s="121"/>
      <c r="HF56" s="121"/>
      <c r="HG56" s="121"/>
      <c r="HH56" s="121"/>
      <c r="HI56" s="121"/>
      <c r="HJ56" s="121"/>
      <c r="HK56" s="121"/>
      <c r="HL56" s="121"/>
      <c r="HM56" s="121"/>
      <c r="HN56" s="121"/>
      <c r="HO56" s="121"/>
      <c r="HP56" s="121"/>
      <c r="HQ56" s="121"/>
      <c r="HR56" s="121"/>
      <c r="HS56" s="121"/>
      <c r="HT56" s="121"/>
      <c r="HU56" s="121"/>
      <c r="HV56" s="121"/>
      <c r="HW56" s="121"/>
      <c r="HX56" s="121"/>
      <c r="HY56" s="121"/>
      <c r="HZ56" s="122"/>
    </row>
    <row r="57" spans="4:234" ht="6" customHeight="1">
      <c r="D57" s="120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21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  <c r="DK57" s="121"/>
      <c r="DL57" s="121"/>
      <c r="DM57" s="121"/>
      <c r="DN57" s="122"/>
      <c r="DP57" s="120"/>
      <c r="DQ57" s="121"/>
      <c r="DR57" s="121"/>
      <c r="DS57" s="121"/>
      <c r="DT57" s="121"/>
      <c r="DU57" s="121"/>
      <c r="DV57" s="121"/>
      <c r="DW57" s="121"/>
      <c r="DX57" s="121"/>
      <c r="DY57" s="121"/>
      <c r="DZ57" s="121"/>
      <c r="EA57" s="121"/>
      <c r="EB57" s="121"/>
      <c r="EC57" s="121"/>
      <c r="ED57" s="121"/>
      <c r="EE57" s="121"/>
      <c r="EF57" s="121"/>
      <c r="EG57" s="121"/>
      <c r="EH57" s="121"/>
      <c r="EI57" s="121"/>
      <c r="EJ57" s="121"/>
      <c r="EK57" s="121"/>
      <c r="EL57" s="121"/>
      <c r="EM57" s="121"/>
      <c r="EN57" s="121"/>
      <c r="EO57" s="121"/>
      <c r="EP57" s="121"/>
      <c r="EQ57" s="121"/>
      <c r="ER57" s="121"/>
      <c r="ES57" s="121"/>
      <c r="ET57" s="121"/>
      <c r="EU57" s="121"/>
      <c r="EV57" s="121"/>
      <c r="EW57" s="121"/>
      <c r="EX57" s="121"/>
      <c r="EY57" s="121"/>
      <c r="EZ57" s="121"/>
      <c r="FA57" s="121"/>
      <c r="FB57" s="121"/>
      <c r="FC57" s="121"/>
      <c r="FD57" s="121"/>
      <c r="FE57" s="121"/>
      <c r="FF57" s="121"/>
      <c r="FG57" s="121"/>
      <c r="FH57" s="121"/>
      <c r="FI57" s="121"/>
      <c r="FJ57" s="121"/>
      <c r="FK57" s="121"/>
      <c r="FL57" s="121"/>
      <c r="FM57" s="121"/>
      <c r="FN57" s="121"/>
      <c r="FO57" s="121"/>
      <c r="FP57" s="121"/>
      <c r="FQ57" s="121"/>
      <c r="FR57" s="121"/>
      <c r="FS57" s="121"/>
      <c r="FT57" s="121"/>
      <c r="FU57" s="121"/>
      <c r="FV57" s="121"/>
      <c r="FW57" s="121"/>
      <c r="FX57" s="121"/>
      <c r="FY57" s="121"/>
      <c r="FZ57" s="121"/>
      <c r="GA57" s="121"/>
      <c r="GB57" s="121"/>
      <c r="GC57" s="121"/>
      <c r="GD57" s="121"/>
      <c r="GE57" s="121"/>
      <c r="GF57" s="121"/>
      <c r="GG57" s="121"/>
      <c r="GH57" s="121"/>
      <c r="GI57" s="121"/>
      <c r="GJ57" s="121"/>
      <c r="GK57" s="121"/>
      <c r="GL57" s="121"/>
      <c r="GM57" s="121"/>
      <c r="GN57" s="121"/>
      <c r="GO57" s="121"/>
      <c r="GP57" s="121"/>
      <c r="GQ57" s="121"/>
      <c r="GR57" s="121"/>
      <c r="GS57" s="121"/>
      <c r="GT57" s="121"/>
      <c r="GU57" s="121"/>
      <c r="GV57" s="121"/>
      <c r="GW57" s="121"/>
      <c r="GX57" s="121"/>
      <c r="GY57" s="121"/>
      <c r="GZ57" s="121"/>
      <c r="HA57" s="121"/>
      <c r="HB57" s="121"/>
      <c r="HC57" s="121"/>
      <c r="HD57" s="121"/>
      <c r="HE57" s="121"/>
      <c r="HF57" s="121"/>
      <c r="HG57" s="121"/>
      <c r="HH57" s="121"/>
      <c r="HI57" s="121"/>
      <c r="HJ57" s="121"/>
      <c r="HK57" s="121"/>
      <c r="HL57" s="121"/>
      <c r="HM57" s="121"/>
      <c r="HN57" s="121"/>
      <c r="HO57" s="121"/>
      <c r="HP57" s="121"/>
      <c r="HQ57" s="121"/>
      <c r="HR57" s="121"/>
      <c r="HS57" s="121"/>
      <c r="HT57" s="121"/>
      <c r="HU57" s="121"/>
      <c r="HV57" s="121"/>
      <c r="HW57" s="121"/>
      <c r="HX57" s="121"/>
      <c r="HY57" s="121"/>
      <c r="HZ57" s="122"/>
    </row>
    <row r="58" spans="4:234" ht="6" customHeight="1">
      <c r="D58" s="120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2"/>
      <c r="DP58" s="120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  <c r="GQ58" s="121"/>
      <c r="GR58" s="121"/>
      <c r="GS58" s="121"/>
      <c r="GT58" s="121"/>
      <c r="GU58" s="121"/>
      <c r="GV58" s="121"/>
      <c r="GW58" s="121"/>
      <c r="GX58" s="121"/>
      <c r="GY58" s="121"/>
      <c r="GZ58" s="121"/>
      <c r="HA58" s="121"/>
      <c r="HB58" s="121"/>
      <c r="HC58" s="121"/>
      <c r="HD58" s="121"/>
      <c r="HE58" s="121"/>
      <c r="HF58" s="121"/>
      <c r="HG58" s="121"/>
      <c r="HH58" s="121"/>
      <c r="HI58" s="121"/>
      <c r="HJ58" s="121"/>
      <c r="HK58" s="121"/>
      <c r="HL58" s="121"/>
      <c r="HM58" s="121"/>
      <c r="HN58" s="121"/>
      <c r="HO58" s="121"/>
      <c r="HP58" s="121"/>
      <c r="HQ58" s="121"/>
      <c r="HR58" s="121"/>
      <c r="HS58" s="121"/>
      <c r="HT58" s="121"/>
      <c r="HU58" s="121"/>
      <c r="HV58" s="121"/>
      <c r="HW58" s="121"/>
      <c r="HX58" s="121"/>
      <c r="HY58" s="121"/>
      <c r="HZ58" s="122"/>
    </row>
    <row r="59" spans="4:234" ht="6" customHeight="1">
      <c r="D59" s="120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2"/>
      <c r="DP59" s="120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  <c r="GQ59" s="121"/>
      <c r="GR59" s="121"/>
      <c r="GS59" s="121"/>
      <c r="GT59" s="121"/>
      <c r="GU59" s="121"/>
      <c r="GV59" s="121"/>
      <c r="GW59" s="121"/>
      <c r="GX59" s="121"/>
      <c r="GY59" s="121"/>
      <c r="GZ59" s="121"/>
      <c r="HA59" s="121"/>
      <c r="HB59" s="121"/>
      <c r="HC59" s="121"/>
      <c r="HD59" s="121"/>
      <c r="HE59" s="121"/>
      <c r="HF59" s="121"/>
      <c r="HG59" s="121"/>
      <c r="HH59" s="121"/>
      <c r="HI59" s="121"/>
      <c r="HJ59" s="121"/>
      <c r="HK59" s="121"/>
      <c r="HL59" s="121"/>
      <c r="HM59" s="121"/>
      <c r="HN59" s="121"/>
      <c r="HO59" s="121"/>
      <c r="HP59" s="121"/>
      <c r="HQ59" s="121"/>
      <c r="HR59" s="121"/>
      <c r="HS59" s="121"/>
      <c r="HT59" s="121"/>
      <c r="HU59" s="121"/>
      <c r="HV59" s="121"/>
      <c r="HW59" s="121"/>
      <c r="HX59" s="121"/>
      <c r="HY59" s="121"/>
      <c r="HZ59" s="122"/>
    </row>
    <row r="60" spans="4:234" ht="6" customHeight="1">
      <c r="D60" s="120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2"/>
      <c r="DP60" s="120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  <c r="GQ60" s="121"/>
      <c r="GR60" s="121"/>
      <c r="GS60" s="121"/>
      <c r="GT60" s="121"/>
      <c r="GU60" s="121"/>
      <c r="GV60" s="121"/>
      <c r="GW60" s="121"/>
      <c r="GX60" s="121"/>
      <c r="GY60" s="121"/>
      <c r="GZ60" s="121"/>
      <c r="HA60" s="121"/>
      <c r="HB60" s="121"/>
      <c r="HC60" s="121"/>
      <c r="HD60" s="121"/>
      <c r="HE60" s="121"/>
      <c r="HF60" s="121"/>
      <c r="HG60" s="121"/>
      <c r="HH60" s="121"/>
      <c r="HI60" s="121"/>
      <c r="HJ60" s="121"/>
      <c r="HK60" s="121"/>
      <c r="HL60" s="121"/>
      <c r="HM60" s="121"/>
      <c r="HN60" s="121"/>
      <c r="HO60" s="121"/>
      <c r="HP60" s="121"/>
      <c r="HQ60" s="121"/>
      <c r="HR60" s="121"/>
      <c r="HS60" s="121"/>
      <c r="HT60" s="121"/>
      <c r="HU60" s="121"/>
      <c r="HV60" s="121"/>
      <c r="HW60" s="121"/>
      <c r="HX60" s="121"/>
      <c r="HY60" s="121"/>
      <c r="HZ60" s="122"/>
    </row>
    <row r="61" spans="4:234" ht="6" customHeight="1">
      <c r="D61" s="120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2"/>
      <c r="DP61" s="120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  <c r="GQ61" s="121"/>
      <c r="GR61" s="121"/>
      <c r="GS61" s="121"/>
      <c r="GT61" s="121"/>
      <c r="GU61" s="121"/>
      <c r="GV61" s="121"/>
      <c r="GW61" s="121"/>
      <c r="GX61" s="121"/>
      <c r="GY61" s="121"/>
      <c r="GZ61" s="121"/>
      <c r="HA61" s="121"/>
      <c r="HB61" s="121"/>
      <c r="HC61" s="121"/>
      <c r="HD61" s="121"/>
      <c r="HE61" s="121"/>
      <c r="HF61" s="121"/>
      <c r="HG61" s="121"/>
      <c r="HH61" s="121"/>
      <c r="HI61" s="121"/>
      <c r="HJ61" s="121"/>
      <c r="HK61" s="121"/>
      <c r="HL61" s="121"/>
      <c r="HM61" s="121"/>
      <c r="HN61" s="121"/>
      <c r="HO61" s="121"/>
      <c r="HP61" s="121"/>
      <c r="HQ61" s="121"/>
      <c r="HR61" s="121"/>
      <c r="HS61" s="121"/>
      <c r="HT61" s="121"/>
      <c r="HU61" s="121"/>
      <c r="HV61" s="121"/>
      <c r="HW61" s="121"/>
      <c r="HX61" s="121"/>
      <c r="HY61" s="121"/>
      <c r="HZ61" s="122"/>
    </row>
    <row r="62" spans="4:234" ht="6" customHeight="1">
      <c r="D62" s="120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2"/>
      <c r="DP62" s="120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  <c r="GQ62" s="121"/>
      <c r="GR62" s="121"/>
      <c r="GS62" s="121"/>
      <c r="GT62" s="121"/>
      <c r="GU62" s="121"/>
      <c r="GV62" s="121"/>
      <c r="GW62" s="121"/>
      <c r="GX62" s="121"/>
      <c r="GY62" s="121"/>
      <c r="GZ62" s="121"/>
      <c r="HA62" s="121"/>
      <c r="HB62" s="121"/>
      <c r="HC62" s="121"/>
      <c r="HD62" s="121"/>
      <c r="HE62" s="121"/>
      <c r="HF62" s="121"/>
      <c r="HG62" s="121"/>
      <c r="HH62" s="121"/>
      <c r="HI62" s="121"/>
      <c r="HJ62" s="121"/>
      <c r="HK62" s="121"/>
      <c r="HL62" s="121"/>
      <c r="HM62" s="121"/>
      <c r="HN62" s="121"/>
      <c r="HO62" s="121"/>
      <c r="HP62" s="121"/>
      <c r="HQ62" s="121"/>
      <c r="HR62" s="121"/>
      <c r="HS62" s="121"/>
      <c r="HT62" s="121"/>
      <c r="HU62" s="121"/>
      <c r="HV62" s="121"/>
      <c r="HW62" s="121"/>
      <c r="HX62" s="121"/>
      <c r="HY62" s="121"/>
      <c r="HZ62" s="122"/>
    </row>
    <row r="63" spans="4:234" ht="6" customHeight="1">
      <c r="D63" s="120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2"/>
      <c r="DP63" s="120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  <c r="GQ63" s="121"/>
      <c r="GR63" s="121"/>
      <c r="GS63" s="121"/>
      <c r="GT63" s="121"/>
      <c r="GU63" s="121"/>
      <c r="GV63" s="121"/>
      <c r="GW63" s="121"/>
      <c r="GX63" s="121"/>
      <c r="GY63" s="121"/>
      <c r="GZ63" s="121"/>
      <c r="HA63" s="121"/>
      <c r="HB63" s="121"/>
      <c r="HC63" s="121"/>
      <c r="HD63" s="121"/>
      <c r="HE63" s="121"/>
      <c r="HF63" s="121"/>
      <c r="HG63" s="121"/>
      <c r="HH63" s="121"/>
      <c r="HI63" s="121"/>
      <c r="HJ63" s="121"/>
      <c r="HK63" s="121"/>
      <c r="HL63" s="121"/>
      <c r="HM63" s="121"/>
      <c r="HN63" s="121"/>
      <c r="HO63" s="121"/>
      <c r="HP63" s="121"/>
      <c r="HQ63" s="121"/>
      <c r="HR63" s="121"/>
      <c r="HS63" s="121"/>
      <c r="HT63" s="121"/>
      <c r="HU63" s="121"/>
      <c r="HV63" s="121"/>
      <c r="HW63" s="121"/>
      <c r="HX63" s="121"/>
      <c r="HY63" s="121"/>
      <c r="HZ63" s="122"/>
    </row>
    <row r="64" spans="4:234" ht="6" customHeight="1">
      <c r="D64" s="120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2"/>
      <c r="DP64" s="120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  <c r="GQ64" s="121"/>
      <c r="GR64" s="121"/>
      <c r="GS64" s="121"/>
      <c r="GT64" s="121"/>
      <c r="GU64" s="121"/>
      <c r="GV64" s="121"/>
      <c r="GW64" s="121"/>
      <c r="GX64" s="121"/>
      <c r="GY64" s="121"/>
      <c r="GZ64" s="121"/>
      <c r="HA64" s="121"/>
      <c r="HB64" s="121"/>
      <c r="HC64" s="121"/>
      <c r="HD64" s="121"/>
      <c r="HE64" s="121"/>
      <c r="HF64" s="121"/>
      <c r="HG64" s="121"/>
      <c r="HH64" s="121"/>
      <c r="HI64" s="121"/>
      <c r="HJ64" s="121"/>
      <c r="HK64" s="121"/>
      <c r="HL64" s="121"/>
      <c r="HM64" s="121"/>
      <c r="HN64" s="121"/>
      <c r="HO64" s="121"/>
      <c r="HP64" s="121"/>
      <c r="HQ64" s="121"/>
      <c r="HR64" s="121"/>
      <c r="HS64" s="121"/>
      <c r="HT64" s="121"/>
      <c r="HU64" s="121"/>
      <c r="HV64" s="121"/>
      <c r="HW64" s="121"/>
      <c r="HX64" s="121"/>
      <c r="HY64" s="121"/>
      <c r="HZ64" s="122"/>
    </row>
    <row r="65" spans="4:234" ht="6" customHeight="1">
      <c r="D65" s="120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2"/>
      <c r="DP65" s="120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  <c r="GQ65" s="121"/>
      <c r="GR65" s="121"/>
      <c r="GS65" s="121"/>
      <c r="GT65" s="121"/>
      <c r="GU65" s="121"/>
      <c r="GV65" s="121"/>
      <c r="GW65" s="121"/>
      <c r="GX65" s="121"/>
      <c r="GY65" s="121"/>
      <c r="GZ65" s="121"/>
      <c r="HA65" s="121"/>
      <c r="HB65" s="121"/>
      <c r="HC65" s="121"/>
      <c r="HD65" s="121"/>
      <c r="HE65" s="121"/>
      <c r="HF65" s="121"/>
      <c r="HG65" s="121"/>
      <c r="HH65" s="121"/>
      <c r="HI65" s="121"/>
      <c r="HJ65" s="121"/>
      <c r="HK65" s="121"/>
      <c r="HL65" s="121"/>
      <c r="HM65" s="121"/>
      <c r="HN65" s="121"/>
      <c r="HO65" s="121"/>
      <c r="HP65" s="121"/>
      <c r="HQ65" s="121"/>
      <c r="HR65" s="121"/>
      <c r="HS65" s="121"/>
      <c r="HT65" s="121"/>
      <c r="HU65" s="121"/>
      <c r="HV65" s="121"/>
      <c r="HW65" s="121"/>
      <c r="HX65" s="121"/>
      <c r="HY65" s="121"/>
      <c r="HZ65" s="122"/>
    </row>
    <row r="66" spans="4:234" ht="6" customHeight="1">
      <c r="D66" s="123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24"/>
      <c r="BR66" s="124"/>
      <c r="BS66" s="124"/>
      <c r="BT66" s="124"/>
      <c r="BU66" s="124"/>
      <c r="BV66" s="124"/>
      <c r="BW66" s="124"/>
      <c r="BX66" s="124"/>
      <c r="BY66" s="124"/>
      <c r="BZ66" s="124"/>
      <c r="CA66" s="124"/>
      <c r="CB66" s="124"/>
      <c r="CC66" s="124"/>
      <c r="CD66" s="124"/>
      <c r="CE66" s="124"/>
      <c r="CF66" s="124"/>
      <c r="CG66" s="124"/>
      <c r="CH66" s="124"/>
      <c r="CI66" s="124"/>
      <c r="CJ66" s="124"/>
      <c r="CK66" s="124"/>
      <c r="CL66" s="124"/>
      <c r="CM66" s="124"/>
      <c r="CN66" s="124"/>
      <c r="CO66" s="124"/>
      <c r="CP66" s="124"/>
      <c r="CQ66" s="124"/>
      <c r="CR66" s="124"/>
      <c r="CS66" s="124"/>
      <c r="CT66" s="124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124"/>
      <c r="DN66" s="125"/>
      <c r="DP66" s="123"/>
      <c r="DQ66" s="124"/>
      <c r="DR66" s="124"/>
      <c r="DS66" s="124"/>
      <c r="DT66" s="124"/>
      <c r="DU66" s="124"/>
      <c r="DV66" s="124"/>
      <c r="DW66" s="124"/>
      <c r="DX66" s="124"/>
      <c r="DY66" s="124"/>
      <c r="DZ66" s="124"/>
      <c r="EA66" s="124"/>
      <c r="EB66" s="124"/>
      <c r="EC66" s="124"/>
      <c r="ED66" s="124"/>
      <c r="EE66" s="124"/>
      <c r="EF66" s="124"/>
      <c r="EG66" s="124"/>
      <c r="EH66" s="124"/>
      <c r="EI66" s="124"/>
      <c r="EJ66" s="124"/>
      <c r="EK66" s="124"/>
      <c r="EL66" s="124"/>
      <c r="EM66" s="124"/>
      <c r="EN66" s="124"/>
      <c r="EO66" s="124"/>
      <c r="EP66" s="124"/>
      <c r="EQ66" s="124"/>
      <c r="ER66" s="124"/>
      <c r="ES66" s="124"/>
      <c r="ET66" s="124"/>
      <c r="EU66" s="124"/>
      <c r="EV66" s="124"/>
      <c r="EW66" s="124"/>
      <c r="EX66" s="124"/>
      <c r="EY66" s="124"/>
      <c r="EZ66" s="124"/>
      <c r="FA66" s="124"/>
      <c r="FB66" s="124"/>
      <c r="FC66" s="124"/>
      <c r="FD66" s="124"/>
      <c r="FE66" s="124"/>
      <c r="FF66" s="124"/>
      <c r="FG66" s="124"/>
      <c r="FH66" s="124"/>
      <c r="FI66" s="124"/>
      <c r="FJ66" s="124"/>
      <c r="FK66" s="124"/>
      <c r="FL66" s="124"/>
      <c r="FM66" s="124"/>
      <c r="FN66" s="124"/>
      <c r="FO66" s="124"/>
      <c r="FP66" s="124"/>
      <c r="FQ66" s="124"/>
      <c r="FR66" s="124"/>
      <c r="FS66" s="124"/>
      <c r="FT66" s="124"/>
      <c r="FU66" s="124"/>
      <c r="FV66" s="124"/>
      <c r="FW66" s="124"/>
      <c r="FX66" s="124"/>
      <c r="FY66" s="124"/>
      <c r="FZ66" s="124"/>
      <c r="GA66" s="124"/>
      <c r="GB66" s="124"/>
      <c r="GC66" s="124"/>
      <c r="GD66" s="124"/>
      <c r="GE66" s="124"/>
      <c r="GF66" s="124"/>
      <c r="GG66" s="124"/>
      <c r="GH66" s="124"/>
      <c r="GI66" s="124"/>
      <c r="GJ66" s="124"/>
      <c r="GK66" s="124"/>
      <c r="GL66" s="124"/>
      <c r="GM66" s="124"/>
      <c r="GN66" s="124"/>
      <c r="GO66" s="124"/>
      <c r="GP66" s="124"/>
      <c r="GQ66" s="124"/>
      <c r="GR66" s="124"/>
      <c r="GS66" s="124"/>
      <c r="GT66" s="124"/>
      <c r="GU66" s="124"/>
      <c r="GV66" s="124"/>
      <c r="GW66" s="124"/>
      <c r="GX66" s="124"/>
      <c r="GY66" s="124"/>
      <c r="GZ66" s="124"/>
      <c r="HA66" s="124"/>
      <c r="HB66" s="124"/>
      <c r="HC66" s="124"/>
      <c r="HD66" s="124"/>
      <c r="HE66" s="124"/>
      <c r="HF66" s="124"/>
      <c r="HG66" s="124"/>
      <c r="HH66" s="124"/>
      <c r="HI66" s="124"/>
      <c r="HJ66" s="124"/>
      <c r="HK66" s="124"/>
      <c r="HL66" s="124"/>
      <c r="HM66" s="124"/>
      <c r="HN66" s="124"/>
      <c r="HO66" s="124"/>
      <c r="HP66" s="124"/>
      <c r="HQ66" s="124"/>
      <c r="HR66" s="124"/>
      <c r="HS66" s="124"/>
      <c r="HT66" s="124"/>
      <c r="HU66" s="124"/>
      <c r="HV66" s="124"/>
      <c r="HW66" s="124"/>
      <c r="HX66" s="124"/>
      <c r="HY66" s="124"/>
      <c r="HZ66" s="125"/>
    </row>
    <row r="68" spans="4:234" ht="6" customHeight="1">
      <c r="D68" s="63" t="s">
        <v>2082</v>
      </c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5"/>
    </row>
    <row r="69" spans="4:234" ht="6" customHeight="1">
      <c r="D69" s="66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  <c r="GF69" s="67"/>
      <c r="GG69" s="67"/>
      <c r="GH69" s="67"/>
      <c r="GI69" s="67"/>
      <c r="GJ69" s="67"/>
      <c r="GK69" s="67"/>
      <c r="GL69" s="67"/>
      <c r="GM69" s="67"/>
      <c r="GN69" s="67"/>
      <c r="GO69" s="67"/>
      <c r="GP69" s="67"/>
      <c r="GQ69" s="67"/>
      <c r="GR69" s="67"/>
      <c r="GS69" s="67"/>
      <c r="GT69" s="67"/>
      <c r="GU69" s="67"/>
      <c r="GV69" s="67"/>
      <c r="GW69" s="67"/>
      <c r="GX69" s="67"/>
      <c r="GY69" s="67"/>
      <c r="GZ69" s="67"/>
      <c r="HA69" s="67"/>
      <c r="HB69" s="67"/>
      <c r="HC69" s="67"/>
      <c r="HD69" s="67"/>
      <c r="HE69" s="67"/>
      <c r="HF69" s="67"/>
      <c r="HG69" s="67"/>
      <c r="HH69" s="67"/>
      <c r="HI69" s="67"/>
      <c r="HJ69" s="67"/>
      <c r="HK69" s="67"/>
      <c r="HL69" s="67"/>
      <c r="HM69" s="67"/>
      <c r="HN69" s="67"/>
      <c r="HO69" s="67"/>
      <c r="HP69" s="67"/>
      <c r="HQ69" s="67"/>
      <c r="HR69" s="67"/>
      <c r="HS69" s="67"/>
      <c r="HT69" s="67"/>
      <c r="HU69" s="67"/>
      <c r="HV69" s="67"/>
      <c r="HW69" s="67"/>
      <c r="HX69" s="67"/>
      <c r="HY69" s="67"/>
      <c r="HZ69" s="68"/>
    </row>
    <row r="70" spans="4:234" ht="6" customHeight="1">
      <c r="D70" s="69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  <c r="FK70" s="70"/>
      <c r="FL70" s="70"/>
      <c r="FM70" s="70"/>
      <c r="FN70" s="70"/>
      <c r="FO70" s="70"/>
      <c r="FP70" s="70"/>
      <c r="FQ70" s="70"/>
      <c r="FR70" s="70"/>
      <c r="FS70" s="70"/>
      <c r="FT70" s="70"/>
      <c r="FU70" s="70"/>
      <c r="FV70" s="70"/>
      <c r="FW70" s="70"/>
      <c r="FX70" s="70"/>
      <c r="FY70" s="70"/>
      <c r="FZ70" s="70"/>
      <c r="GA70" s="70"/>
      <c r="GB70" s="70"/>
      <c r="GC70" s="70"/>
      <c r="GD70" s="70"/>
      <c r="GE70" s="70"/>
      <c r="GF70" s="70"/>
      <c r="GG70" s="70"/>
      <c r="GH70" s="70"/>
      <c r="GI70" s="70"/>
      <c r="GJ70" s="70"/>
      <c r="GK70" s="70"/>
      <c r="GL70" s="70"/>
      <c r="GM70" s="70"/>
      <c r="GN70" s="70"/>
      <c r="GO70" s="70"/>
      <c r="GP70" s="70"/>
      <c r="GQ70" s="70"/>
      <c r="GR70" s="70"/>
      <c r="GS70" s="70"/>
      <c r="GT70" s="70"/>
      <c r="GU70" s="70"/>
      <c r="GV70" s="70"/>
      <c r="GW70" s="70"/>
      <c r="GX70" s="70"/>
      <c r="GY70" s="70"/>
      <c r="GZ70" s="70"/>
      <c r="HA70" s="70"/>
      <c r="HB70" s="70"/>
      <c r="HC70" s="70"/>
      <c r="HD70" s="70"/>
      <c r="HE70" s="70"/>
      <c r="HF70" s="70"/>
      <c r="HG70" s="70"/>
      <c r="HH70" s="70"/>
      <c r="HI70" s="70"/>
      <c r="HJ70" s="70"/>
      <c r="HK70" s="70"/>
      <c r="HL70" s="70"/>
      <c r="HM70" s="70"/>
      <c r="HN70" s="70"/>
      <c r="HO70" s="70"/>
      <c r="HP70" s="70"/>
      <c r="HQ70" s="70"/>
      <c r="HR70" s="70"/>
      <c r="HS70" s="70"/>
      <c r="HT70" s="70"/>
      <c r="HU70" s="70"/>
      <c r="HV70" s="70"/>
      <c r="HW70" s="70"/>
      <c r="HX70" s="70"/>
      <c r="HY70" s="70"/>
      <c r="HZ70" s="71"/>
    </row>
    <row r="71" spans="4:234" ht="6" customHeight="1">
      <c r="D71" s="72" t="s">
        <v>2083</v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3"/>
      <c r="CU71" s="73"/>
      <c r="CV71" s="73"/>
      <c r="CW71" s="73"/>
      <c r="CX71" s="73"/>
      <c r="CY71" s="73"/>
      <c r="CZ71" s="73"/>
      <c r="DA71" s="73"/>
      <c r="DB71" s="73"/>
      <c r="DC71" s="73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  <c r="DT71" s="73"/>
      <c r="DU71" s="73"/>
      <c r="DV71" s="73"/>
      <c r="DW71" s="73"/>
      <c r="DX71" s="73"/>
      <c r="DY71" s="73"/>
      <c r="DZ71" s="73"/>
      <c r="EA71" s="73"/>
      <c r="EB71" s="73"/>
      <c r="EC71" s="73"/>
      <c r="ED71" s="73"/>
      <c r="EE71" s="73"/>
      <c r="EF71" s="73"/>
      <c r="EG71" s="73"/>
      <c r="EH71" s="73"/>
      <c r="EI71" s="73"/>
      <c r="EJ71" s="73"/>
      <c r="EK71" s="73"/>
      <c r="EL71" s="73"/>
      <c r="EM71" s="73"/>
      <c r="EN71" s="73"/>
      <c r="EO71" s="73"/>
      <c r="EP71" s="73"/>
      <c r="EQ71" s="73"/>
      <c r="ER71" s="73"/>
      <c r="ES71" s="73"/>
      <c r="ET71" s="73"/>
      <c r="EU71" s="73"/>
      <c r="EV71" s="73"/>
      <c r="EW71" s="73"/>
      <c r="EX71" s="73"/>
      <c r="EY71" s="73"/>
      <c r="EZ71" s="73"/>
      <c r="FA71" s="73"/>
      <c r="FB71" s="73"/>
      <c r="FC71" s="73"/>
      <c r="FD71" s="73"/>
      <c r="FE71" s="73"/>
      <c r="FF71" s="73"/>
      <c r="FG71" s="73"/>
      <c r="FH71" s="73"/>
      <c r="FI71" s="73"/>
      <c r="FJ71" s="73"/>
      <c r="FK71" s="73"/>
      <c r="FL71" s="73"/>
      <c r="FM71" s="73"/>
      <c r="FN71" s="73"/>
      <c r="FO71" s="73"/>
      <c r="FP71" s="73"/>
      <c r="FQ71" s="73"/>
      <c r="FR71" s="73"/>
      <c r="FS71" s="73"/>
      <c r="FT71" s="73"/>
      <c r="FU71" s="73"/>
      <c r="FV71" s="73"/>
      <c r="FW71" s="73"/>
      <c r="FX71" s="73"/>
      <c r="FY71" s="73"/>
      <c r="FZ71" s="73"/>
      <c r="GA71" s="73"/>
      <c r="GB71" s="73"/>
      <c r="GC71" s="73"/>
      <c r="GD71" s="73"/>
      <c r="GE71" s="73"/>
      <c r="GF71" s="73"/>
      <c r="GG71" s="73"/>
      <c r="GH71" s="73"/>
      <c r="GI71" s="73"/>
      <c r="GJ71" s="73"/>
      <c r="GK71" s="73"/>
      <c r="GL71" s="73"/>
      <c r="GM71" s="73"/>
      <c r="GN71" s="73"/>
      <c r="GO71" s="73"/>
      <c r="GP71" s="73"/>
      <c r="GQ71" s="73"/>
      <c r="GR71" s="73"/>
      <c r="GS71" s="73"/>
      <c r="GT71" s="73"/>
      <c r="GU71" s="73"/>
      <c r="GV71" s="73"/>
      <c r="GW71" s="73"/>
      <c r="GX71" s="73"/>
      <c r="GY71" s="73"/>
      <c r="GZ71" s="73"/>
      <c r="HA71" s="73"/>
      <c r="HB71" s="73"/>
      <c r="HC71" s="73"/>
      <c r="HD71" s="73"/>
      <c r="HE71" s="73"/>
      <c r="HF71" s="73"/>
      <c r="HG71" s="73"/>
      <c r="HH71" s="73"/>
      <c r="HI71" s="73"/>
      <c r="HJ71" s="73"/>
      <c r="HK71" s="73"/>
      <c r="HL71" s="73"/>
      <c r="HM71" s="73"/>
      <c r="HN71" s="73"/>
      <c r="HO71" s="73"/>
      <c r="HP71" s="73"/>
      <c r="HQ71" s="73"/>
      <c r="HR71" s="73"/>
      <c r="HS71" s="73"/>
      <c r="HT71" s="73"/>
      <c r="HU71" s="73"/>
      <c r="HV71" s="73"/>
      <c r="HW71" s="73"/>
      <c r="HX71" s="73"/>
      <c r="HY71" s="73"/>
      <c r="HZ71" s="74"/>
    </row>
    <row r="72" spans="4:234" ht="6" customHeight="1">
      <c r="D72" s="75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7"/>
    </row>
    <row r="73" spans="4:234" ht="6" customHeight="1">
      <c r="D73" s="75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7"/>
    </row>
    <row r="74" spans="4:234" ht="6" customHeight="1">
      <c r="D74" s="75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7"/>
    </row>
    <row r="75" spans="4:234" ht="6" customHeight="1">
      <c r="D75" s="75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7"/>
    </row>
    <row r="76" spans="4:234" ht="6" customHeight="1">
      <c r="D76" s="75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7"/>
    </row>
    <row r="77" spans="4:234" ht="6" customHeight="1">
      <c r="D77" s="75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7"/>
    </row>
    <row r="78" spans="4:234" ht="6" customHeight="1">
      <c r="D78" s="75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7"/>
    </row>
    <row r="79" spans="4:234" ht="6" customHeight="1">
      <c r="D79" s="75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7"/>
    </row>
    <row r="80" spans="4:234" ht="6" customHeight="1">
      <c r="D80" s="75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7"/>
    </row>
    <row r="81" spans="4:234" ht="6" customHeight="1">
      <c r="D81" s="75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7"/>
    </row>
    <row r="82" spans="4:234" ht="6" customHeight="1">
      <c r="D82" s="75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7"/>
    </row>
    <row r="83" spans="4:234" ht="6" customHeight="1">
      <c r="D83" s="75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7"/>
    </row>
    <row r="84" spans="4:234" ht="6" customHeight="1">
      <c r="D84" s="78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79"/>
      <c r="CY84" s="79"/>
      <c r="CZ84" s="79"/>
      <c r="DA84" s="79"/>
      <c r="DB84" s="79"/>
      <c r="DC84" s="79"/>
      <c r="DD84" s="79"/>
      <c r="DE84" s="79"/>
      <c r="DF84" s="79"/>
      <c r="DG84" s="79"/>
      <c r="DH84" s="79"/>
      <c r="DI84" s="79"/>
      <c r="DJ84" s="79"/>
      <c r="DK84" s="79"/>
      <c r="DL84" s="79"/>
      <c r="DM84" s="79"/>
      <c r="DN84" s="79"/>
      <c r="DO84" s="79"/>
      <c r="DP84" s="79"/>
      <c r="DQ84" s="79"/>
      <c r="DR84" s="79"/>
      <c r="DS84" s="79"/>
      <c r="DT84" s="79"/>
      <c r="DU84" s="79"/>
      <c r="DV84" s="79"/>
      <c r="DW84" s="79"/>
      <c r="DX84" s="79"/>
      <c r="DY84" s="79"/>
      <c r="DZ84" s="79"/>
      <c r="EA84" s="79"/>
      <c r="EB84" s="79"/>
      <c r="EC84" s="79"/>
      <c r="ED84" s="79"/>
      <c r="EE84" s="79"/>
      <c r="EF84" s="79"/>
      <c r="EG84" s="79"/>
      <c r="EH84" s="79"/>
      <c r="EI84" s="79"/>
      <c r="EJ84" s="79"/>
      <c r="EK84" s="79"/>
      <c r="EL84" s="79"/>
      <c r="EM84" s="79"/>
      <c r="EN84" s="79"/>
      <c r="EO84" s="79"/>
      <c r="EP84" s="79"/>
      <c r="EQ84" s="79"/>
      <c r="ER84" s="79"/>
      <c r="ES84" s="79"/>
      <c r="ET84" s="79"/>
      <c r="EU84" s="79"/>
      <c r="EV84" s="79"/>
      <c r="EW84" s="79"/>
      <c r="EX84" s="79"/>
      <c r="EY84" s="79"/>
      <c r="EZ84" s="79"/>
      <c r="FA84" s="79"/>
      <c r="FB84" s="79"/>
      <c r="FC84" s="79"/>
      <c r="FD84" s="79"/>
      <c r="FE84" s="79"/>
      <c r="FF84" s="79"/>
      <c r="FG84" s="79"/>
      <c r="FH84" s="79"/>
      <c r="FI84" s="79"/>
      <c r="FJ84" s="79"/>
      <c r="FK84" s="79"/>
      <c r="FL84" s="79"/>
      <c r="FM84" s="79"/>
      <c r="FN84" s="79"/>
      <c r="FO84" s="79"/>
      <c r="FP84" s="79"/>
      <c r="FQ84" s="79"/>
      <c r="FR84" s="79"/>
      <c r="FS84" s="79"/>
      <c r="FT84" s="79"/>
      <c r="FU84" s="79"/>
      <c r="FV84" s="79"/>
      <c r="FW84" s="79"/>
      <c r="FX84" s="79"/>
      <c r="FY84" s="79"/>
      <c r="FZ84" s="79"/>
      <c r="GA84" s="79"/>
      <c r="GB84" s="79"/>
      <c r="GC84" s="79"/>
      <c r="GD84" s="79"/>
      <c r="GE84" s="79"/>
      <c r="GF84" s="79"/>
      <c r="GG84" s="79"/>
      <c r="GH84" s="79"/>
      <c r="GI84" s="79"/>
      <c r="GJ84" s="79"/>
      <c r="GK84" s="79"/>
      <c r="GL84" s="79"/>
      <c r="GM84" s="79"/>
      <c r="GN84" s="79"/>
      <c r="GO84" s="79"/>
      <c r="GP84" s="79"/>
      <c r="GQ84" s="79"/>
      <c r="GR84" s="79"/>
      <c r="GS84" s="79"/>
      <c r="GT84" s="79"/>
      <c r="GU84" s="79"/>
      <c r="GV84" s="79"/>
      <c r="GW84" s="79"/>
      <c r="GX84" s="79"/>
      <c r="GY84" s="79"/>
      <c r="GZ84" s="79"/>
      <c r="HA84" s="79"/>
      <c r="HB84" s="79"/>
      <c r="HC84" s="79"/>
      <c r="HD84" s="79"/>
      <c r="HE84" s="79"/>
      <c r="HF84" s="79"/>
      <c r="HG84" s="79"/>
      <c r="HH84" s="79"/>
      <c r="HI84" s="79"/>
      <c r="HJ84" s="79"/>
      <c r="HK84" s="79"/>
      <c r="HL84" s="79"/>
      <c r="HM84" s="79"/>
      <c r="HN84" s="79"/>
      <c r="HO84" s="79"/>
      <c r="HP84" s="79"/>
      <c r="HQ84" s="79"/>
      <c r="HR84" s="79"/>
      <c r="HS84" s="79"/>
      <c r="HT84" s="79"/>
      <c r="HU84" s="79"/>
      <c r="HV84" s="79"/>
      <c r="HW84" s="79"/>
      <c r="HX84" s="79"/>
      <c r="HY84" s="79"/>
      <c r="HZ84" s="80"/>
    </row>
    <row r="85" spans="4:234" ht="6" customHeight="1"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</row>
    <row r="86" spans="4:234" ht="6" customHeight="1"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</row>
  </sheetData>
  <mergeCells count="28">
    <mergeCell ref="BJ7:CK9"/>
    <mergeCell ref="BJ10:CK14"/>
    <mergeCell ref="CM7:DN9"/>
    <mergeCell ref="CM10:DN14"/>
    <mergeCell ref="D16:DN18"/>
    <mergeCell ref="D19:DN40"/>
    <mergeCell ref="DP16:HZ18"/>
    <mergeCell ref="DP19:HZ40"/>
    <mergeCell ref="D42:DN44"/>
    <mergeCell ref="D45:DN66"/>
    <mergeCell ref="DP42:HZ44"/>
    <mergeCell ref="DP45:HZ66"/>
    <mergeCell ref="D5:HZ5"/>
    <mergeCell ref="D1:HZ4"/>
    <mergeCell ref="DP7:EQ9"/>
    <mergeCell ref="D68:HZ70"/>
    <mergeCell ref="D71:HZ84"/>
    <mergeCell ref="DP10:EQ14"/>
    <mergeCell ref="ES7:FT9"/>
    <mergeCell ref="ES10:FT14"/>
    <mergeCell ref="FV7:GW9"/>
    <mergeCell ref="FV10:GW14"/>
    <mergeCell ref="GY7:HZ9"/>
    <mergeCell ref="GY10:HZ14"/>
    <mergeCell ref="D10:AE14"/>
    <mergeCell ref="D7:AE9"/>
    <mergeCell ref="AG7:BH9"/>
    <mergeCell ref="AG10:BH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5CD3-30BB-4DB0-96EC-F6CAA687660D}">
  <dimension ref="B1:IB90"/>
  <sheetViews>
    <sheetView showGridLines="0" showRowColHeaders="0" tabSelected="1" zoomScale="80" zoomScaleNormal="80" workbookViewId="0">
      <pane ySplit="5" topLeftCell="A6" activePane="bottomLeft" state="frozen"/>
      <selection pane="bottomLeft" activeCell="JD20" sqref="JD20"/>
    </sheetView>
  </sheetViews>
  <sheetFormatPr defaultColWidth="0.85546875" defaultRowHeight="6" customHeight="1"/>
  <cols>
    <col min="1" max="1" width="0.85546875" customWidth="1"/>
  </cols>
  <sheetData>
    <row r="1" spans="2:236" ht="6" customHeight="1">
      <c r="D1" s="53" t="s">
        <v>2069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24"/>
      <c r="IB1" s="24"/>
    </row>
    <row r="2" spans="2:236" ht="6" customHeight="1">
      <c r="C2" s="24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24"/>
      <c r="IB2" s="24"/>
    </row>
    <row r="3" spans="2:236" ht="6" customHeight="1">
      <c r="C3" s="24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24"/>
      <c r="IB3" s="24"/>
    </row>
    <row r="4" spans="2:236" ht="6" customHeight="1">
      <c r="C4" s="24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24"/>
      <c r="IB4" s="24"/>
    </row>
    <row r="5" spans="2:236" ht="13.5" customHeight="1">
      <c r="B5" s="24"/>
      <c r="C5" s="23"/>
      <c r="D5" s="52" t="s">
        <v>2070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23"/>
      <c r="IB5" s="23"/>
    </row>
    <row r="7" spans="2:236" ht="6" customHeight="1">
      <c r="D7" s="55" t="s">
        <v>2071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6"/>
      <c r="AG7" s="54" t="s">
        <v>29</v>
      </c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6"/>
      <c r="BJ7" s="54" t="s">
        <v>2072</v>
      </c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6"/>
      <c r="CM7" s="54" t="s">
        <v>2073</v>
      </c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6"/>
      <c r="DP7" s="54" t="s">
        <v>2074</v>
      </c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6"/>
      <c r="ES7" s="54" t="s">
        <v>2075</v>
      </c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6"/>
      <c r="FV7" s="54" t="s">
        <v>2076</v>
      </c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6"/>
      <c r="GY7" s="54" t="s">
        <v>2077</v>
      </c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6"/>
    </row>
    <row r="8" spans="2:236" ht="6" customHeight="1">
      <c r="D8" s="57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9"/>
      <c r="AG8" s="57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9"/>
      <c r="BJ8" s="57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9"/>
      <c r="CM8" s="57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9"/>
      <c r="DP8" s="57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9"/>
      <c r="ES8" s="57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9"/>
      <c r="FV8" s="57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9"/>
      <c r="GY8" s="57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9"/>
    </row>
    <row r="9" spans="2:236" ht="6" customHeight="1">
      <c r="D9" s="60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2"/>
      <c r="AG9" s="60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2"/>
      <c r="BJ9" s="60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2"/>
      <c r="CM9" s="60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2"/>
      <c r="DP9" s="60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2"/>
      <c r="ES9" s="60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2"/>
      <c r="FV9" s="60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2"/>
      <c r="GY9" s="60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  <c r="HO9" s="61"/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2"/>
    </row>
    <row r="10" spans="2:236" ht="6" customHeight="1">
      <c r="D10" s="90">
        <f>Análise!B12</f>
        <v>1406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2"/>
      <c r="AG10" s="108">
        <f>Análise!B13</f>
        <v>19458902520</v>
      </c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10"/>
      <c r="BJ10" s="99">
        <f>Análise!B14</f>
        <v>0.33391352458453039</v>
      </c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1"/>
      <c r="CM10" s="127">
        <f>Análise!B15</f>
        <v>13839902.219061166</v>
      </c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  <c r="DH10" s="128"/>
      <c r="DI10" s="128"/>
      <c r="DJ10" s="128"/>
      <c r="DK10" s="128"/>
      <c r="DL10" s="128"/>
      <c r="DM10" s="128"/>
      <c r="DN10" s="129"/>
      <c r="DP10" s="81">
        <f>Análise!B16</f>
        <v>285688</v>
      </c>
      <c r="DQ10" s="82"/>
      <c r="DR10" s="82"/>
      <c r="DS10" s="82"/>
      <c r="DT10" s="82"/>
      <c r="DU10" s="82"/>
      <c r="DV10" s="82"/>
      <c r="DW10" s="82"/>
      <c r="DX10" s="82"/>
      <c r="DY10" s="82"/>
      <c r="DZ10" s="82"/>
      <c r="EA10" s="82"/>
      <c r="EB10" s="82"/>
      <c r="EC10" s="82"/>
      <c r="ED10" s="82"/>
      <c r="EE10" s="82"/>
      <c r="EF10" s="82"/>
      <c r="EG10" s="82"/>
      <c r="EH10" s="82"/>
      <c r="EI10" s="82"/>
      <c r="EJ10" s="82"/>
      <c r="EK10" s="82"/>
      <c r="EL10" s="82"/>
      <c r="EM10" s="82"/>
      <c r="EN10" s="82"/>
      <c r="EO10" s="82"/>
      <c r="EP10" s="82"/>
      <c r="EQ10" s="83"/>
      <c r="ES10" s="81">
        <f>Análise!B17</f>
        <v>50082.5</v>
      </c>
      <c r="ET10" s="82"/>
      <c r="EU10" s="82"/>
      <c r="EV10" s="82"/>
      <c r="EW10" s="82"/>
      <c r="EX10" s="82"/>
      <c r="EY10" s="82"/>
      <c r="EZ10" s="82"/>
      <c r="FA10" s="82"/>
      <c r="FB10" s="82"/>
      <c r="FC10" s="82"/>
      <c r="FD10" s="82"/>
      <c r="FE10" s="82"/>
      <c r="FF10" s="82"/>
      <c r="FG10" s="82"/>
      <c r="FH10" s="82"/>
      <c r="FI10" s="82"/>
      <c r="FJ10" s="82"/>
      <c r="FK10" s="82"/>
      <c r="FL10" s="82"/>
      <c r="FM10" s="82"/>
      <c r="FN10" s="82"/>
      <c r="FO10" s="82"/>
      <c r="FP10" s="82"/>
      <c r="FQ10" s="82"/>
      <c r="FR10" s="82"/>
      <c r="FS10" s="82"/>
      <c r="FT10" s="83"/>
      <c r="FV10" s="90">
        <f>Análise!B18</f>
        <v>739</v>
      </c>
      <c r="FW10" s="91"/>
      <c r="FX10" s="91"/>
      <c r="FY10" s="91"/>
      <c r="FZ10" s="91"/>
      <c r="GA10" s="91"/>
      <c r="GB10" s="91"/>
      <c r="GC10" s="91"/>
      <c r="GD10" s="91"/>
      <c r="GE10" s="91"/>
      <c r="GF10" s="91"/>
      <c r="GG10" s="91"/>
      <c r="GH10" s="91"/>
      <c r="GI10" s="91"/>
      <c r="GJ10" s="91"/>
      <c r="GK10" s="91"/>
      <c r="GL10" s="91"/>
      <c r="GM10" s="91"/>
      <c r="GN10" s="91"/>
      <c r="GO10" s="91"/>
      <c r="GP10" s="91"/>
      <c r="GQ10" s="91"/>
      <c r="GR10" s="91"/>
      <c r="GS10" s="91"/>
      <c r="GT10" s="91"/>
      <c r="GU10" s="91"/>
      <c r="GV10" s="91"/>
      <c r="GW10" s="92"/>
      <c r="GY10" s="99">
        <f>Análise!B20</f>
        <v>4.4225499257267806E-2</v>
      </c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1"/>
    </row>
    <row r="11" spans="2:236" ht="6" customHeight="1">
      <c r="D11" s="93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G11" s="111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3"/>
      <c r="BJ11" s="102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4"/>
      <c r="CM11" s="130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2"/>
      <c r="DP11" s="84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6"/>
      <c r="ES11" s="84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6"/>
      <c r="FV11" s="93"/>
      <c r="FW11" s="94"/>
      <c r="FX11" s="94"/>
      <c r="FY11" s="94"/>
      <c r="FZ11" s="94"/>
      <c r="GA11" s="94"/>
      <c r="GB11" s="94"/>
      <c r="GC11" s="94"/>
      <c r="GD11" s="94"/>
      <c r="GE11" s="94"/>
      <c r="GF11" s="94"/>
      <c r="GG11" s="94"/>
      <c r="GH11" s="94"/>
      <c r="GI11" s="94"/>
      <c r="GJ11" s="94"/>
      <c r="GK11" s="94"/>
      <c r="GL11" s="94"/>
      <c r="GM11" s="94"/>
      <c r="GN11" s="94"/>
      <c r="GO11" s="94"/>
      <c r="GP11" s="94"/>
      <c r="GQ11" s="94"/>
      <c r="GR11" s="94"/>
      <c r="GS11" s="94"/>
      <c r="GT11" s="94"/>
      <c r="GU11" s="94"/>
      <c r="GV11" s="94"/>
      <c r="GW11" s="95"/>
      <c r="GY11" s="102"/>
      <c r="GZ11" s="103"/>
      <c r="HA11" s="103"/>
      <c r="HB11" s="103"/>
      <c r="HC11" s="103"/>
      <c r="HD11" s="103"/>
      <c r="HE11" s="103"/>
      <c r="HF11" s="103"/>
      <c r="HG11" s="103"/>
      <c r="HH11" s="103"/>
      <c r="HI11" s="103"/>
      <c r="HJ11" s="103"/>
      <c r="HK11" s="103"/>
      <c r="HL11" s="103"/>
      <c r="HM11" s="103"/>
      <c r="HN11" s="103"/>
      <c r="HO11" s="103"/>
      <c r="HP11" s="103"/>
      <c r="HQ11" s="103"/>
      <c r="HR11" s="103"/>
      <c r="HS11" s="103"/>
      <c r="HT11" s="103"/>
      <c r="HU11" s="103"/>
      <c r="HV11" s="103"/>
      <c r="HW11" s="103"/>
      <c r="HX11" s="103"/>
      <c r="HY11" s="103"/>
      <c r="HZ11" s="104"/>
    </row>
    <row r="12" spans="2:236" ht="6" customHeight="1">
      <c r="D12" s="93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G12" s="111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3"/>
      <c r="BJ12" s="102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4"/>
      <c r="CM12" s="130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131"/>
      <c r="DC12" s="131"/>
      <c r="DD12" s="131"/>
      <c r="DE12" s="131"/>
      <c r="DF12" s="131"/>
      <c r="DG12" s="131"/>
      <c r="DH12" s="131"/>
      <c r="DI12" s="131"/>
      <c r="DJ12" s="131"/>
      <c r="DK12" s="131"/>
      <c r="DL12" s="131"/>
      <c r="DM12" s="131"/>
      <c r="DN12" s="132"/>
      <c r="DP12" s="84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6"/>
      <c r="ES12" s="84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6"/>
      <c r="FV12" s="93"/>
      <c r="FW12" s="94"/>
      <c r="FX12" s="94"/>
      <c r="FY12" s="94"/>
      <c r="FZ12" s="94"/>
      <c r="GA12" s="94"/>
      <c r="GB12" s="94"/>
      <c r="GC12" s="94"/>
      <c r="GD12" s="94"/>
      <c r="GE12" s="94"/>
      <c r="GF12" s="94"/>
      <c r="GG12" s="94"/>
      <c r="GH12" s="94"/>
      <c r="GI12" s="94"/>
      <c r="GJ12" s="94"/>
      <c r="GK12" s="94"/>
      <c r="GL12" s="94"/>
      <c r="GM12" s="94"/>
      <c r="GN12" s="94"/>
      <c r="GO12" s="94"/>
      <c r="GP12" s="94"/>
      <c r="GQ12" s="94"/>
      <c r="GR12" s="94"/>
      <c r="GS12" s="94"/>
      <c r="GT12" s="94"/>
      <c r="GU12" s="94"/>
      <c r="GV12" s="94"/>
      <c r="GW12" s="95"/>
      <c r="GY12" s="102"/>
      <c r="GZ12" s="103"/>
      <c r="HA12" s="103"/>
      <c r="HB12" s="103"/>
      <c r="HC12" s="103"/>
      <c r="HD12" s="103"/>
      <c r="HE12" s="103"/>
      <c r="HF12" s="103"/>
      <c r="HG12" s="103"/>
      <c r="HH12" s="103"/>
      <c r="HI12" s="103"/>
      <c r="HJ12" s="103"/>
      <c r="HK12" s="103"/>
      <c r="HL12" s="103"/>
      <c r="HM12" s="103"/>
      <c r="HN12" s="103"/>
      <c r="HO12" s="103"/>
      <c r="HP12" s="103"/>
      <c r="HQ12" s="103"/>
      <c r="HR12" s="103"/>
      <c r="HS12" s="103"/>
      <c r="HT12" s="103"/>
      <c r="HU12" s="103"/>
      <c r="HV12" s="103"/>
      <c r="HW12" s="103"/>
      <c r="HX12" s="103"/>
      <c r="HY12" s="103"/>
      <c r="HZ12" s="104"/>
    </row>
    <row r="13" spans="2:236" ht="6" customHeight="1">
      <c r="D13" s="93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G13" s="111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3"/>
      <c r="BJ13" s="102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4"/>
      <c r="CM13" s="130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  <c r="CY13" s="131"/>
      <c r="CZ13" s="131"/>
      <c r="DA13" s="131"/>
      <c r="DB13" s="131"/>
      <c r="DC13" s="131"/>
      <c r="DD13" s="131"/>
      <c r="DE13" s="131"/>
      <c r="DF13" s="131"/>
      <c r="DG13" s="131"/>
      <c r="DH13" s="131"/>
      <c r="DI13" s="131"/>
      <c r="DJ13" s="131"/>
      <c r="DK13" s="131"/>
      <c r="DL13" s="131"/>
      <c r="DM13" s="131"/>
      <c r="DN13" s="132"/>
      <c r="DP13" s="84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6"/>
      <c r="ES13" s="84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6"/>
      <c r="FV13" s="93"/>
      <c r="FW13" s="94"/>
      <c r="FX13" s="94"/>
      <c r="FY13" s="94"/>
      <c r="FZ13" s="94"/>
      <c r="GA13" s="94"/>
      <c r="GB13" s="94"/>
      <c r="GC13" s="94"/>
      <c r="GD13" s="94"/>
      <c r="GE13" s="94"/>
      <c r="GF13" s="94"/>
      <c r="GG13" s="94"/>
      <c r="GH13" s="94"/>
      <c r="GI13" s="94"/>
      <c r="GJ13" s="94"/>
      <c r="GK13" s="94"/>
      <c r="GL13" s="94"/>
      <c r="GM13" s="94"/>
      <c r="GN13" s="94"/>
      <c r="GO13" s="94"/>
      <c r="GP13" s="94"/>
      <c r="GQ13" s="94"/>
      <c r="GR13" s="94"/>
      <c r="GS13" s="94"/>
      <c r="GT13" s="94"/>
      <c r="GU13" s="94"/>
      <c r="GV13" s="94"/>
      <c r="GW13" s="95"/>
      <c r="GY13" s="102"/>
      <c r="GZ13" s="103"/>
      <c r="HA13" s="103"/>
      <c r="HB13" s="103"/>
      <c r="HC13" s="103"/>
      <c r="HD13" s="103"/>
      <c r="HE13" s="103"/>
      <c r="HF13" s="103"/>
      <c r="HG13" s="103"/>
      <c r="HH13" s="103"/>
      <c r="HI13" s="103"/>
      <c r="HJ13" s="103"/>
      <c r="HK13" s="103"/>
      <c r="HL13" s="103"/>
      <c r="HM13" s="103"/>
      <c r="HN13" s="103"/>
      <c r="HO13" s="103"/>
      <c r="HP13" s="103"/>
      <c r="HQ13" s="103"/>
      <c r="HR13" s="103"/>
      <c r="HS13" s="103"/>
      <c r="HT13" s="103"/>
      <c r="HU13" s="103"/>
      <c r="HV13" s="103"/>
      <c r="HW13" s="103"/>
      <c r="HX13" s="103"/>
      <c r="HY13" s="103"/>
      <c r="HZ13" s="104"/>
    </row>
    <row r="14" spans="2:236" ht="6" customHeight="1">
      <c r="D14" s="96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8"/>
      <c r="AG14" s="114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6"/>
      <c r="BJ14" s="105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7"/>
      <c r="CM14" s="133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34"/>
      <c r="DJ14" s="134"/>
      <c r="DK14" s="134"/>
      <c r="DL14" s="134"/>
      <c r="DM14" s="134"/>
      <c r="DN14" s="135"/>
      <c r="DP14" s="87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9"/>
      <c r="ES14" s="87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9"/>
      <c r="FV14" s="96"/>
      <c r="FW14" s="97"/>
      <c r="FX14" s="97"/>
      <c r="FY14" s="97"/>
      <c r="FZ14" s="97"/>
      <c r="GA14" s="97"/>
      <c r="GB14" s="97"/>
      <c r="GC14" s="97"/>
      <c r="GD14" s="97"/>
      <c r="GE14" s="97"/>
      <c r="GF14" s="97"/>
      <c r="GG14" s="97"/>
      <c r="GH14" s="97"/>
      <c r="GI14" s="97"/>
      <c r="GJ14" s="97"/>
      <c r="GK14" s="97"/>
      <c r="GL14" s="97"/>
      <c r="GM14" s="97"/>
      <c r="GN14" s="97"/>
      <c r="GO14" s="97"/>
      <c r="GP14" s="97"/>
      <c r="GQ14" s="97"/>
      <c r="GR14" s="97"/>
      <c r="GS14" s="97"/>
      <c r="GT14" s="97"/>
      <c r="GU14" s="97"/>
      <c r="GV14" s="97"/>
      <c r="GW14" s="98"/>
      <c r="GY14" s="105"/>
      <c r="GZ14" s="106"/>
      <c r="HA14" s="106"/>
      <c r="HB14" s="106"/>
      <c r="HC14" s="106"/>
      <c r="HD14" s="106"/>
      <c r="HE14" s="106"/>
      <c r="HF14" s="106"/>
      <c r="HG14" s="106"/>
      <c r="HH14" s="106"/>
      <c r="HI14" s="106"/>
      <c r="HJ14" s="106"/>
      <c r="HK14" s="106"/>
      <c r="HL14" s="106"/>
      <c r="HM14" s="106"/>
      <c r="HN14" s="106"/>
      <c r="HO14" s="106"/>
      <c r="HP14" s="106"/>
      <c r="HQ14" s="106"/>
      <c r="HR14" s="106"/>
      <c r="HS14" s="106"/>
      <c r="HT14" s="106"/>
      <c r="HU14" s="106"/>
      <c r="HV14" s="106"/>
      <c r="HW14" s="106"/>
      <c r="HX14" s="106"/>
      <c r="HY14" s="106"/>
      <c r="HZ14" s="107"/>
    </row>
    <row r="16" spans="2:236" ht="6" customHeight="1">
      <c r="D16" s="63" t="s">
        <v>2084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5"/>
      <c r="DP16" s="63" t="s">
        <v>2085</v>
      </c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5"/>
    </row>
    <row r="17" spans="4:234" ht="6" customHeight="1">
      <c r="D17" s="66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  <c r="DK17" s="67"/>
      <c r="DL17" s="67"/>
      <c r="DM17" s="67"/>
      <c r="DN17" s="68"/>
      <c r="DP17" s="66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/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8"/>
    </row>
    <row r="18" spans="4:234" ht="6" customHeight="1">
      <c r="D18" s="69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1"/>
      <c r="DP18" s="69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1"/>
    </row>
    <row r="19" spans="4:234" ht="6" customHeight="1">
      <c r="D19" s="117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9"/>
      <c r="DP19" s="117"/>
      <c r="DQ19" s="118"/>
      <c r="DR19" s="118"/>
      <c r="DS19" s="118"/>
      <c r="DT19" s="118"/>
      <c r="DU19" s="118"/>
      <c r="DV19" s="118"/>
      <c r="DW19" s="118"/>
      <c r="DX19" s="118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  <c r="EJ19" s="118"/>
      <c r="EK19" s="118"/>
      <c r="EL19" s="118"/>
      <c r="EM19" s="118"/>
      <c r="EN19" s="118"/>
      <c r="EO19" s="118"/>
      <c r="EP19" s="118"/>
      <c r="EQ19" s="118"/>
      <c r="ER19" s="118"/>
      <c r="ES19" s="118"/>
      <c r="ET19" s="118"/>
      <c r="EU19" s="118"/>
      <c r="EV19" s="118"/>
      <c r="EW19" s="118"/>
      <c r="EX19" s="118"/>
      <c r="EY19" s="118"/>
      <c r="EZ19" s="118"/>
      <c r="FA19" s="118"/>
      <c r="FB19" s="118"/>
      <c r="FC19" s="118"/>
      <c r="FD19" s="118"/>
      <c r="FE19" s="118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118"/>
      <c r="GL19" s="118"/>
      <c r="GM19" s="118"/>
      <c r="GN19" s="118"/>
      <c r="GO19" s="118"/>
      <c r="GP19" s="118"/>
      <c r="GQ19" s="118"/>
      <c r="GR19" s="118"/>
      <c r="GS19" s="118"/>
      <c r="GT19" s="118"/>
      <c r="GU19" s="118"/>
      <c r="GV19" s="118"/>
      <c r="GW19" s="118"/>
      <c r="GX19" s="118"/>
      <c r="GY19" s="118"/>
      <c r="GZ19" s="118"/>
      <c r="HA19" s="118"/>
      <c r="HB19" s="118"/>
      <c r="HC19" s="118"/>
      <c r="HD19" s="118"/>
      <c r="HE19" s="118"/>
      <c r="HF19" s="118"/>
      <c r="HG19" s="118"/>
      <c r="HH19" s="118"/>
      <c r="HI19" s="118"/>
      <c r="HJ19" s="118"/>
      <c r="HK19" s="118"/>
      <c r="HL19" s="118"/>
      <c r="HM19" s="118"/>
      <c r="HN19" s="118"/>
      <c r="HO19" s="118"/>
      <c r="HP19" s="118"/>
      <c r="HQ19" s="118"/>
      <c r="HR19" s="118"/>
      <c r="HS19" s="118"/>
      <c r="HT19" s="118"/>
      <c r="HU19" s="118"/>
      <c r="HV19" s="118"/>
      <c r="HW19" s="118"/>
      <c r="HX19" s="118"/>
      <c r="HY19" s="118"/>
      <c r="HZ19" s="119"/>
    </row>
    <row r="20" spans="4:234" ht="6" customHeight="1">
      <c r="D20" s="120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154"/>
      <c r="CY20" s="154"/>
      <c r="CZ20" s="154"/>
      <c r="DA20" s="154"/>
      <c r="DB20" s="154"/>
      <c r="DC20" s="154"/>
      <c r="DD20" s="154"/>
      <c r="DE20" s="154"/>
      <c r="DF20" s="154"/>
      <c r="DG20" s="154"/>
      <c r="DH20" s="154"/>
      <c r="DI20" s="154"/>
      <c r="DJ20" s="154"/>
      <c r="DK20" s="154"/>
      <c r="DL20" s="154"/>
      <c r="DM20" s="154"/>
      <c r="DN20" s="122"/>
      <c r="DP20" s="120"/>
      <c r="DQ20" s="154"/>
      <c r="DR20" s="154"/>
      <c r="DS20" s="154"/>
      <c r="DT20" s="154"/>
      <c r="DU20" s="154"/>
      <c r="DV20" s="154"/>
      <c r="DW20" s="154"/>
      <c r="DX20" s="154"/>
      <c r="DY20" s="154"/>
      <c r="DZ20" s="154"/>
      <c r="EA20" s="154"/>
      <c r="EB20" s="154"/>
      <c r="EC20" s="154"/>
      <c r="ED20" s="154"/>
      <c r="EE20" s="154"/>
      <c r="EF20" s="154"/>
      <c r="EG20" s="154"/>
      <c r="EH20" s="154"/>
      <c r="EI20" s="154"/>
      <c r="EJ20" s="154"/>
      <c r="EK20" s="154"/>
      <c r="EL20" s="154"/>
      <c r="EM20" s="154"/>
      <c r="EN20" s="154"/>
      <c r="EO20" s="154"/>
      <c r="EP20" s="154"/>
      <c r="EQ20" s="154"/>
      <c r="ER20" s="154"/>
      <c r="ES20" s="154"/>
      <c r="ET20" s="154"/>
      <c r="EU20" s="154"/>
      <c r="EV20" s="154"/>
      <c r="EW20" s="154"/>
      <c r="EX20" s="154"/>
      <c r="EY20" s="154"/>
      <c r="EZ20" s="154"/>
      <c r="FA20" s="154"/>
      <c r="FB20" s="154"/>
      <c r="FC20" s="154"/>
      <c r="FD20" s="154"/>
      <c r="FE20" s="154"/>
      <c r="FF20" s="154"/>
      <c r="FG20" s="154"/>
      <c r="FH20" s="154"/>
      <c r="FI20" s="154"/>
      <c r="FJ20" s="154"/>
      <c r="FK20" s="154"/>
      <c r="FL20" s="154"/>
      <c r="FM20" s="154"/>
      <c r="FN20" s="154"/>
      <c r="FO20" s="154"/>
      <c r="FP20" s="154"/>
      <c r="FQ20" s="154"/>
      <c r="FR20" s="154"/>
      <c r="FS20" s="154"/>
      <c r="FT20" s="154"/>
      <c r="FU20" s="154"/>
      <c r="FV20" s="154"/>
      <c r="FW20" s="154"/>
      <c r="FX20" s="154"/>
      <c r="FY20" s="154"/>
      <c r="FZ20" s="154"/>
      <c r="GA20" s="154"/>
      <c r="GB20" s="154"/>
      <c r="GC20" s="154"/>
      <c r="GD20" s="154"/>
      <c r="GE20" s="154"/>
      <c r="GF20" s="154"/>
      <c r="GG20" s="154"/>
      <c r="GH20" s="154"/>
      <c r="GI20" s="154"/>
      <c r="GJ20" s="154"/>
      <c r="GK20" s="154"/>
      <c r="GL20" s="154"/>
      <c r="GM20" s="154"/>
      <c r="GN20" s="154"/>
      <c r="GO20" s="154"/>
      <c r="GP20" s="154"/>
      <c r="GQ20" s="154"/>
      <c r="GR20" s="154"/>
      <c r="GS20" s="154"/>
      <c r="GT20" s="154"/>
      <c r="GU20" s="154"/>
      <c r="GV20" s="154"/>
      <c r="GW20" s="154"/>
      <c r="GX20" s="154"/>
      <c r="GY20" s="154"/>
      <c r="GZ20" s="154"/>
      <c r="HA20" s="154"/>
      <c r="HB20" s="154"/>
      <c r="HC20" s="154"/>
      <c r="HD20" s="154"/>
      <c r="HE20" s="154"/>
      <c r="HF20" s="154"/>
      <c r="HG20" s="154"/>
      <c r="HH20" s="154"/>
      <c r="HI20" s="154"/>
      <c r="HJ20" s="154"/>
      <c r="HK20" s="154"/>
      <c r="HL20" s="154"/>
      <c r="HM20" s="154"/>
      <c r="HN20" s="154"/>
      <c r="HO20" s="154"/>
      <c r="HP20" s="154"/>
      <c r="HQ20" s="154"/>
      <c r="HR20" s="154"/>
      <c r="HS20" s="154"/>
      <c r="HT20" s="154"/>
      <c r="HU20" s="154"/>
      <c r="HV20" s="154"/>
      <c r="HW20" s="154"/>
      <c r="HX20" s="154"/>
      <c r="HY20" s="154"/>
      <c r="HZ20" s="122"/>
    </row>
    <row r="21" spans="4:234" ht="6" customHeight="1">
      <c r="D21" s="120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4"/>
      <c r="BS21" s="154"/>
      <c r="BT21" s="154"/>
      <c r="BU21" s="154"/>
      <c r="BV21" s="154"/>
      <c r="BW21" s="154"/>
      <c r="BX21" s="154"/>
      <c r="BY21" s="154"/>
      <c r="BZ21" s="154"/>
      <c r="CA21" s="154"/>
      <c r="CB21" s="154"/>
      <c r="CC21" s="154"/>
      <c r="CD21" s="154"/>
      <c r="CE21" s="154"/>
      <c r="CF21" s="154"/>
      <c r="CG21" s="154"/>
      <c r="CH21" s="154"/>
      <c r="CI21" s="154"/>
      <c r="CJ21" s="154"/>
      <c r="CK21" s="154"/>
      <c r="CL21" s="154"/>
      <c r="CM21" s="154"/>
      <c r="CN21" s="154"/>
      <c r="CO21" s="154"/>
      <c r="CP21" s="154"/>
      <c r="CQ21" s="154"/>
      <c r="CR21" s="154"/>
      <c r="CS21" s="154"/>
      <c r="CT21" s="154"/>
      <c r="CU21" s="154"/>
      <c r="CV21" s="154"/>
      <c r="CW21" s="154"/>
      <c r="CX21" s="154"/>
      <c r="CY21" s="154"/>
      <c r="CZ21" s="154"/>
      <c r="DA21" s="154"/>
      <c r="DB21" s="154"/>
      <c r="DC21" s="154"/>
      <c r="DD21" s="154"/>
      <c r="DE21" s="154"/>
      <c r="DF21" s="154"/>
      <c r="DG21" s="154"/>
      <c r="DH21" s="154"/>
      <c r="DI21" s="154"/>
      <c r="DJ21" s="154"/>
      <c r="DK21" s="154"/>
      <c r="DL21" s="154"/>
      <c r="DM21" s="154"/>
      <c r="DN21" s="122"/>
      <c r="DP21" s="120"/>
      <c r="DQ21" s="154"/>
      <c r="DR21" s="154"/>
      <c r="DS21" s="154"/>
      <c r="DT21" s="154"/>
      <c r="DU21" s="154"/>
      <c r="DV21" s="154"/>
      <c r="DW21" s="154"/>
      <c r="DX21" s="154"/>
      <c r="DY21" s="154"/>
      <c r="DZ21" s="154"/>
      <c r="EA21" s="154"/>
      <c r="EB21" s="154"/>
      <c r="EC21" s="154"/>
      <c r="ED21" s="154"/>
      <c r="EE21" s="154"/>
      <c r="EF21" s="154"/>
      <c r="EG21" s="154"/>
      <c r="EH21" s="154"/>
      <c r="EI21" s="154"/>
      <c r="EJ21" s="154"/>
      <c r="EK21" s="154"/>
      <c r="EL21" s="154"/>
      <c r="EM21" s="154"/>
      <c r="EN21" s="154"/>
      <c r="EO21" s="154"/>
      <c r="EP21" s="154"/>
      <c r="EQ21" s="154"/>
      <c r="ER21" s="154"/>
      <c r="ES21" s="154"/>
      <c r="ET21" s="154"/>
      <c r="EU21" s="154"/>
      <c r="EV21" s="154"/>
      <c r="EW21" s="154"/>
      <c r="EX21" s="154"/>
      <c r="EY21" s="154"/>
      <c r="EZ21" s="154"/>
      <c r="FA21" s="154"/>
      <c r="FB21" s="154"/>
      <c r="FC21" s="154"/>
      <c r="FD21" s="154"/>
      <c r="FE21" s="154"/>
      <c r="FF21" s="154"/>
      <c r="FG21" s="154"/>
      <c r="FH21" s="154"/>
      <c r="FI21" s="154"/>
      <c r="FJ21" s="154"/>
      <c r="FK21" s="154"/>
      <c r="FL21" s="154"/>
      <c r="FM21" s="154"/>
      <c r="FN21" s="154"/>
      <c r="FO21" s="154"/>
      <c r="FP21" s="154"/>
      <c r="FQ21" s="154"/>
      <c r="FR21" s="154"/>
      <c r="FS21" s="154"/>
      <c r="FT21" s="154"/>
      <c r="FU21" s="154"/>
      <c r="FV21" s="154"/>
      <c r="FW21" s="154"/>
      <c r="FX21" s="154"/>
      <c r="FY21" s="154"/>
      <c r="FZ21" s="154"/>
      <c r="GA21" s="154"/>
      <c r="GB21" s="154"/>
      <c r="GC21" s="154"/>
      <c r="GD21" s="154"/>
      <c r="GE21" s="154"/>
      <c r="GF21" s="154"/>
      <c r="GG21" s="154"/>
      <c r="GH21" s="154"/>
      <c r="GI21" s="154"/>
      <c r="GJ21" s="154"/>
      <c r="GK21" s="154"/>
      <c r="GL21" s="154"/>
      <c r="GM21" s="154"/>
      <c r="GN21" s="154"/>
      <c r="GO21" s="154"/>
      <c r="GP21" s="154"/>
      <c r="GQ21" s="154"/>
      <c r="GR21" s="154"/>
      <c r="GS21" s="154"/>
      <c r="GT21" s="154"/>
      <c r="GU21" s="154"/>
      <c r="GV21" s="154"/>
      <c r="GW21" s="154"/>
      <c r="GX21" s="154"/>
      <c r="GY21" s="154"/>
      <c r="GZ21" s="154"/>
      <c r="HA21" s="154"/>
      <c r="HB21" s="154"/>
      <c r="HC21" s="154"/>
      <c r="HD21" s="154"/>
      <c r="HE21" s="154"/>
      <c r="HF21" s="154"/>
      <c r="HG21" s="154"/>
      <c r="HH21" s="154"/>
      <c r="HI21" s="154"/>
      <c r="HJ21" s="154"/>
      <c r="HK21" s="154"/>
      <c r="HL21" s="154"/>
      <c r="HM21" s="154"/>
      <c r="HN21" s="154"/>
      <c r="HO21" s="154"/>
      <c r="HP21" s="154"/>
      <c r="HQ21" s="154"/>
      <c r="HR21" s="154"/>
      <c r="HS21" s="154"/>
      <c r="HT21" s="154"/>
      <c r="HU21" s="154"/>
      <c r="HV21" s="154"/>
      <c r="HW21" s="154"/>
      <c r="HX21" s="154"/>
      <c r="HY21" s="154"/>
      <c r="HZ21" s="122"/>
    </row>
    <row r="22" spans="4:234" ht="6" customHeight="1">
      <c r="D22" s="120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22"/>
      <c r="DP22" s="120"/>
      <c r="DQ22" s="154"/>
      <c r="DR22" s="154"/>
      <c r="DS22" s="154"/>
      <c r="DT22" s="154"/>
      <c r="DU22" s="154"/>
      <c r="DV22" s="154"/>
      <c r="DW22" s="154"/>
      <c r="DX22" s="154"/>
      <c r="DY22" s="154"/>
      <c r="DZ22" s="154"/>
      <c r="EA22" s="154"/>
      <c r="EB22" s="154"/>
      <c r="EC22" s="154"/>
      <c r="ED22" s="154"/>
      <c r="EE22" s="154"/>
      <c r="EF22" s="154"/>
      <c r="EG22" s="154"/>
      <c r="EH22" s="154"/>
      <c r="EI22" s="154"/>
      <c r="EJ22" s="154"/>
      <c r="EK22" s="154"/>
      <c r="EL22" s="154"/>
      <c r="EM22" s="154"/>
      <c r="EN22" s="154"/>
      <c r="EO22" s="154"/>
      <c r="EP22" s="154"/>
      <c r="EQ22" s="154"/>
      <c r="ER22" s="154"/>
      <c r="ES22" s="154"/>
      <c r="ET22" s="154"/>
      <c r="EU22" s="154"/>
      <c r="EV22" s="154"/>
      <c r="EW22" s="154"/>
      <c r="EX22" s="154"/>
      <c r="EY22" s="154"/>
      <c r="EZ22" s="154"/>
      <c r="FA22" s="154"/>
      <c r="FB22" s="154"/>
      <c r="FC22" s="154"/>
      <c r="FD22" s="154"/>
      <c r="FE22" s="154"/>
      <c r="FF22" s="154"/>
      <c r="FG22" s="154"/>
      <c r="FH22" s="154"/>
      <c r="FI22" s="154"/>
      <c r="FJ22" s="154"/>
      <c r="FK22" s="154"/>
      <c r="FL22" s="154"/>
      <c r="FM22" s="154"/>
      <c r="FN22" s="154"/>
      <c r="FO22" s="154"/>
      <c r="FP22" s="154"/>
      <c r="FQ22" s="154"/>
      <c r="FR22" s="154"/>
      <c r="FS22" s="154"/>
      <c r="FT22" s="154"/>
      <c r="FU22" s="154"/>
      <c r="FV22" s="154"/>
      <c r="FW22" s="154"/>
      <c r="FX22" s="154"/>
      <c r="FY22" s="154"/>
      <c r="FZ22" s="154"/>
      <c r="GA22" s="154"/>
      <c r="GB22" s="154"/>
      <c r="GC22" s="154"/>
      <c r="GD22" s="154"/>
      <c r="GE22" s="154"/>
      <c r="GF22" s="154"/>
      <c r="GG22" s="154"/>
      <c r="GH22" s="154"/>
      <c r="GI22" s="154"/>
      <c r="GJ22" s="154"/>
      <c r="GK22" s="154"/>
      <c r="GL22" s="154"/>
      <c r="GM22" s="154"/>
      <c r="GN22" s="154"/>
      <c r="GO22" s="154"/>
      <c r="GP22" s="154"/>
      <c r="GQ22" s="154"/>
      <c r="GR22" s="154"/>
      <c r="GS22" s="154"/>
      <c r="GT22" s="154"/>
      <c r="GU22" s="154"/>
      <c r="GV22" s="154"/>
      <c r="GW22" s="154"/>
      <c r="GX22" s="154"/>
      <c r="GY22" s="154"/>
      <c r="GZ22" s="154"/>
      <c r="HA22" s="154"/>
      <c r="HB22" s="154"/>
      <c r="HC22" s="154"/>
      <c r="HD22" s="154"/>
      <c r="HE22" s="154"/>
      <c r="HF22" s="154"/>
      <c r="HG22" s="154"/>
      <c r="HH22" s="154"/>
      <c r="HI22" s="154"/>
      <c r="HJ22" s="154"/>
      <c r="HK22" s="154"/>
      <c r="HL22" s="154"/>
      <c r="HM22" s="154"/>
      <c r="HN22" s="154"/>
      <c r="HO22" s="154"/>
      <c r="HP22" s="154"/>
      <c r="HQ22" s="154"/>
      <c r="HR22" s="154"/>
      <c r="HS22" s="154"/>
      <c r="HT22" s="154"/>
      <c r="HU22" s="154"/>
      <c r="HV22" s="154"/>
      <c r="HW22" s="154"/>
      <c r="HX22" s="154"/>
      <c r="HY22" s="154"/>
      <c r="HZ22" s="122"/>
    </row>
    <row r="23" spans="4:234" ht="6" customHeight="1">
      <c r="D23" s="120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54"/>
      <c r="BU23" s="154"/>
      <c r="BV23" s="154"/>
      <c r="BW23" s="154"/>
      <c r="BX23" s="154"/>
      <c r="BY23" s="154"/>
      <c r="BZ23" s="154"/>
      <c r="CA23" s="154"/>
      <c r="CB23" s="154"/>
      <c r="CC23" s="154"/>
      <c r="CD23" s="154"/>
      <c r="CE23" s="154"/>
      <c r="CF23" s="154"/>
      <c r="CG23" s="154"/>
      <c r="CH23" s="154"/>
      <c r="CI23" s="154"/>
      <c r="CJ23" s="154"/>
      <c r="CK23" s="154"/>
      <c r="CL23" s="154"/>
      <c r="CM23" s="154"/>
      <c r="CN23" s="154"/>
      <c r="CO23" s="154"/>
      <c r="CP23" s="154"/>
      <c r="CQ23" s="154"/>
      <c r="CR23" s="154"/>
      <c r="CS23" s="154"/>
      <c r="CT23" s="154"/>
      <c r="CU23" s="154"/>
      <c r="CV23" s="154"/>
      <c r="CW23" s="154"/>
      <c r="CX23" s="154"/>
      <c r="CY23" s="154"/>
      <c r="CZ23" s="154"/>
      <c r="DA23" s="154"/>
      <c r="DB23" s="154"/>
      <c r="DC23" s="154"/>
      <c r="DD23" s="154"/>
      <c r="DE23" s="154"/>
      <c r="DF23" s="154"/>
      <c r="DG23" s="154"/>
      <c r="DH23" s="154"/>
      <c r="DI23" s="154"/>
      <c r="DJ23" s="154"/>
      <c r="DK23" s="154"/>
      <c r="DL23" s="154"/>
      <c r="DM23" s="154"/>
      <c r="DN23" s="122"/>
      <c r="DP23" s="120"/>
      <c r="DQ23" s="154"/>
      <c r="DR23" s="154"/>
      <c r="DS23" s="154"/>
      <c r="DT23" s="154"/>
      <c r="DU23" s="154"/>
      <c r="DV23" s="154"/>
      <c r="DW23" s="154"/>
      <c r="DX23" s="154"/>
      <c r="DY23" s="154"/>
      <c r="DZ23" s="154"/>
      <c r="EA23" s="154"/>
      <c r="EB23" s="154"/>
      <c r="EC23" s="154"/>
      <c r="ED23" s="154"/>
      <c r="EE23" s="154"/>
      <c r="EF23" s="154"/>
      <c r="EG23" s="154"/>
      <c r="EH23" s="154"/>
      <c r="EI23" s="154"/>
      <c r="EJ23" s="154"/>
      <c r="EK23" s="154"/>
      <c r="EL23" s="154"/>
      <c r="EM23" s="154"/>
      <c r="EN23" s="154"/>
      <c r="EO23" s="154"/>
      <c r="EP23" s="154"/>
      <c r="EQ23" s="154"/>
      <c r="ER23" s="154"/>
      <c r="ES23" s="154"/>
      <c r="ET23" s="154"/>
      <c r="EU23" s="154"/>
      <c r="EV23" s="154"/>
      <c r="EW23" s="154"/>
      <c r="EX23" s="154"/>
      <c r="EY23" s="154"/>
      <c r="EZ23" s="154"/>
      <c r="FA23" s="154"/>
      <c r="FB23" s="154"/>
      <c r="FC23" s="154"/>
      <c r="FD23" s="154"/>
      <c r="FE23" s="154"/>
      <c r="FF23" s="154"/>
      <c r="FG23" s="154"/>
      <c r="FH23" s="154"/>
      <c r="FI23" s="154"/>
      <c r="FJ23" s="154"/>
      <c r="FK23" s="154"/>
      <c r="FL23" s="154"/>
      <c r="FM23" s="154"/>
      <c r="FN23" s="154"/>
      <c r="FO23" s="154"/>
      <c r="FP23" s="154"/>
      <c r="FQ23" s="154"/>
      <c r="FR23" s="154"/>
      <c r="FS23" s="154"/>
      <c r="FT23" s="154"/>
      <c r="FU23" s="154"/>
      <c r="FV23" s="154"/>
      <c r="FW23" s="154"/>
      <c r="FX23" s="154"/>
      <c r="FY23" s="154"/>
      <c r="FZ23" s="154"/>
      <c r="GA23" s="154"/>
      <c r="GB23" s="154"/>
      <c r="GC23" s="154"/>
      <c r="GD23" s="154"/>
      <c r="GE23" s="154"/>
      <c r="GF23" s="154"/>
      <c r="GG23" s="154"/>
      <c r="GH23" s="154"/>
      <c r="GI23" s="154"/>
      <c r="GJ23" s="154"/>
      <c r="GK23" s="154"/>
      <c r="GL23" s="154"/>
      <c r="GM23" s="154"/>
      <c r="GN23" s="154"/>
      <c r="GO23" s="154"/>
      <c r="GP23" s="154"/>
      <c r="GQ23" s="154"/>
      <c r="GR23" s="154"/>
      <c r="GS23" s="154"/>
      <c r="GT23" s="154"/>
      <c r="GU23" s="154"/>
      <c r="GV23" s="154"/>
      <c r="GW23" s="154"/>
      <c r="GX23" s="154"/>
      <c r="GY23" s="154"/>
      <c r="GZ23" s="154"/>
      <c r="HA23" s="154"/>
      <c r="HB23" s="154"/>
      <c r="HC23" s="154"/>
      <c r="HD23" s="154"/>
      <c r="HE23" s="154"/>
      <c r="HF23" s="154"/>
      <c r="HG23" s="154"/>
      <c r="HH23" s="154"/>
      <c r="HI23" s="154"/>
      <c r="HJ23" s="154"/>
      <c r="HK23" s="154"/>
      <c r="HL23" s="154"/>
      <c r="HM23" s="154"/>
      <c r="HN23" s="154"/>
      <c r="HO23" s="154"/>
      <c r="HP23" s="154"/>
      <c r="HQ23" s="154"/>
      <c r="HR23" s="154"/>
      <c r="HS23" s="154"/>
      <c r="HT23" s="154"/>
      <c r="HU23" s="154"/>
      <c r="HV23" s="154"/>
      <c r="HW23" s="154"/>
      <c r="HX23" s="154"/>
      <c r="HY23" s="154"/>
      <c r="HZ23" s="122"/>
    </row>
    <row r="24" spans="4:234" ht="6" customHeight="1">
      <c r="D24" s="120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22"/>
      <c r="DP24" s="120"/>
      <c r="DQ24" s="154"/>
      <c r="DR24" s="154"/>
      <c r="DS24" s="154"/>
      <c r="DT24" s="154"/>
      <c r="DU24" s="154"/>
      <c r="DV24" s="154"/>
      <c r="DW24" s="154"/>
      <c r="DX24" s="154"/>
      <c r="DY24" s="154"/>
      <c r="DZ24" s="154"/>
      <c r="EA24" s="154"/>
      <c r="EB24" s="154"/>
      <c r="EC24" s="154"/>
      <c r="ED24" s="154"/>
      <c r="EE24" s="154"/>
      <c r="EF24" s="154"/>
      <c r="EG24" s="154"/>
      <c r="EH24" s="154"/>
      <c r="EI24" s="154"/>
      <c r="EJ24" s="154"/>
      <c r="EK24" s="154"/>
      <c r="EL24" s="154"/>
      <c r="EM24" s="154"/>
      <c r="EN24" s="154"/>
      <c r="EO24" s="154"/>
      <c r="EP24" s="154"/>
      <c r="EQ24" s="154"/>
      <c r="ER24" s="154"/>
      <c r="ES24" s="154"/>
      <c r="ET24" s="154"/>
      <c r="EU24" s="154"/>
      <c r="EV24" s="154"/>
      <c r="EW24" s="154"/>
      <c r="EX24" s="154"/>
      <c r="EY24" s="154"/>
      <c r="EZ24" s="154"/>
      <c r="FA24" s="154"/>
      <c r="FB24" s="154"/>
      <c r="FC24" s="154"/>
      <c r="FD24" s="154"/>
      <c r="FE24" s="154"/>
      <c r="FF24" s="154"/>
      <c r="FG24" s="154"/>
      <c r="FH24" s="154"/>
      <c r="FI24" s="154"/>
      <c r="FJ24" s="154"/>
      <c r="FK24" s="154"/>
      <c r="FL24" s="154"/>
      <c r="FM24" s="154"/>
      <c r="FN24" s="154"/>
      <c r="FO24" s="154"/>
      <c r="FP24" s="154"/>
      <c r="FQ24" s="154"/>
      <c r="FR24" s="154"/>
      <c r="FS24" s="154"/>
      <c r="FT24" s="154"/>
      <c r="FU24" s="154"/>
      <c r="FV24" s="154"/>
      <c r="FW24" s="154"/>
      <c r="FX24" s="154"/>
      <c r="FY24" s="154"/>
      <c r="FZ24" s="154"/>
      <c r="GA24" s="154"/>
      <c r="GB24" s="154"/>
      <c r="GC24" s="154"/>
      <c r="GD24" s="154"/>
      <c r="GE24" s="154"/>
      <c r="GF24" s="154"/>
      <c r="GG24" s="154"/>
      <c r="GH24" s="154"/>
      <c r="GI24" s="154"/>
      <c r="GJ24" s="154"/>
      <c r="GK24" s="154"/>
      <c r="GL24" s="154"/>
      <c r="GM24" s="154"/>
      <c r="GN24" s="154"/>
      <c r="GO24" s="154"/>
      <c r="GP24" s="154"/>
      <c r="GQ24" s="154"/>
      <c r="GR24" s="154"/>
      <c r="GS24" s="154"/>
      <c r="GT24" s="154"/>
      <c r="GU24" s="154"/>
      <c r="GV24" s="154"/>
      <c r="GW24" s="154"/>
      <c r="GX24" s="154"/>
      <c r="GY24" s="154"/>
      <c r="GZ24" s="154"/>
      <c r="HA24" s="154"/>
      <c r="HB24" s="154"/>
      <c r="HC24" s="154"/>
      <c r="HD24" s="154"/>
      <c r="HE24" s="154"/>
      <c r="HF24" s="154"/>
      <c r="HG24" s="154"/>
      <c r="HH24" s="154"/>
      <c r="HI24" s="154"/>
      <c r="HJ24" s="154"/>
      <c r="HK24" s="154"/>
      <c r="HL24" s="154"/>
      <c r="HM24" s="154"/>
      <c r="HN24" s="154"/>
      <c r="HO24" s="154"/>
      <c r="HP24" s="154"/>
      <c r="HQ24" s="154"/>
      <c r="HR24" s="154"/>
      <c r="HS24" s="154"/>
      <c r="HT24" s="154"/>
      <c r="HU24" s="154"/>
      <c r="HV24" s="154"/>
      <c r="HW24" s="154"/>
      <c r="HX24" s="154"/>
      <c r="HY24" s="154"/>
      <c r="HZ24" s="122"/>
    </row>
    <row r="25" spans="4:234" ht="6" customHeight="1">
      <c r="D25" s="120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54"/>
      <c r="BU25" s="154"/>
      <c r="BV25" s="154"/>
      <c r="BW25" s="154"/>
      <c r="BX25" s="154"/>
      <c r="BY25" s="154"/>
      <c r="BZ25" s="154"/>
      <c r="CA25" s="154"/>
      <c r="CB25" s="154"/>
      <c r="CC25" s="154"/>
      <c r="CD25" s="154"/>
      <c r="CE25" s="154"/>
      <c r="CF25" s="154"/>
      <c r="CG25" s="154"/>
      <c r="CH25" s="154"/>
      <c r="CI25" s="154"/>
      <c r="CJ25" s="154"/>
      <c r="CK25" s="154"/>
      <c r="CL25" s="154"/>
      <c r="CM25" s="154"/>
      <c r="CN25" s="154"/>
      <c r="CO25" s="154"/>
      <c r="CP25" s="154"/>
      <c r="CQ25" s="154"/>
      <c r="CR25" s="154"/>
      <c r="CS25" s="154"/>
      <c r="CT25" s="154"/>
      <c r="CU25" s="154"/>
      <c r="CV25" s="154"/>
      <c r="CW25" s="154"/>
      <c r="CX25" s="154"/>
      <c r="CY25" s="154"/>
      <c r="CZ25" s="154"/>
      <c r="DA25" s="154"/>
      <c r="DB25" s="154"/>
      <c r="DC25" s="154"/>
      <c r="DD25" s="154"/>
      <c r="DE25" s="154"/>
      <c r="DF25" s="154"/>
      <c r="DG25" s="154"/>
      <c r="DH25" s="154"/>
      <c r="DI25" s="154"/>
      <c r="DJ25" s="154"/>
      <c r="DK25" s="154"/>
      <c r="DL25" s="154"/>
      <c r="DM25" s="154"/>
      <c r="DN25" s="122"/>
      <c r="DP25" s="120"/>
      <c r="DQ25" s="154"/>
      <c r="DR25" s="154"/>
      <c r="DS25" s="154"/>
      <c r="DT25" s="154"/>
      <c r="DU25" s="154"/>
      <c r="DV25" s="154"/>
      <c r="DW25" s="154"/>
      <c r="DX25" s="154"/>
      <c r="DY25" s="154"/>
      <c r="DZ25" s="154"/>
      <c r="EA25" s="154"/>
      <c r="EB25" s="154"/>
      <c r="EC25" s="154"/>
      <c r="ED25" s="154"/>
      <c r="EE25" s="154"/>
      <c r="EF25" s="154"/>
      <c r="EG25" s="154"/>
      <c r="EH25" s="154"/>
      <c r="EI25" s="154"/>
      <c r="EJ25" s="154"/>
      <c r="EK25" s="154"/>
      <c r="EL25" s="154"/>
      <c r="EM25" s="154"/>
      <c r="EN25" s="154"/>
      <c r="EO25" s="154"/>
      <c r="EP25" s="154"/>
      <c r="EQ25" s="154"/>
      <c r="ER25" s="154"/>
      <c r="ES25" s="154"/>
      <c r="ET25" s="154"/>
      <c r="EU25" s="154"/>
      <c r="EV25" s="154"/>
      <c r="EW25" s="154"/>
      <c r="EX25" s="154"/>
      <c r="EY25" s="154"/>
      <c r="EZ25" s="154"/>
      <c r="FA25" s="154"/>
      <c r="FB25" s="154"/>
      <c r="FC25" s="154"/>
      <c r="FD25" s="154"/>
      <c r="FE25" s="154"/>
      <c r="FF25" s="154"/>
      <c r="FG25" s="154"/>
      <c r="FH25" s="154"/>
      <c r="FI25" s="154"/>
      <c r="FJ25" s="154"/>
      <c r="FK25" s="154"/>
      <c r="FL25" s="154"/>
      <c r="FM25" s="154"/>
      <c r="FN25" s="154"/>
      <c r="FO25" s="154"/>
      <c r="FP25" s="154"/>
      <c r="FQ25" s="154"/>
      <c r="FR25" s="154"/>
      <c r="FS25" s="154"/>
      <c r="FT25" s="154"/>
      <c r="FU25" s="154"/>
      <c r="FV25" s="154"/>
      <c r="FW25" s="154"/>
      <c r="FX25" s="154"/>
      <c r="FY25" s="154"/>
      <c r="FZ25" s="154"/>
      <c r="GA25" s="154"/>
      <c r="GB25" s="154"/>
      <c r="GC25" s="154"/>
      <c r="GD25" s="154"/>
      <c r="GE25" s="154"/>
      <c r="GF25" s="154"/>
      <c r="GG25" s="154"/>
      <c r="GH25" s="154"/>
      <c r="GI25" s="154"/>
      <c r="GJ25" s="154"/>
      <c r="GK25" s="154"/>
      <c r="GL25" s="154"/>
      <c r="GM25" s="154"/>
      <c r="GN25" s="154"/>
      <c r="GO25" s="154"/>
      <c r="GP25" s="154"/>
      <c r="GQ25" s="154"/>
      <c r="GR25" s="154"/>
      <c r="GS25" s="154"/>
      <c r="GT25" s="154"/>
      <c r="GU25" s="154"/>
      <c r="GV25" s="154"/>
      <c r="GW25" s="154"/>
      <c r="GX25" s="154"/>
      <c r="GY25" s="154"/>
      <c r="GZ25" s="154"/>
      <c r="HA25" s="154"/>
      <c r="HB25" s="154"/>
      <c r="HC25" s="154"/>
      <c r="HD25" s="154"/>
      <c r="HE25" s="154"/>
      <c r="HF25" s="154"/>
      <c r="HG25" s="154"/>
      <c r="HH25" s="154"/>
      <c r="HI25" s="154"/>
      <c r="HJ25" s="154"/>
      <c r="HK25" s="154"/>
      <c r="HL25" s="154"/>
      <c r="HM25" s="154"/>
      <c r="HN25" s="154"/>
      <c r="HO25" s="154"/>
      <c r="HP25" s="154"/>
      <c r="HQ25" s="154"/>
      <c r="HR25" s="154"/>
      <c r="HS25" s="154"/>
      <c r="HT25" s="154"/>
      <c r="HU25" s="154"/>
      <c r="HV25" s="154"/>
      <c r="HW25" s="154"/>
      <c r="HX25" s="154"/>
      <c r="HY25" s="154"/>
      <c r="HZ25" s="122"/>
    </row>
    <row r="26" spans="4:234" ht="6" customHeight="1">
      <c r="D26" s="120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22"/>
      <c r="DP26" s="120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22"/>
    </row>
    <row r="27" spans="4:234" ht="6" customHeight="1">
      <c r="D27" s="120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22"/>
      <c r="DP27" s="120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22"/>
    </row>
    <row r="28" spans="4:234" ht="6" customHeight="1">
      <c r="D28" s="120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22"/>
      <c r="DP28" s="120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22"/>
    </row>
    <row r="29" spans="4:234" ht="6" customHeight="1">
      <c r="D29" s="120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22"/>
      <c r="DP29" s="120"/>
      <c r="DQ29" s="154"/>
      <c r="DR29" s="154"/>
      <c r="DS29" s="154"/>
      <c r="DT29" s="154"/>
      <c r="DU29" s="154"/>
      <c r="DV29" s="154"/>
      <c r="DW29" s="154"/>
      <c r="DX29" s="154"/>
      <c r="DY29" s="154"/>
      <c r="DZ29" s="154"/>
      <c r="EA29" s="154"/>
      <c r="EB29" s="154"/>
      <c r="EC29" s="154"/>
      <c r="ED29" s="154"/>
      <c r="EE29" s="154"/>
      <c r="EF29" s="154"/>
      <c r="EG29" s="154"/>
      <c r="EH29" s="154"/>
      <c r="EI29" s="154"/>
      <c r="EJ29" s="154"/>
      <c r="EK29" s="154"/>
      <c r="EL29" s="154"/>
      <c r="EM29" s="154"/>
      <c r="EN29" s="154"/>
      <c r="EO29" s="154"/>
      <c r="EP29" s="154"/>
      <c r="EQ29" s="154"/>
      <c r="ER29" s="154"/>
      <c r="ES29" s="154"/>
      <c r="ET29" s="154"/>
      <c r="EU29" s="154"/>
      <c r="EV29" s="154"/>
      <c r="EW29" s="154"/>
      <c r="EX29" s="154"/>
      <c r="EY29" s="154"/>
      <c r="EZ29" s="154"/>
      <c r="FA29" s="154"/>
      <c r="FB29" s="154"/>
      <c r="FC29" s="154"/>
      <c r="FD29" s="154"/>
      <c r="FE29" s="154"/>
      <c r="FF29" s="154"/>
      <c r="FG29" s="154"/>
      <c r="FH29" s="154"/>
      <c r="FI29" s="154"/>
      <c r="FJ29" s="154"/>
      <c r="FK29" s="154"/>
      <c r="FL29" s="154"/>
      <c r="FM29" s="154"/>
      <c r="FN29" s="154"/>
      <c r="FO29" s="154"/>
      <c r="FP29" s="154"/>
      <c r="FQ29" s="154"/>
      <c r="FR29" s="154"/>
      <c r="FS29" s="154"/>
      <c r="FT29" s="154"/>
      <c r="FU29" s="154"/>
      <c r="FV29" s="154"/>
      <c r="FW29" s="154"/>
      <c r="FX29" s="154"/>
      <c r="FY29" s="154"/>
      <c r="FZ29" s="154"/>
      <c r="GA29" s="154"/>
      <c r="GB29" s="154"/>
      <c r="GC29" s="154"/>
      <c r="GD29" s="154"/>
      <c r="GE29" s="154"/>
      <c r="GF29" s="154"/>
      <c r="GG29" s="154"/>
      <c r="GH29" s="154"/>
      <c r="GI29" s="154"/>
      <c r="GJ29" s="154"/>
      <c r="GK29" s="154"/>
      <c r="GL29" s="154"/>
      <c r="GM29" s="154"/>
      <c r="GN29" s="154"/>
      <c r="GO29" s="154"/>
      <c r="GP29" s="154"/>
      <c r="GQ29" s="154"/>
      <c r="GR29" s="154"/>
      <c r="GS29" s="154"/>
      <c r="GT29" s="154"/>
      <c r="GU29" s="154"/>
      <c r="GV29" s="154"/>
      <c r="GW29" s="154"/>
      <c r="GX29" s="154"/>
      <c r="GY29" s="154"/>
      <c r="GZ29" s="154"/>
      <c r="HA29" s="154"/>
      <c r="HB29" s="154"/>
      <c r="HC29" s="154"/>
      <c r="HD29" s="154"/>
      <c r="HE29" s="154"/>
      <c r="HF29" s="154"/>
      <c r="HG29" s="154"/>
      <c r="HH29" s="154"/>
      <c r="HI29" s="154"/>
      <c r="HJ29" s="154"/>
      <c r="HK29" s="154"/>
      <c r="HL29" s="154"/>
      <c r="HM29" s="154"/>
      <c r="HN29" s="154"/>
      <c r="HO29" s="154"/>
      <c r="HP29" s="154"/>
      <c r="HQ29" s="154"/>
      <c r="HR29" s="154"/>
      <c r="HS29" s="154"/>
      <c r="HT29" s="154"/>
      <c r="HU29" s="154"/>
      <c r="HV29" s="154"/>
      <c r="HW29" s="154"/>
      <c r="HX29" s="154"/>
      <c r="HY29" s="154"/>
      <c r="HZ29" s="122"/>
    </row>
    <row r="30" spans="4:234" ht="6" customHeight="1">
      <c r="D30" s="120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22"/>
      <c r="DP30" s="120"/>
      <c r="DQ30" s="154"/>
      <c r="DR30" s="154"/>
      <c r="DS30" s="154"/>
      <c r="DT30" s="154"/>
      <c r="DU30" s="154"/>
      <c r="DV30" s="154"/>
      <c r="DW30" s="154"/>
      <c r="DX30" s="154"/>
      <c r="DY30" s="154"/>
      <c r="DZ30" s="154"/>
      <c r="EA30" s="154"/>
      <c r="EB30" s="154"/>
      <c r="EC30" s="154"/>
      <c r="ED30" s="154"/>
      <c r="EE30" s="154"/>
      <c r="EF30" s="154"/>
      <c r="EG30" s="154"/>
      <c r="EH30" s="154"/>
      <c r="EI30" s="154"/>
      <c r="EJ30" s="154"/>
      <c r="EK30" s="154"/>
      <c r="EL30" s="154"/>
      <c r="EM30" s="154"/>
      <c r="EN30" s="154"/>
      <c r="EO30" s="154"/>
      <c r="EP30" s="154"/>
      <c r="EQ30" s="154"/>
      <c r="ER30" s="154"/>
      <c r="ES30" s="154"/>
      <c r="ET30" s="154"/>
      <c r="EU30" s="154"/>
      <c r="EV30" s="154"/>
      <c r="EW30" s="154"/>
      <c r="EX30" s="154"/>
      <c r="EY30" s="154"/>
      <c r="EZ30" s="154"/>
      <c r="FA30" s="154"/>
      <c r="FB30" s="154"/>
      <c r="FC30" s="154"/>
      <c r="FD30" s="154"/>
      <c r="FE30" s="154"/>
      <c r="FF30" s="154"/>
      <c r="FG30" s="154"/>
      <c r="FH30" s="154"/>
      <c r="FI30" s="154"/>
      <c r="FJ30" s="154"/>
      <c r="FK30" s="154"/>
      <c r="FL30" s="154"/>
      <c r="FM30" s="154"/>
      <c r="FN30" s="154"/>
      <c r="FO30" s="154"/>
      <c r="FP30" s="154"/>
      <c r="FQ30" s="154"/>
      <c r="FR30" s="154"/>
      <c r="FS30" s="154"/>
      <c r="FT30" s="154"/>
      <c r="FU30" s="154"/>
      <c r="FV30" s="154"/>
      <c r="FW30" s="154"/>
      <c r="FX30" s="154"/>
      <c r="FY30" s="154"/>
      <c r="FZ30" s="154"/>
      <c r="GA30" s="154"/>
      <c r="GB30" s="154"/>
      <c r="GC30" s="154"/>
      <c r="GD30" s="154"/>
      <c r="GE30" s="154"/>
      <c r="GF30" s="154"/>
      <c r="GG30" s="154"/>
      <c r="GH30" s="154"/>
      <c r="GI30" s="154"/>
      <c r="GJ30" s="154"/>
      <c r="GK30" s="154"/>
      <c r="GL30" s="154"/>
      <c r="GM30" s="154"/>
      <c r="GN30" s="154"/>
      <c r="GO30" s="154"/>
      <c r="GP30" s="154"/>
      <c r="GQ30" s="154"/>
      <c r="GR30" s="154"/>
      <c r="GS30" s="154"/>
      <c r="GT30" s="154"/>
      <c r="GU30" s="154"/>
      <c r="GV30" s="154"/>
      <c r="GW30" s="154"/>
      <c r="GX30" s="154"/>
      <c r="GY30" s="154"/>
      <c r="GZ30" s="154"/>
      <c r="HA30" s="154"/>
      <c r="HB30" s="154"/>
      <c r="HC30" s="154"/>
      <c r="HD30" s="154"/>
      <c r="HE30" s="154"/>
      <c r="HF30" s="154"/>
      <c r="HG30" s="154"/>
      <c r="HH30" s="154"/>
      <c r="HI30" s="154"/>
      <c r="HJ30" s="154"/>
      <c r="HK30" s="154"/>
      <c r="HL30" s="154"/>
      <c r="HM30" s="154"/>
      <c r="HN30" s="154"/>
      <c r="HO30" s="154"/>
      <c r="HP30" s="154"/>
      <c r="HQ30" s="154"/>
      <c r="HR30" s="154"/>
      <c r="HS30" s="154"/>
      <c r="HT30" s="154"/>
      <c r="HU30" s="154"/>
      <c r="HV30" s="154"/>
      <c r="HW30" s="154"/>
      <c r="HX30" s="154"/>
      <c r="HY30" s="154"/>
      <c r="HZ30" s="122"/>
    </row>
    <row r="31" spans="4:234" ht="6" customHeight="1">
      <c r="D31" s="120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4"/>
      <c r="BS31" s="154"/>
      <c r="BT31" s="154"/>
      <c r="BU31" s="154"/>
      <c r="BV31" s="154"/>
      <c r="BW31" s="154"/>
      <c r="BX31" s="154"/>
      <c r="BY31" s="154"/>
      <c r="BZ31" s="154"/>
      <c r="CA31" s="154"/>
      <c r="CB31" s="154"/>
      <c r="CC31" s="154"/>
      <c r="CD31" s="154"/>
      <c r="CE31" s="154"/>
      <c r="CF31" s="154"/>
      <c r="CG31" s="154"/>
      <c r="CH31" s="154"/>
      <c r="CI31" s="154"/>
      <c r="CJ31" s="154"/>
      <c r="CK31" s="154"/>
      <c r="CL31" s="154"/>
      <c r="CM31" s="154"/>
      <c r="CN31" s="154"/>
      <c r="CO31" s="154"/>
      <c r="CP31" s="154"/>
      <c r="CQ31" s="154"/>
      <c r="CR31" s="154"/>
      <c r="CS31" s="154"/>
      <c r="CT31" s="154"/>
      <c r="CU31" s="154"/>
      <c r="CV31" s="154"/>
      <c r="CW31" s="154"/>
      <c r="CX31" s="154"/>
      <c r="CY31" s="154"/>
      <c r="CZ31" s="154"/>
      <c r="DA31" s="154"/>
      <c r="DB31" s="154"/>
      <c r="DC31" s="154"/>
      <c r="DD31" s="154"/>
      <c r="DE31" s="154"/>
      <c r="DF31" s="154"/>
      <c r="DG31" s="154"/>
      <c r="DH31" s="154"/>
      <c r="DI31" s="154"/>
      <c r="DJ31" s="154"/>
      <c r="DK31" s="154"/>
      <c r="DL31" s="154"/>
      <c r="DM31" s="154"/>
      <c r="DN31" s="122"/>
      <c r="DP31" s="120"/>
      <c r="DQ31" s="154"/>
      <c r="DR31" s="154"/>
      <c r="DS31" s="154"/>
      <c r="DT31" s="154"/>
      <c r="DU31" s="154"/>
      <c r="DV31" s="154"/>
      <c r="DW31" s="154"/>
      <c r="DX31" s="154"/>
      <c r="DY31" s="154"/>
      <c r="DZ31" s="154"/>
      <c r="EA31" s="154"/>
      <c r="EB31" s="154"/>
      <c r="EC31" s="154"/>
      <c r="ED31" s="154"/>
      <c r="EE31" s="154"/>
      <c r="EF31" s="154"/>
      <c r="EG31" s="154"/>
      <c r="EH31" s="154"/>
      <c r="EI31" s="154"/>
      <c r="EJ31" s="154"/>
      <c r="EK31" s="154"/>
      <c r="EL31" s="154"/>
      <c r="EM31" s="154"/>
      <c r="EN31" s="154"/>
      <c r="EO31" s="154"/>
      <c r="EP31" s="154"/>
      <c r="EQ31" s="154"/>
      <c r="ER31" s="154"/>
      <c r="ES31" s="154"/>
      <c r="ET31" s="154"/>
      <c r="EU31" s="154"/>
      <c r="EV31" s="154"/>
      <c r="EW31" s="154"/>
      <c r="EX31" s="154"/>
      <c r="EY31" s="154"/>
      <c r="EZ31" s="154"/>
      <c r="FA31" s="154"/>
      <c r="FB31" s="154"/>
      <c r="FC31" s="154"/>
      <c r="FD31" s="154"/>
      <c r="FE31" s="154"/>
      <c r="FF31" s="154"/>
      <c r="FG31" s="154"/>
      <c r="FH31" s="154"/>
      <c r="FI31" s="154"/>
      <c r="FJ31" s="154"/>
      <c r="FK31" s="154"/>
      <c r="FL31" s="154"/>
      <c r="FM31" s="154"/>
      <c r="FN31" s="154"/>
      <c r="FO31" s="154"/>
      <c r="FP31" s="154"/>
      <c r="FQ31" s="154"/>
      <c r="FR31" s="154"/>
      <c r="FS31" s="154"/>
      <c r="FT31" s="154"/>
      <c r="FU31" s="154"/>
      <c r="FV31" s="154"/>
      <c r="FW31" s="154"/>
      <c r="FX31" s="154"/>
      <c r="FY31" s="154"/>
      <c r="FZ31" s="154"/>
      <c r="GA31" s="154"/>
      <c r="GB31" s="154"/>
      <c r="GC31" s="154"/>
      <c r="GD31" s="154"/>
      <c r="GE31" s="154"/>
      <c r="GF31" s="154"/>
      <c r="GG31" s="154"/>
      <c r="GH31" s="154"/>
      <c r="GI31" s="154"/>
      <c r="GJ31" s="154"/>
      <c r="GK31" s="154"/>
      <c r="GL31" s="154"/>
      <c r="GM31" s="154"/>
      <c r="GN31" s="154"/>
      <c r="GO31" s="154"/>
      <c r="GP31" s="154"/>
      <c r="GQ31" s="154"/>
      <c r="GR31" s="154"/>
      <c r="GS31" s="154"/>
      <c r="GT31" s="154"/>
      <c r="GU31" s="154"/>
      <c r="GV31" s="154"/>
      <c r="GW31" s="154"/>
      <c r="GX31" s="154"/>
      <c r="GY31" s="154"/>
      <c r="GZ31" s="154"/>
      <c r="HA31" s="154"/>
      <c r="HB31" s="154"/>
      <c r="HC31" s="154"/>
      <c r="HD31" s="154"/>
      <c r="HE31" s="154"/>
      <c r="HF31" s="154"/>
      <c r="HG31" s="154"/>
      <c r="HH31" s="154"/>
      <c r="HI31" s="154"/>
      <c r="HJ31" s="154"/>
      <c r="HK31" s="154"/>
      <c r="HL31" s="154"/>
      <c r="HM31" s="154"/>
      <c r="HN31" s="154"/>
      <c r="HO31" s="154"/>
      <c r="HP31" s="154"/>
      <c r="HQ31" s="154"/>
      <c r="HR31" s="154"/>
      <c r="HS31" s="154"/>
      <c r="HT31" s="154"/>
      <c r="HU31" s="154"/>
      <c r="HV31" s="154"/>
      <c r="HW31" s="154"/>
      <c r="HX31" s="154"/>
      <c r="HY31" s="154"/>
      <c r="HZ31" s="122"/>
    </row>
    <row r="32" spans="4:234" ht="6" customHeight="1">
      <c r="D32" s="120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4"/>
      <c r="CP32" s="154"/>
      <c r="CQ32" s="154"/>
      <c r="CR32" s="154"/>
      <c r="CS32" s="154"/>
      <c r="CT32" s="154"/>
      <c r="CU32" s="154"/>
      <c r="CV32" s="154"/>
      <c r="CW32" s="154"/>
      <c r="CX32" s="154"/>
      <c r="CY32" s="154"/>
      <c r="CZ32" s="154"/>
      <c r="DA32" s="154"/>
      <c r="DB32" s="154"/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22"/>
      <c r="DP32" s="120"/>
      <c r="DQ32" s="154"/>
      <c r="DR32" s="154"/>
      <c r="DS32" s="154"/>
      <c r="DT32" s="154"/>
      <c r="DU32" s="154"/>
      <c r="DV32" s="154"/>
      <c r="DW32" s="154"/>
      <c r="DX32" s="154"/>
      <c r="DY32" s="154"/>
      <c r="DZ32" s="154"/>
      <c r="EA32" s="154"/>
      <c r="EB32" s="154"/>
      <c r="EC32" s="154"/>
      <c r="ED32" s="154"/>
      <c r="EE32" s="154"/>
      <c r="EF32" s="154"/>
      <c r="EG32" s="154"/>
      <c r="EH32" s="154"/>
      <c r="EI32" s="154"/>
      <c r="EJ32" s="154"/>
      <c r="EK32" s="154"/>
      <c r="EL32" s="154"/>
      <c r="EM32" s="154"/>
      <c r="EN32" s="154"/>
      <c r="EO32" s="154"/>
      <c r="EP32" s="154"/>
      <c r="EQ32" s="154"/>
      <c r="ER32" s="154"/>
      <c r="ES32" s="154"/>
      <c r="ET32" s="154"/>
      <c r="EU32" s="154"/>
      <c r="EV32" s="154"/>
      <c r="EW32" s="154"/>
      <c r="EX32" s="154"/>
      <c r="EY32" s="154"/>
      <c r="EZ32" s="154"/>
      <c r="FA32" s="154"/>
      <c r="FB32" s="154"/>
      <c r="FC32" s="154"/>
      <c r="FD32" s="154"/>
      <c r="FE32" s="154"/>
      <c r="FF32" s="154"/>
      <c r="FG32" s="154"/>
      <c r="FH32" s="154"/>
      <c r="FI32" s="154"/>
      <c r="FJ32" s="154"/>
      <c r="FK32" s="154"/>
      <c r="FL32" s="154"/>
      <c r="FM32" s="154"/>
      <c r="FN32" s="154"/>
      <c r="FO32" s="154"/>
      <c r="FP32" s="154"/>
      <c r="FQ32" s="154"/>
      <c r="FR32" s="154"/>
      <c r="FS32" s="154"/>
      <c r="FT32" s="154"/>
      <c r="FU32" s="154"/>
      <c r="FV32" s="154"/>
      <c r="FW32" s="154"/>
      <c r="FX32" s="154"/>
      <c r="FY32" s="154"/>
      <c r="FZ32" s="154"/>
      <c r="GA32" s="154"/>
      <c r="GB32" s="154"/>
      <c r="GC32" s="154"/>
      <c r="GD32" s="154"/>
      <c r="GE32" s="154"/>
      <c r="GF32" s="154"/>
      <c r="GG32" s="154"/>
      <c r="GH32" s="154"/>
      <c r="GI32" s="154"/>
      <c r="GJ32" s="154"/>
      <c r="GK32" s="154"/>
      <c r="GL32" s="154"/>
      <c r="GM32" s="154"/>
      <c r="GN32" s="154"/>
      <c r="GO32" s="154"/>
      <c r="GP32" s="154"/>
      <c r="GQ32" s="154"/>
      <c r="GR32" s="154"/>
      <c r="GS32" s="154"/>
      <c r="GT32" s="154"/>
      <c r="GU32" s="154"/>
      <c r="GV32" s="154"/>
      <c r="GW32" s="154"/>
      <c r="GX32" s="154"/>
      <c r="GY32" s="154"/>
      <c r="GZ32" s="154"/>
      <c r="HA32" s="154"/>
      <c r="HB32" s="154"/>
      <c r="HC32" s="154"/>
      <c r="HD32" s="154"/>
      <c r="HE32" s="154"/>
      <c r="HF32" s="154"/>
      <c r="HG32" s="154"/>
      <c r="HH32" s="154"/>
      <c r="HI32" s="154"/>
      <c r="HJ32" s="154"/>
      <c r="HK32" s="154"/>
      <c r="HL32" s="154"/>
      <c r="HM32" s="154"/>
      <c r="HN32" s="154"/>
      <c r="HO32" s="154"/>
      <c r="HP32" s="154"/>
      <c r="HQ32" s="154"/>
      <c r="HR32" s="154"/>
      <c r="HS32" s="154"/>
      <c r="HT32" s="154"/>
      <c r="HU32" s="154"/>
      <c r="HV32" s="154"/>
      <c r="HW32" s="154"/>
      <c r="HX32" s="154"/>
      <c r="HY32" s="154"/>
      <c r="HZ32" s="122"/>
    </row>
    <row r="33" spans="4:234" ht="6" customHeight="1">
      <c r="D33" s="120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  <c r="DI33" s="154"/>
      <c r="DJ33" s="154"/>
      <c r="DK33" s="154"/>
      <c r="DL33" s="154"/>
      <c r="DM33" s="154"/>
      <c r="DN33" s="122"/>
      <c r="DP33" s="120"/>
      <c r="DQ33" s="154"/>
      <c r="DR33" s="154"/>
      <c r="DS33" s="154"/>
      <c r="DT33" s="154"/>
      <c r="DU33" s="154"/>
      <c r="DV33" s="154"/>
      <c r="DW33" s="154"/>
      <c r="DX33" s="154"/>
      <c r="DY33" s="154"/>
      <c r="DZ33" s="154"/>
      <c r="EA33" s="154"/>
      <c r="EB33" s="154"/>
      <c r="EC33" s="154"/>
      <c r="ED33" s="154"/>
      <c r="EE33" s="154"/>
      <c r="EF33" s="154"/>
      <c r="EG33" s="154"/>
      <c r="EH33" s="154"/>
      <c r="EI33" s="154"/>
      <c r="EJ33" s="154"/>
      <c r="EK33" s="154"/>
      <c r="EL33" s="154"/>
      <c r="EM33" s="154"/>
      <c r="EN33" s="154"/>
      <c r="EO33" s="154"/>
      <c r="EP33" s="154"/>
      <c r="EQ33" s="154"/>
      <c r="ER33" s="154"/>
      <c r="ES33" s="154"/>
      <c r="ET33" s="154"/>
      <c r="EU33" s="154"/>
      <c r="EV33" s="154"/>
      <c r="EW33" s="154"/>
      <c r="EX33" s="154"/>
      <c r="EY33" s="154"/>
      <c r="EZ33" s="154"/>
      <c r="FA33" s="154"/>
      <c r="FB33" s="154"/>
      <c r="FC33" s="154"/>
      <c r="FD33" s="154"/>
      <c r="FE33" s="154"/>
      <c r="FF33" s="154"/>
      <c r="FG33" s="154"/>
      <c r="FH33" s="154"/>
      <c r="FI33" s="154"/>
      <c r="FJ33" s="154"/>
      <c r="FK33" s="154"/>
      <c r="FL33" s="154"/>
      <c r="FM33" s="154"/>
      <c r="FN33" s="154"/>
      <c r="FO33" s="154"/>
      <c r="FP33" s="154"/>
      <c r="FQ33" s="154"/>
      <c r="FR33" s="154"/>
      <c r="FS33" s="154"/>
      <c r="FT33" s="154"/>
      <c r="FU33" s="154"/>
      <c r="FV33" s="154"/>
      <c r="FW33" s="154"/>
      <c r="FX33" s="154"/>
      <c r="FY33" s="154"/>
      <c r="FZ33" s="154"/>
      <c r="GA33" s="154"/>
      <c r="GB33" s="154"/>
      <c r="GC33" s="154"/>
      <c r="GD33" s="154"/>
      <c r="GE33" s="154"/>
      <c r="GF33" s="154"/>
      <c r="GG33" s="154"/>
      <c r="GH33" s="154"/>
      <c r="GI33" s="154"/>
      <c r="GJ33" s="154"/>
      <c r="GK33" s="154"/>
      <c r="GL33" s="154"/>
      <c r="GM33" s="154"/>
      <c r="GN33" s="154"/>
      <c r="GO33" s="154"/>
      <c r="GP33" s="154"/>
      <c r="GQ33" s="154"/>
      <c r="GR33" s="154"/>
      <c r="GS33" s="154"/>
      <c r="GT33" s="154"/>
      <c r="GU33" s="154"/>
      <c r="GV33" s="154"/>
      <c r="GW33" s="154"/>
      <c r="GX33" s="154"/>
      <c r="GY33" s="154"/>
      <c r="GZ33" s="154"/>
      <c r="HA33" s="154"/>
      <c r="HB33" s="154"/>
      <c r="HC33" s="154"/>
      <c r="HD33" s="154"/>
      <c r="HE33" s="154"/>
      <c r="HF33" s="154"/>
      <c r="HG33" s="154"/>
      <c r="HH33" s="154"/>
      <c r="HI33" s="154"/>
      <c r="HJ33" s="154"/>
      <c r="HK33" s="154"/>
      <c r="HL33" s="154"/>
      <c r="HM33" s="154"/>
      <c r="HN33" s="154"/>
      <c r="HO33" s="154"/>
      <c r="HP33" s="154"/>
      <c r="HQ33" s="154"/>
      <c r="HR33" s="154"/>
      <c r="HS33" s="154"/>
      <c r="HT33" s="154"/>
      <c r="HU33" s="154"/>
      <c r="HV33" s="154"/>
      <c r="HW33" s="154"/>
      <c r="HX33" s="154"/>
      <c r="HY33" s="154"/>
      <c r="HZ33" s="122"/>
    </row>
    <row r="34" spans="4:234" ht="6" customHeight="1">
      <c r="D34" s="120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  <c r="CB34" s="154"/>
      <c r="CC34" s="154"/>
      <c r="CD34" s="154"/>
      <c r="CE34" s="154"/>
      <c r="CF34" s="154"/>
      <c r="CG34" s="154"/>
      <c r="CH34" s="154"/>
      <c r="CI34" s="154"/>
      <c r="CJ34" s="154"/>
      <c r="CK34" s="154"/>
      <c r="CL34" s="154"/>
      <c r="CM34" s="154"/>
      <c r="CN34" s="154"/>
      <c r="CO34" s="154"/>
      <c r="CP34" s="154"/>
      <c r="CQ34" s="154"/>
      <c r="CR34" s="154"/>
      <c r="CS34" s="154"/>
      <c r="CT34" s="154"/>
      <c r="CU34" s="154"/>
      <c r="CV34" s="154"/>
      <c r="CW34" s="154"/>
      <c r="CX34" s="154"/>
      <c r="CY34" s="154"/>
      <c r="CZ34" s="154"/>
      <c r="DA34" s="154"/>
      <c r="DB34" s="154"/>
      <c r="DC34" s="154"/>
      <c r="DD34" s="154"/>
      <c r="DE34" s="154"/>
      <c r="DF34" s="154"/>
      <c r="DG34" s="154"/>
      <c r="DH34" s="154"/>
      <c r="DI34" s="154"/>
      <c r="DJ34" s="154"/>
      <c r="DK34" s="154"/>
      <c r="DL34" s="154"/>
      <c r="DM34" s="154"/>
      <c r="DN34" s="122"/>
      <c r="DP34" s="120"/>
      <c r="DQ34" s="154"/>
      <c r="DR34" s="154"/>
      <c r="DS34" s="154"/>
      <c r="DT34" s="154"/>
      <c r="DU34" s="154"/>
      <c r="DV34" s="154"/>
      <c r="DW34" s="154"/>
      <c r="DX34" s="154"/>
      <c r="DY34" s="154"/>
      <c r="DZ34" s="154"/>
      <c r="EA34" s="154"/>
      <c r="EB34" s="154"/>
      <c r="EC34" s="154"/>
      <c r="ED34" s="154"/>
      <c r="EE34" s="154"/>
      <c r="EF34" s="154"/>
      <c r="EG34" s="154"/>
      <c r="EH34" s="154"/>
      <c r="EI34" s="154"/>
      <c r="EJ34" s="154"/>
      <c r="EK34" s="154"/>
      <c r="EL34" s="154"/>
      <c r="EM34" s="154"/>
      <c r="EN34" s="154"/>
      <c r="EO34" s="154"/>
      <c r="EP34" s="154"/>
      <c r="EQ34" s="154"/>
      <c r="ER34" s="154"/>
      <c r="ES34" s="154"/>
      <c r="ET34" s="154"/>
      <c r="EU34" s="154"/>
      <c r="EV34" s="154"/>
      <c r="EW34" s="154"/>
      <c r="EX34" s="154"/>
      <c r="EY34" s="154"/>
      <c r="EZ34" s="154"/>
      <c r="FA34" s="154"/>
      <c r="FB34" s="154"/>
      <c r="FC34" s="154"/>
      <c r="FD34" s="154"/>
      <c r="FE34" s="154"/>
      <c r="FF34" s="154"/>
      <c r="FG34" s="154"/>
      <c r="FH34" s="154"/>
      <c r="FI34" s="154"/>
      <c r="FJ34" s="154"/>
      <c r="FK34" s="154"/>
      <c r="FL34" s="154"/>
      <c r="FM34" s="154"/>
      <c r="FN34" s="154"/>
      <c r="FO34" s="154"/>
      <c r="FP34" s="154"/>
      <c r="FQ34" s="154"/>
      <c r="FR34" s="154"/>
      <c r="FS34" s="154"/>
      <c r="FT34" s="154"/>
      <c r="FU34" s="154"/>
      <c r="FV34" s="154"/>
      <c r="FW34" s="154"/>
      <c r="FX34" s="154"/>
      <c r="FY34" s="154"/>
      <c r="FZ34" s="154"/>
      <c r="GA34" s="154"/>
      <c r="GB34" s="154"/>
      <c r="GC34" s="154"/>
      <c r="GD34" s="154"/>
      <c r="GE34" s="154"/>
      <c r="GF34" s="154"/>
      <c r="GG34" s="154"/>
      <c r="GH34" s="154"/>
      <c r="GI34" s="154"/>
      <c r="GJ34" s="154"/>
      <c r="GK34" s="154"/>
      <c r="GL34" s="154"/>
      <c r="GM34" s="154"/>
      <c r="GN34" s="154"/>
      <c r="GO34" s="154"/>
      <c r="GP34" s="154"/>
      <c r="GQ34" s="154"/>
      <c r="GR34" s="154"/>
      <c r="GS34" s="154"/>
      <c r="GT34" s="154"/>
      <c r="GU34" s="154"/>
      <c r="GV34" s="154"/>
      <c r="GW34" s="154"/>
      <c r="GX34" s="154"/>
      <c r="GY34" s="154"/>
      <c r="GZ34" s="154"/>
      <c r="HA34" s="154"/>
      <c r="HB34" s="154"/>
      <c r="HC34" s="154"/>
      <c r="HD34" s="154"/>
      <c r="HE34" s="154"/>
      <c r="HF34" s="154"/>
      <c r="HG34" s="154"/>
      <c r="HH34" s="154"/>
      <c r="HI34" s="154"/>
      <c r="HJ34" s="154"/>
      <c r="HK34" s="154"/>
      <c r="HL34" s="154"/>
      <c r="HM34" s="154"/>
      <c r="HN34" s="154"/>
      <c r="HO34" s="154"/>
      <c r="HP34" s="154"/>
      <c r="HQ34" s="154"/>
      <c r="HR34" s="154"/>
      <c r="HS34" s="154"/>
      <c r="HT34" s="154"/>
      <c r="HU34" s="154"/>
      <c r="HV34" s="154"/>
      <c r="HW34" s="154"/>
      <c r="HX34" s="154"/>
      <c r="HY34" s="154"/>
      <c r="HZ34" s="122"/>
    </row>
    <row r="35" spans="4:234" ht="6" customHeight="1">
      <c r="D35" s="120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  <c r="DI35" s="154"/>
      <c r="DJ35" s="154"/>
      <c r="DK35" s="154"/>
      <c r="DL35" s="154"/>
      <c r="DM35" s="154"/>
      <c r="DN35" s="122"/>
      <c r="DP35" s="120"/>
      <c r="DQ35" s="154"/>
      <c r="DR35" s="154"/>
      <c r="DS35" s="154"/>
      <c r="DT35" s="154"/>
      <c r="DU35" s="154"/>
      <c r="DV35" s="154"/>
      <c r="DW35" s="154"/>
      <c r="DX35" s="154"/>
      <c r="DY35" s="154"/>
      <c r="DZ35" s="154"/>
      <c r="EA35" s="154"/>
      <c r="EB35" s="154"/>
      <c r="EC35" s="154"/>
      <c r="ED35" s="154"/>
      <c r="EE35" s="154"/>
      <c r="EF35" s="154"/>
      <c r="EG35" s="154"/>
      <c r="EH35" s="154"/>
      <c r="EI35" s="154"/>
      <c r="EJ35" s="154"/>
      <c r="EK35" s="154"/>
      <c r="EL35" s="154"/>
      <c r="EM35" s="154"/>
      <c r="EN35" s="154"/>
      <c r="EO35" s="154"/>
      <c r="EP35" s="154"/>
      <c r="EQ35" s="154"/>
      <c r="ER35" s="154"/>
      <c r="ES35" s="154"/>
      <c r="ET35" s="154"/>
      <c r="EU35" s="154"/>
      <c r="EV35" s="154"/>
      <c r="EW35" s="154"/>
      <c r="EX35" s="154"/>
      <c r="EY35" s="154"/>
      <c r="EZ35" s="154"/>
      <c r="FA35" s="154"/>
      <c r="FB35" s="154"/>
      <c r="FC35" s="154"/>
      <c r="FD35" s="154"/>
      <c r="FE35" s="154"/>
      <c r="FF35" s="154"/>
      <c r="FG35" s="154"/>
      <c r="FH35" s="154"/>
      <c r="FI35" s="154"/>
      <c r="FJ35" s="154"/>
      <c r="FK35" s="154"/>
      <c r="FL35" s="154"/>
      <c r="FM35" s="154"/>
      <c r="FN35" s="154"/>
      <c r="FO35" s="154"/>
      <c r="FP35" s="154"/>
      <c r="FQ35" s="154"/>
      <c r="FR35" s="154"/>
      <c r="FS35" s="154"/>
      <c r="FT35" s="154"/>
      <c r="FU35" s="154"/>
      <c r="FV35" s="154"/>
      <c r="FW35" s="154"/>
      <c r="FX35" s="154"/>
      <c r="FY35" s="154"/>
      <c r="FZ35" s="154"/>
      <c r="GA35" s="154"/>
      <c r="GB35" s="154"/>
      <c r="GC35" s="154"/>
      <c r="GD35" s="154"/>
      <c r="GE35" s="154"/>
      <c r="GF35" s="154"/>
      <c r="GG35" s="154"/>
      <c r="GH35" s="154"/>
      <c r="GI35" s="154"/>
      <c r="GJ35" s="154"/>
      <c r="GK35" s="154"/>
      <c r="GL35" s="154"/>
      <c r="GM35" s="154"/>
      <c r="GN35" s="154"/>
      <c r="GO35" s="154"/>
      <c r="GP35" s="154"/>
      <c r="GQ35" s="154"/>
      <c r="GR35" s="154"/>
      <c r="GS35" s="154"/>
      <c r="GT35" s="154"/>
      <c r="GU35" s="154"/>
      <c r="GV35" s="154"/>
      <c r="GW35" s="154"/>
      <c r="GX35" s="154"/>
      <c r="GY35" s="154"/>
      <c r="GZ35" s="154"/>
      <c r="HA35" s="154"/>
      <c r="HB35" s="154"/>
      <c r="HC35" s="154"/>
      <c r="HD35" s="154"/>
      <c r="HE35" s="154"/>
      <c r="HF35" s="154"/>
      <c r="HG35" s="154"/>
      <c r="HH35" s="154"/>
      <c r="HI35" s="154"/>
      <c r="HJ35" s="154"/>
      <c r="HK35" s="154"/>
      <c r="HL35" s="154"/>
      <c r="HM35" s="154"/>
      <c r="HN35" s="154"/>
      <c r="HO35" s="154"/>
      <c r="HP35" s="154"/>
      <c r="HQ35" s="154"/>
      <c r="HR35" s="154"/>
      <c r="HS35" s="154"/>
      <c r="HT35" s="154"/>
      <c r="HU35" s="154"/>
      <c r="HV35" s="154"/>
      <c r="HW35" s="154"/>
      <c r="HX35" s="154"/>
      <c r="HY35" s="154"/>
      <c r="HZ35" s="122"/>
    </row>
    <row r="36" spans="4:234" ht="6" customHeight="1">
      <c r="D36" s="120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54"/>
      <c r="BU36" s="154"/>
      <c r="BV36" s="154"/>
      <c r="BW36" s="154"/>
      <c r="BX36" s="154"/>
      <c r="BY36" s="154"/>
      <c r="BZ36" s="154"/>
      <c r="CA36" s="154"/>
      <c r="CB36" s="154"/>
      <c r="CC36" s="154"/>
      <c r="CD36" s="154"/>
      <c r="CE36" s="154"/>
      <c r="CF36" s="154"/>
      <c r="CG36" s="154"/>
      <c r="CH36" s="154"/>
      <c r="CI36" s="154"/>
      <c r="CJ36" s="154"/>
      <c r="CK36" s="154"/>
      <c r="CL36" s="154"/>
      <c r="CM36" s="154"/>
      <c r="CN36" s="154"/>
      <c r="CO36" s="154"/>
      <c r="CP36" s="154"/>
      <c r="CQ36" s="154"/>
      <c r="CR36" s="154"/>
      <c r="CS36" s="154"/>
      <c r="CT36" s="154"/>
      <c r="CU36" s="154"/>
      <c r="CV36" s="154"/>
      <c r="CW36" s="154"/>
      <c r="CX36" s="154"/>
      <c r="CY36" s="154"/>
      <c r="CZ36" s="154"/>
      <c r="DA36" s="154"/>
      <c r="DB36" s="154"/>
      <c r="DC36" s="154"/>
      <c r="DD36" s="154"/>
      <c r="DE36" s="154"/>
      <c r="DF36" s="154"/>
      <c r="DG36" s="154"/>
      <c r="DH36" s="154"/>
      <c r="DI36" s="154"/>
      <c r="DJ36" s="154"/>
      <c r="DK36" s="154"/>
      <c r="DL36" s="154"/>
      <c r="DM36" s="154"/>
      <c r="DN36" s="122"/>
      <c r="DP36" s="120"/>
      <c r="DQ36" s="154"/>
      <c r="DR36" s="154"/>
      <c r="DS36" s="154"/>
      <c r="DT36" s="154"/>
      <c r="DU36" s="154"/>
      <c r="DV36" s="154"/>
      <c r="DW36" s="154"/>
      <c r="DX36" s="154"/>
      <c r="DY36" s="154"/>
      <c r="DZ36" s="154"/>
      <c r="EA36" s="154"/>
      <c r="EB36" s="154"/>
      <c r="EC36" s="154"/>
      <c r="ED36" s="154"/>
      <c r="EE36" s="154"/>
      <c r="EF36" s="154"/>
      <c r="EG36" s="154"/>
      <c r="EH36" s="154"/>
      <c r="EI36" s="154"/>
      <c r="EJ36" s="154"/>
      <c r="EK36" s="154"/>
      <c r="EL36" s="154"/>
      <c r="EM36" s="154"/>
      <c r="EN36" s="154"/>
      <c r="EO36" s="154"/>
      <c r="EP36" s="154"/>
      <c r="EQ36" s="154"/>
      <c r="ER36" s="154"/>
      <c r="ES36" s="154"/>
      <c r="ET36" s="154"/>
      <c r="EU36" s="154"/>
      <c r="EV36" s="154"/>
      <c r="EW36" s="154"/>
      <c r="EX36" s="154"/>
      <c r="EY36" s="154"/>
      <c r="EZ36" s="154"/>
      <c r="FA36" s="154"/>
      <c r="FB36" s="154"/>
      <c r="FC36" s="154"/>
      <c r="FD36" s="154"/>
      <c r="FE36" s="154"/>
      <c r="FF36" s="154"/>
      <c r="FG36" s="154"/>
      <c r="FH36" s="154"/>
      <c r="FI36" s="154"/>
      <c r="FJ36" s="154"/>
      <c r="FK36" s="154"/>
      <c r="FL36" s="154"/>
      <c r="FM36" s="154"/>
      <c r="FN36" s="154"/>
      <c r="FO36" s="154"/>
      <c r="FP36" s="154"/>
      <c r="FQ36" s="154"/>
      <c r="FR36" s="154"/>
      <c r="FS36" s="154"/>
      <c r="FT36" s="154"/>
      <c r="FU36" s="154"/>
      <c r="FV36" s="154"/>
      <c r="FW36" s="154"/>
      <c r="FX36" s="154"/>
      <c r="FY36" s="154"/>
      <c r="FZ36" s="154"/>
      <c r="GA36" s="154"/>
      <c r="GB36" s="154"/>
      <c r="GC36" s="154"/>
      <c r="GD36" s="154"/>
      <c r="GE36" s="154"/>
      <c r="GF36" s="154"/>
      <c r="GG36" s="154"/>
      <c r="GH36" s="154"/>
      <c r="GI36" s="154"/>
      <c r="GJ36" s="154"/>
      <c r="GK36" s="154"/>
      <c r="GL36" s="154"/>
      <c r="GM36" s="154"/>
      <c r="GN36" s="154"/>
      <c r="GO36" s="154"/>
      <c r="GP36" s="154"/>
      <c r="GQ36" s="154"/>
      <c r="GR36" s="154"/>
      <c r="GS36" s="154"/>
      <c r="GT36" s="154"/>
      <c r="GU36" s="154"/>
      <c r="GV36" s="154"/>
      <c r="GW36" s="154"/>
      <c r="GX36" s="154"/>
      <c r="GY36" s="154"/>
      <c r="GZ36" s="154"/>
      <c r="HA36" s="154"/>
      <c r="HB36" s="154"/>
      <c r="HC36" s="154"/>
      <c r="HD36" s="154"/>
      <c r="HE36" s="154"/>
      <c r="HF36" s="154"/>
      <c r="HG36" s="154"/>
      <c r="HH36" s="154"/>
      <c r="HI36" s="154"/>
      <c r="HJ36" s="154"/>
      <c r="HK36" s="154"/>
      <c r="HL36" s="154"/>
      <c r="HM36" s="154"/>
      <c r="HN36" s="154"/>
      <c r="HO36" s="154"/>
      <c r="HP36" s="154"/>
      <c r="HQ36" s="154"/>
      <c r="HR36" s="154"/>
      <c r="HS36" s="154"/>
      <c r="HT36" s="154"/>
      <c r="HU36" s="154"/>
      <c r="HV36" s="154"/>
      <c r="HW36" s="154"/>
      <c r="HX36" s="154"/>
      <c r="HY36" s="154"/>
      <c r="HZ36" s="122"/>
    </row>
    <row r="37" spans="4:234" ht="6" customHeight="1">
      <c r="D37" s="120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4"/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4"/>
      <c r="CH37" s="154"/>
      <c r="CI37" s="154"/>
      <c r="CJ37" s="154"/>
      <c r="CK37" s="154"/>
      <c r="CL37" s="154"/>
      <c r="CM37" s="154"/>
      <c r="CN37" s="154"/>
      <c r="CO37" s="154"/>
      <c r="CP37" s="154"/>
      <c r="CQ37" s="154"/>
      <c r="CR37" s="154"/>
      <c r="CS37" s="154"/>
      <c r="CT37" s="154"/>
      <c r="CU37" s="154"/>
      <c r="CV37" s="154"/>
      <c r="CW37" s="154"/>
      <c r="CX37" s="154"/>
      <c r="CY37" s="154"/>
      <c r="CZ37" s="154"/>
      <c r="DA37" s="154"/>
      <c r="DB37" s="154"/>
      <c r="DC37" s="154"/>
      <c r="DD37" s="154"/>
      <c r="DE37" s="154"/>
      <c r="DF37" s="154"/>
      <c r="DG37" s="154"/>
      <c r="DH37" s="154"/>
      <c r="DI37" s="154"/>
      <c r="DJ37" s="154"/>
      <c r="DK37" s="154"/>
      <c r="DL37" s="154"/>
      <c r="DM37" s="154"/>
      <c r="DN37" s="122"/>
      <c r="DP37" s="120"/>
      <c r="DQ37" s="154"/>
      <c r="DR37" s="154"/>
      <c r="DS37" s="154"/>
      <c r="DT37" s="154"/>
      <c r="DU37" s="154"/>
      <c r="DV37" s="154"/>
      <c r="DW37" s="154"/>
      <c r="DX37" s="154"/>
      <c r="DY37" s="154"/>
      <c r="DZ37" s="154"/>
      <c r="EA37" s="154"/>
      <c r="EB37" s="154"/>
      <c r="EC37" s="154"/>
      <c r="ED37" s="154"/>
      <c r="EE37" s="154"/>
      <c r="EF37" s="154"/>
      <c r="EG37" s="154"/>
      <c r="EH37" s="154"/>
      <c r="EI37" s="154"/>
      <c r="EJ37" s="154"/>
      <c r="EK37" s="154"/>
      <c r="EL37" s="154"/>
      <c r="EM37" s="154"/>
      <c r="EN37" s="154"/>
      <c r="EO37" s="154"/>
      <c r="EP37" s="154"/>
      <c r="EQ37" s="154"/>
      <c r="ER37" s="154"/>
      <c r="ES37" s="154"/>
      <c r="ET37" s="154"/>
      <c r="EU37" s="154"/>
      <c r="EV37" s="154"/>
      <c r="EW37" s="154"/>
      <c r="EX37" s="154"/>
      <c r="EY37" s="154"/>
      <c r="EZ37" s="154"/>
      <c r="FA37" s="154"/>
      <c r="FB37" s="154"/>
      <c r="FC37" s="154"/>
      <c r="FD37" s="154"/>
      <c r="FE37" s="154"/>
      <c r="FF37" s="154"/>
      <c r="FG37" s="154"/>
      <c r="FH37" s="154"/>
      <c r="FI37" s="154"/>
      <c r="FJ37" s="154"/>
      <c r="FK37" s="154"/>
      <c r="FL37" s="154"/>
      <c r="FM37" s="154"/>
      <c r="FN37" s="154"/>
      <c r="FO37" s="154"/>
      <c r="FP37" s="154"/>
      <c r="FQ37" s="154"/>
      <c r="FR37" s="154"/>
      <c r="FS37" s="154"/>
      <c r="FT37" s="154"/>
      <c r="FU37" s="154"/>
      <c r="FV37" s="154"/>
      <c r="FW37" s="154"/>
      <c r="FX37" s="154"/>
      <c r="FY37" s="154"/>
      <c r="FZ37" s="154"/>
      <c r="GA37" s="154"/>
      <c r="GB37" s="154"/>
      <c r="GC37" s="154"/>
      <c r="GD37" s="154"/>
      <c r="GE37" s="154"/>
      <c r="GF37" s="154"/>
      <c r="GG37" s="154"/>
      <c r="GH37" s="154"/>
      <c r="GI37" s="154"/>
      <c r="GJ37" s="154"/>
      <c r="GK37" s="154"/>
      <c r="GL37" s="154"/>
      <c r="GM37" s="154"/>
      <c r="GN37" s="154"/>
      <c r="GO37" s="154"/>
      <c r="GP37" s="154"/>
      <c r="GQ37" s="154"/>
      <c r="GR37" s="154"/>
      <c r="GS37" s="154"/>
      <c r="GT37" s="154"/>
      <c r="GU37" s="154"/>
      <c r="GV37" s="154"/>
      <c r="GW37" s="154"/>
      <c r="GX37" s="154"/>
      <c r="GY37" s="154"/>
      <c r="GZ37" s="154"/>
      <c r="HA37" s="154"/>
      <c r="HB37" s="154"/>
      <c r="HC37" s="154"/>
      <c r="HD37" s="154"/>
      <c r="HE37" s="154"/>
      <c r="HF37" s="154"/>
      <c r="HG37" s="154"/>
      <c r="HH37" s="154"/>
      <c r="HI37" s="154"/>
      <c r="HJ37" s="154"/>
      <c r="HK37" s="154"/>
      <c r="HL37" s="154"/>
      <c r="HM37" s="154"/>
      <c r="HN37" s="154"/>
      <c r="HO37" s="154"/>
      <c r="HP37" s="154"/>
      <c r="HQ37" s="154"/>
      <c r="HR37" s="154"/>
      <c r="HS37" s="154"/>
      <c r="HT37" s="154"/>
      <c r="HU37" s="154"/>
      <c r="HV37" s="154"/>
      <c r="HW37" s="154"/>
      <c r="HX37" s="154"/>
      <c r="HY37" s="154"/>
      <c r="HZ37" s="122"/>
    </row>
    <row r="38" spans="4:234" ht="6" customHeight="1">
      <c r="D38" s="120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154"/>
      <c r="BY38" s="154"/>
      <c r="BZ38" s="154"/>
      <c r="CA38" s="154"/>
      <c r="CB38" s="154"/>
      <c r="CC38" s="154"/>
      <c r="CD38" s="154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22"/>
      <c r="DP38" s="120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4"/>
      <c r="EU38" s="154"/>
      <c r="EV38" s="154"/>
      <c r="EW38" s="154"/>
      <c r="EX38" s="154"/>
      <c r="EY38" s="154"/>
      <c r="EZ38" s="154"/>
      <c r="FA38" s="154"/>
      <c r="FB38" s="154"/>
      <c r="FC38" s="154"/>
      <c r="FD38" s="154"/>
      <c r="FE38" s="154"/>
      <c r="FF38" s="154"/>
      <c r="FG38" s="154"/>
      <c r="FH38" s="154"/>
      <c r="FI38" s="154"/>
      <c r="FJ38" s="154"/>
      <c r="FK38" s="154"/>
      <c r="FL38" s="154"/>
      <c r="FM38" s="154"/>
      <c r="FN38" s="154"/>
      <c r="FO38" s="154"/>
      <c r="FP38" s="154"/>
      <c r="FQ38" s="154"/>
      <c r="FR38" s="154"/>
      <c r="FS38" s="154"/>
      <c r="FT38" s="154"/>
      <c r="FU38" s="154"/>
      <c r="FV38" s="154"/>
      <c r="FW38" s="154"/>
      <c r="FX38" s="154"/>
      <c r="FY38" s="154"/>
      <c r="FZ38" s="154"/>
      <c r="GA38" s="154"/>
      <c r="GB38" s="154"/>
      <c r="GC38" s="154"/>
      <c r="GD38" s="154"/>
      <c r="GE38" s="154"/>
      <c r="GF38" s="154"/>
      <c r="GG38" s="154"/>
      <c r="GH38" s="154"/>
      <c r="GI38" s="154"/>
      <c r="GJ38" s="154"/>
      <c r="GK38" s="154"/>
      <c r="GL38" s="154"/>
      <c r="GM38" s="154"/>
      <c r="GN38" s="154"/>
      <c r="GO38" s="154"/>
      <c r="GP38" s="154"/>
      <c r="GQ38" s="154"/>
      <c r="GR38" s="154"/>
      <c r="GS38" s="154"/>
      <c r="GT38" s="154"/>
      <c r="GU38" s="154"/>
      <c r="GV38" s="154"/>
      <c r="GW38" s="154"/>
      <c r="GX38" s="154"/>
      <c r="GY38" s="154"/>
      <c r="GZ38" s="154"/>
      <c r="HA38" s="154"/>
      <c r="HB38" s="154"/>
      <c r="HC38" s="154"/>
      <c r="HD38" s="154"/>
      <c r="HE38" s="154"/>
      <c r="HF38" s="154"/>
      <c r="HG38" s="154"/>
      <c r="HH38" s="154"/>
      <c r="HI38" s="154"/>
      <c r="HJ38" s="154"/>
      <c r="HK38" s="154"/>
      <c r="HL38" s="154"/>
      <c r="HM38" s="154"/>
      <c r="HN38" s="154"/>
      <c r="HO38" s="154"/>
      <c r="HP38" s="154"/>
      <c r="HQ38" s="154"/>
      <c r="HR38" s="154"/>
      <c r="HS38" s="154"/>
      <c r="HT38" s="154"/>
      <c r="HU38" s="154"/>
      <c r="HV38" s="154"/>
      <c r="HW38" s="154"/>
      <c r="HX38" s="154"/>
      <c r="HY38" s="154"/>
      <c r="HZ38" s="122"/>
    </row>
    <row r="39" spans="4:234" ht="6" customHeight="1">
      <c r="D39" s="120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4"/>
      <c r="BX39" s="154"/>
      <c r="BY39" s="154"/>
      <c r="BZ39" s="154"/>
      <c r="CA39" s="154"/>
      <c r="CB39" s="154"/>
      <c r="CC39" s="154"/>
      <c r="CD39" s="154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22"/>
      <c r="DP39" s="120"/>
      <c r="DQ39" s="154"/>
      <c r="DR39" s="154"/>
      <c r="DS39" s="154"/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4"/>
      <c r="EU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4"/>
      <c r="FV39" s="154"/>
      <c r="FW39" s="154"/>
      <c r="FX39" s="154"/>
      <c r="FY39" s="154"/>
      <c r="FZ39" s="154"/>
      <c r="GA39" s="154"/>
      <c r="GB39" s="154"/>
      <c r="GC39" s="154"/>
      <c r="GD39" s="154"/>
      <c r="GE39" s="154"/>
      <c r="GF39" s="154"/>
      <c r="GG39" s="154"/>
      <c r="GH39" s="154"/>
      <c r="GI39" s="154"/>
      <c r="GJ39" s="154"/>
      <c r="GK39" s="154"/>
      <c r="GL39" s="154"/>
      <c r="GM39" s="154"/>
      <c r="GN39" s="154"/>
      <c r="GO39" s="154"/>
      <c r="GP39" s="154"/>
      <c r="GQ39" s="154"/>
      <c r="GR39" s="154"/>
      <c r="GS39" s="154"/>
      <c r="GT39" s="154"/>
      <c r="GU39" s="154"/>
      <c r="GV39" s="154"/>
      <c r="GW39" s="154"/>
      <c r="GX39" s="154"/>
      <c r="GY39" s="154"/>
      <c r="GZ39" s="154"/>
      <c r="HA39" s="154"/>
      <c r="HB39" s="154"/>
      <c r="HC39" s="154"/>
      <c r="HD39" s="154"/>
      <c r="HE39" s="154"/>
      <c r="HF39" s="154"/>
      <c r="HG39" s="154"/>
      <c r="HH39" s="154"/>
      <c r="HI39" s="154"/>
      <c r="HJ39" s="154"/>
      <c r="HK39" s="154"/>
      <c r="HL39" s="154"/>
      <c r="HM39" s="154"/>
      <c r="HN39" s="154"/>
      <c r="HO39" s="154"/>
      <c r="HP39" s="154"/>
      <c r="HQ39" s="154"/>
      <c r="HR39" s="154"/>
      <c r="HS39" s="154"/>
      <c r="HT39" s="154"/>
      <c r="HU39" s="154"/>
      <c r="HV39" s="154"/>
      <c r="HW39" s="154"/>
      <c r="HX39" s="154"/>
      <c r="HY39" s="154"/>
      <c r="HZ39" s="122"/>
    </row>
    <row r="40" spans="4:234" ht="6" customHeight="1">
      <c r="D40" s="123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5"/>
      <c r="DP40" s="123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  <c r="GA40" s="124"/>
      <c r="GB40" s="124"/>
      <c r="GC40" s="124"/>
      <c r="GD40" s="124"/>
      <c r="GE40" s="124"/>
      <c r="GF40" s="124"/>
      <c r="GG40" s="124"/>
      <c r="GH40" s="124"/>
      <c r="GI40" s="124"/>
      <c r="GJ40" s="124"/>
      <c r="GK40" s="124"/>
      <c r="GL40" s="124"/>
      <c r="GM40" s="124"/>
      <c r="GN40" s="124"/>
      <c r="GO40" s="124"/>
      <c r="GP40" s="124"/>
      <c r="GQ40" s="124"/>
      <c r="GR40" s="124"/>
      <c r="GS40" s="124"/>
      <c r="GT40" s="124"/>
      <c r="GU40" s="124"/>
      <c r="GV40" s="124"/>
      <c r="GW40" s="124"/>
      <c r="GX40" s="124"/>
      <c r="GY40" s="124"/>
      <c r="GZ40" s="124"/>
      <c r="HA40" s="124"/>
      <c r="HB40" s="124"/>
      <c r="HC40" s="124"/>
      <c r="HD40" s="124"/>
      <c r="HE40" s="124"/>
      <c r="HF40" s="124"/>
      <c r="HG40" s="124"/>
      <c r="HH40" s="124"/>
      <c r="HI40" s="124"/>
      <c r="HJ40" s="124"/>
      <c r="HK40" s="124"/>
      <c r="HL40" s="124"/>
      <c r="HM40" s="124"/>
      <c r="HN40" s="124"/>
      <c r="HO40" s="124"/>
      <c r="HP40" s="124"/>
      <c r="HQ40" s="124"/>
      <c r="HR40" s="124"/>
      <c r="HS40" s="124"/>
      <c r="HT40" s="124"/>
      <c r="HU40" s="124"/>
      <c r="HV40" s="124"/>
      <c r="HW40" s="124"/>
      <c r="HX40" s="124"/>
      <c r="HY40" s="124"/>
      <c r="HZ40" s="125"/>
    </row>
    <row r="42" spans="4:234" ht="6" customHeight="1">
      <c r="D42" s="63" t="s">
        <v>2086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5"/>
      <c r="DO42" s="51"/>
      <c r="DP42" s="63" t="s">
        <v>2087</v>
      </c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  <c r="HU42" s="64"/>
      <c r="HV42" s="64"/>
      <c r="HW42" s="64"/>
      <c r="HX42" s="64"/>
      <c r="HY42" s="64"/>
      <c r="HZ42" s="65"/>
    </row>
    <row r="43" spans="4:234" ht="6" customHeight="1">
      <c r="D43" s="66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8"/>
      <c r="DO43" s="51"/>
      <c r="DP43" s="66"/>
      <c r="DQ43" s="67"/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  <c r="FO43" s="67"/>
      <c r="FP43" s="67"/>
      <c r="FQ43" s="67"/>
      <c r="FR43" s="67"/>
      <c r="FS43" s="67"/>
      <c r="FT43" s="67"/>
      <c r="FU43" s="67"/>
      <c r="FV43" s="67"/>
      <c r="FW43" s="67"/>
      <c r="FX43" s="67"/>
      <c r="FY43" s="67"/>
      <c r="FZ43" s="67"/>
      <c r="GA43" s="67"/>
      <c r="GB43" s="67"/>
      <c r="GC43" s="67"/>
      <c r="GD43" s="67"/>
      <c r="GE43" s="67"/>
      <c r="GF43" s="67"/>
      <c r="GG43" s="67"/>
      <c r="GH43" s="67"/>
      <c r="GI43" s="67"/>
      <c r="GJ43" s="67"/>
      <c r="GK43" s="67"/>
      <c r="GL43" s="67"/>
      <c r="GM43" s="67"/>
      <c r="GN43" s="67"/>
      <c r="GO43" s="67"/>
      <c r="GP43" s="67"/>
      <c r="GQ43" s="67"/>
      <c r="GR43" s="67"/>
      <c r="GS43" s="67"/>
      <c r="GT43" s="67"/>
      <c r="GU43" s="67"/>
      <c r="GV43" s="67"/>
      <c r="GW43" s="67"/>
      <c r="GX43" s="67"/>
      <c r="GY43" s="67"/>
      <c r="GZ43" s="67"/>
      <c r="HA43" s="67"/>
      <c r="HB43" s="67"/>
      <c r="HC43" s="67"/>
      <c r="HD43" s="67"/>
      <c r="HE43" s="67"/>
      <c r="HF43" s="67"/>
      <c r="HG43" s="67"/>
      <c r="HH43" s="67"/>
      <c r="HI43" s="67"/>
      <c r="HJ43" s="67"/>
      <c r="HK43" s="67"/>
      <c r="HL43" s="67"/>
      <c r="HM43" s="67"/>
      <c r="HN43" s="67"/>
      <c r="HO43" s="67"/>
      <c r="HP43" s="67"/>
      <c r="HQ43" s="67"/>
      <c r="HR43" s="67"/>
      <c r="HS43" s="67"/>
      <c r="HT43" s="67"/>
      <c r="HU43" s="67"/>
      <c r="HV43" s="67"/>
      <c r="HW43" s="67"/>
      <c r="HX43" s="67"/>
      <c r="HY43" s="67"/>
      <c r="HZ43" s="68"/>
    </row>
    <row r="44" spans="4:234" ht="6" customHeight="1">
      <c r="D44" s="69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1"/>
      <c r="DO44" s="51"/>
      <c r="DP44" s="69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  <c r="EY44" s="70"/>
      <c r="EZ44" s="70"/>
      <c r="FA44" s="70"/>
      <c r="FB44" s="70"/>
      <c r="FC44" s="70"/>
      <c r="FD44" s="70"/>
      <c r="FE44" s="70"/>
      <c r="FF44" s="70"/>
      <c r="FG44" s="70"/>
      <c r="FH44" s="70"/>
      <c r="FI44" s="70"/>
      <c r="FJ44" s="70"/>
      <c r="FK44" s="70"/>
      <c r="FL44" s="70"/>
      <c r="FM44" s="70"/>
      <c r="FN44" s="70"/>
      <c r="FO44" s="70"/>
      <c r="FP44" s="70"/>
      <c r="FQ44" s="70"/>
      <c r="FR44" s="70"/>
      <c r="FS44" s="70"/>
      <c r="FT44" s="70"/>
      <c r="FU44" s="70"/>
      <c r="FV44" s="70"/>
      <c r="FW44" s="70"/>
      <c r="FX44" s="70"/>
      <c r="FY44" s="70"/>
      <c r="FZ44" s="70"/>
      <c r="GA44" s="70"/>
      <c r="GB44" s="70"/>
      <c r="GC44" s="70"/>
      <c r="GD44" s="70"/>
      <c r="GE44" s="70"/>
      <c r="GF44" s="70"/>
      <c r="GG44" s="70"/>
      <c r="GH44" s="70"/>
      <c r="GI44" s="70"/>
      <c r="GJ44" s="70"/>
      <c r="GK44" s="70"/>
      <c r="GL44" s="70"/>
      <c r="GM44" s="70"/>
      <c r="GN44" s="70"/>
      <c r="GO44" s="70"/>
      <c r="GP44" s="70"/>
      <c r="GQ44" s="70"/>
      <c r="GR44" s="70"/>
      <c r="GS44" s="70"/>
      <c r="GT44" s="70"/>
      <c r="GU44" s="70"/>
      <c r="GV44" s="70"/>
      <c r="GW44" s="70"/>
      <c r="GX44" s="70"/>
      <c r="GY44" s="70"/>
      <c r="GZ44" s="70"/>
      <c r="HA44" s="70"/>
      <c r="HB44" s="70"/>
      <c r="HC44" s="70"/>
      <c r="HD44" s="70"/>
      <c r="HE44" s="70"/>
      <c r="HF44" s="70"/>
      <c r="HG44" s="70"/>
      <c r="HH44" s="70"/>
      <c r="HI44" s="70"/>
      <c r="HJ44" s="70"/>
      <c r="HK44" s="70"/>
      <c r="HL44" s="70"/>
      <c r="HM44" s="70"/>
      <c r="HN44" s="70"/>
      <c r="HO44" s="70"/>
      <c r="HP44" s="70"/>
      <c r="HQ44" s="70"/>
      <c r="HR44" s="70"/>
      <c r="HS44" s="70"/>
      <c r="HT44" s="70"/>
      <c r="HU44" s="70"/>
      <c r="HV44" s="70"/>
      <c r="HW44" s="70"/>
      <c r="HX44" s="70"/>
      <c r="HY44" s="70"/>
      <c r="HZ44" s="71"/>
    </row>
    <row r="45" spans="4:234" ht="6" customHeight="1">
      <c r="D45" s="120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22"/>
      <c r="DP45" s="117"/>
      <c r="DQ45" s="118"/>
      <c r="DR45" s="118"/>
      <c r="DS45" s="118"/>
      <c r="DT45" s="118"/>
      <c r="DU45" s="118"/>
      <c r="DV45" s="118"/>
      <c r="DW45" s="118"/>
      <c r="DX45" s="118"/>
      <c r="DY45" s="118"/>
      <c r="DZ45" s="118"/>
      <c r="EA45" s="118"/>
      <c r="EB45" s="118"/>
      <c r="EC45" s="118"/>
      <c r="ED45" s="118"/>
      <c r="EE45" s="118"/>
      <c r="EF45" s="118"/>
      <c r="EG45" s="118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  <c r="ES45" s="118"/>
      <c r="ET45" s="118"/>
      <c r="EU45" s="118"/>
      <c r="EV45" s="118"/>
      <c r="EW45" s="118"/>
      <c r="EX45" s="118"/>
      <c r="EY45" s="118"/>
      <c r="EZ45" s="118"/>
      <c r="FA45" s="118"/>
      <c r="FB45" s="118"/>
      <c r="FC45" s="118"/>
      <c r="FD45" s="118"/>
      <c r="FE45" s="118"/>
      <c r="FF45" s="118"/>
      <c r="FG45" s="118"/>
      <c r="FH45" s="118"/>
      <c r="FI45" s="118"/>
      <c r="FJ45" s="118"/>
      <c r="FK45" s="118"/>
      <c r="FL45" s="118"/>
      <c r="FM45" s="118"/>
      <c r="FN45" s="118"/>
      <c r="FO45" s="118"/>
      <c r="FP45" s="118"/>
      <c r="FQ45" s="118"/>
      <c r="FR45" s="118"/>
      <c r="FS45" s="118"/>
      <c r="FT45" s="118"/>
      <c r="FU45" s="118"/>
      <c r="FV45" s="118"/>
      <c r="FW45" s="118"/>
      <c r="FX45" s="118"/>
      <c r="FY45" s="118"/>
      <c r="FZ45" s="118"/>
      <c r="GA45" s="118"/>
      <c r="GB45" s="118"/>
      <c r="GC45" s="118"/>
      <c r="GD45" s="118"/>
      <c r="GE45" s="118"/>
      <c r="GF45" s="118"/>
      <c r="GG45" s="118"/>
      <c r="GH45" s="118"/>
      <c r="GI45" s="118"/>
      <c r="GJ45" s="118"/>
      <c r="GK45" s="118"/>
      <c r="GL45" s="118"/>
      <c r="GM45" s="118"/>
      <c r="GN45" s="118"/>
      <c r="GO45" s="118"/>
      <c r="GP45" s="118"/>
      <c r="GQ45" s="118"/>
      <c r="GR45" s="118"/>
      <c r="GS45" s="118"/>
      <c r="GT45" s="118"/>
      <c r="GU45" s="118"/>
      <c r="GV45" s="118"/>
      <c r="GW45" s="118"/>
      <c r="GX45" s="118"/>
      <c r="GY45" s="118"/>
      <c r="GZ45" s="118"/>
      <c r="HA45" s="118"/>
      <c r="HB45" s="118"/>
      <c r="HC45" s="118"/>
      <c r="HD45" s="118"/>
      <c r="HE45" s="118"/>
      <c r="HF45" s="118"/>
      <c r="HG45" s="118"/>
      <c r="HH45" s="118"/>
      <c r="HI45" s="118"/>
      <c r="HJ45" s="118"/>
      <c r="HK45" s="118"/>
      <c r="HL45" s="118"/>
      <c r="HM45" s="118"/>
      <c r="HN45" s="118"/>
      <c r="HO45" s="118"/>
      <c r="HP45" s="118"/>
      <c r="HQ45" s="118"/>
      <c r="HR45" s="118"/>
      <c r="HS45" s="118"/>
      <c r="HT45" s="118"/>
      <c r="HU45" s="118"/>
      <c r="HV45" s="118"/>
      <c r="HW45" s="118"/>
      <c r="HX45" s="118"/>
      <c r="HY45" s="118"/>
      <c r="HZ45" s="119"/>
    </row>
    <row r="46" spans="4:234" ht="6" customHeight="1">
      <c r="D46" s="120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22"/>
      <c r="DP46" s="120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22"/>
    </row>
    <row r="47" spans="4:234" ht="6" customHeight="1">
      <c r="D47" s="120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22"/>
      <c r="DP47" s="120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22"/>
    </row>
    <row r="48" spans="4:234" ht="6" customHeight="1">
      <c r="D48" s="120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22"/>
      <c r="DP48" s="120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22"/>
    </row>
    <row r="49" spans="4:234" ht="6" customHeight="1">
      <c r="D49" s="120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22"/>
      <c r="DP49" s="120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22"/>
    </row>
    <row r="50" spans="4:234" ht="6" customHeight="1">
      <c r="D50" s="120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22"/>
      <c r="DP50" s="120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22"/>
    </row>
    <row r="51" spans="4:234" ht="6" customHeight="1">
      <c r="D51" s="120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22"/>
      <c r="DP51" s="120"/>
      <c r="DQ51" s="154"/>
      <c r="DR51" s="154"/>
      <c r="DS51" s="154"/>
      <c r="DT51" s="154"/>
      <c r="DU51" s="154"/>
      <c r="DV51" s="154"/>
      <c r="DW51" s="154"/>
      <c r="DX51" s="154"/>
      <c r="DY51" s="154"/>
      <c r="DZ51" s="154"/>
      <c r="EA51" s="154"/>
      <c r="EB51" s="154"/>
      <c r="EC51" s="154"/>
      <c r="ED51" s="154"/>
      <c r="EE51" s="154"/>
      <c r="EF51" s="154"/>
      <c r="EG51" s="154"/>
      <c r="EH51" s="154"/>
      <c r="EI51" s="154"/>
      <c r="EJ51" s="154"/>
      <c r="EK51" s="154"/>
      <c r="EL51" s="154"/>
      <c r="EM51" s="154"/>
      <c r="EN51" s="154"/>
      <c r="EO51" s="154"/>
      <c r="EP51" s="154"/>
      <c r="EQ51" s="154"/>
      <c r="ER51" s="154"/>
      <c r="ES51" s="154"/>
      <c r="ET51" s="154"/>
      <c r="EU51" s="154"/>
      <c r="EV51" s="154"/>
      <c r="EW51" s="154"/>
      <c r="EX51" s="154"/>
      <c r="EY51" s="154"/>
      <c r="EZ51" s="154"/>
      <c r="FA51" s="154"/>
      <c r="FB51" s="154"/>
      <c r="FC51" s="154"/>
      <c r="FD51" s="154"/>
      <c r="FE51" s="154"/>
      <c r="FF51" s="154"/>
      <c r="FG51" s="154"/>
      <c r="FH51" s="154"/>
      <c r="FI51" s="154"/>
      <c r="FJ51" s="154"/>
      <c r="FK51" s="154"/>
      <c r="FL51" s="154"/>
      <c r="FM51" s="154"/>
      <c r="FN51" s="154"/>
      <c r="FO51" s="154"/>
      <c r="FP51" s="154"/>
      <c r="FQ51" s="154"/>
      <c r="FR51" s="154"/>
      <c r="FS51" s="154"/>
      <c r="FT51" s="154"/>
      <c r="FU51" s="154"/>
      <c r="FV51" s="154"/>
      <c r="FW51" s="154"/>
      <c r="FX51" s="154"/>
      <c r="FY51" s="154"/>
      <c r="FZ51" s="154"/>
      <c r="GA51" s="154"/>
      <c r="GB51" s="154"/>
      <c r="GC51" s="154"/>
      <c r="GD51" s="154"/>
      <c r="GE51" s="154"/>
      <c r="GF51" s="154"/>
      <c r="GG51" s="154"/>
      <c r="GH51" s="154"/>
      <c r="GI51" s="154"/>
      <c r="GJ51" s="154"/>
      <c r="GK51" s="154"/>
      <c r="GL51" s="154"/>
      <c r="GM51" s="154"/>
      <c r="GN51" s="154"/>
      <c r="GO51" s="154"/>
      <c r="GP51" s="154"/>
      <c r="GQ51" s="154"/>
      <c r="GR51" s="154"/>
      <c r="GS51" s="154"/>
      <c r="GT51" s="154"/>
      <c r="GU51" s="154"/>
      <c r="GV51" s="154"/>
      <c r="GW51" s="154"/>
      <c r="GX51" s="154"/>
      <c r="GY51" s="154"/>
      <c r="GZ51" s="154"/>
      <c r="HA51" s="154"/>
      <c r="HB51" s="154"/>
      <c r="HC51" s="154"/>
      <c r="HD51" s="154"/>
      <c r="HE51" s="154"/>
      <c r="HF51" s="154"/>
      <c r="HG51" s="154"/>
      <c r="HH51" s="154"/>
      <c r="HI51" s="154"/>
      <c r="HJ51" s="154"/>
      <c r="HK51" s="154"/>
      <c r="HL51" s="154"/>
      <c r="HM51" s="154"/>
      <c r="HN51" s="154"/>
      <c r="HO51" s="154"/>
      <c r="HP51" s="154"/>
      <c r="HQ51" s="154"/>
      <c r="HR51" s="154"/>
      <c r="HS51" s="154"/>
      <c r="HT51" s="154"/>
      <c r="HU51" s="154"/>
      <c r="HV51" s="154"/>
      <c r="HW51" s="154"/>
      <c r="HX51" s="154"/>
      <c r="HY51" s="154"/>
      <c r="HZ51" s="122"/>
    </row>
    <row r="52" spans="4:234" ht="6" customHeight="1">
      <c r="D52" s="120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  <c r="CF52" s="154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54"/>
      <c r="DH52" s="154"/>
      <c r="DI52" s="154"/>
      <c r="DJ52" s="154"/>
      <c r="DK52" s="154"/>
      <c r="DL52" s="154"/>
      <c r="DM52" s="154"/>
      <c r="DN52" s="122"/>
      <c r="DP52" s="120"/>
      <c r="DQ52" s="154"/>
      <c r="DR52" s="154"/>
      <c r="DS52" s="154"/>
      <c r="DT52" s="154"/>
      <c r="DU52" s="154"/>
      <c r="DV52" s="154"/>
      <c r="DW52" s="154"/>
      <c r="DX52" s="154"/>
      <c r="DY52" s="154"/>
      <c r="DZ52" s="154"/>
      <c r="EA52" s="154"/>
      <c r="EB52" s="154"/>
      <c r="EC52" s="154"/>
      <c r="ED52" s="154"/>
      <c r="EE52" s="154"/>
      <c r="EF52" s="154"/>
      <c r="EG52" s="154"/>
      <c r="EH52" s="154"/>
      <c r="EI52" s="154"/>
      <c r="EJ52" s="154"/>
      <c r="EK52" s="154"/>
      <c r="EL52" s="154"/>
      <c r="EM52" s="154"/>
      <c r="EN52" s="154"/>
      <c r="EO52" s="154"/>
      <c r="EP52" s="154"/>
      <c r="EQ52" s="154"/>
      <c r="ER52" s="154"/>
      <c r="ES52" s="154"/>
      <c r="ET52" s="154"/>
      <c r="EU52" s="154"/>
      <c r="EV52" s="154"/>
      <c r="EW52" s="154"/>
      <c r="EX52" s="154"/>
      <c r="EY52" s="154"/>
      <c r="EZ52" s="154"/>
      <c r="FA52" s="154"/>
      <c r="FB52" s="154"/>
      <c r="FC52" s="154"/>
      <c r="FD52" s="154"/>
      <c r="FE52" s="154"/>
      <c r="FF52" s="154"/>
      <c r="FG52" s="154"/>
      <c r="FH52" s="154"/>
      <c r="FI52" s="154"/>
      <c r="FJ52" s="154"/>
      <c r="FK52" s="154"/>
      <c r="FL52" s="154"/>
      <c r="FM52" s="154"/>
      <c r="FN52" s="154"/>
      <c r="FO52" s="154"/>
      <c r="FP52" s="154"/>
      <c r="FQ52" s="154"/>
      <c r="FR52" s="154"/>
      <c r="FS52" s="154"/>
      <c r="FT52" s="154"/>
      <c r="FU52" s="154"/>
      <c r="FV52" s="154"/>
      <c r="FW52" s="154"/>
      <c r="FX52" s="154"/>
      <c r="FY52" s="154"/>
      <c r="FZ52" s="154"/>
      <c r="GA52" s="154"/>
      <c r="GB52" s="154"/>
      <c r="GC52" s="154"/>
      <c r="GD52" s="154"/>
      <c r="GE52" s="154"/>
      <c r="GF52" s="154"/>
      <c r="GG52" s="154"/>
      <c r="GH52" s="154"/>
      <c r="GI52" s="154"/>
      <c r="GJ52" s="154"/>
      <c r="GK52" s="154"/>
      <c r="GL52" s="154"/>
      <c r="GM52" s="154"/>
      <c r="GN52" s="154"/>
      <c r="GO52" s="154"/>
      <c r="GP52" s="154"/>
      <c r="GQ52" s="154"/>
      <c r="GR52" s="154"/>
      <c r="GS52" s="154"/>
      <c r="GT52" s="154"/>
      <c r="GU52" s="154"/>
      <c r="GV52" s="154"/>
      <c r="GW52" s="154"/>
      <c r="GX52" s="154"/>
      <c r="GY52" s="154"/>
      <c r="GZ52" s="154"/>
      <c r="HA52" s="154"/>
      <c r="HB52" s="154"/>
      <c r="HC52" s="154"/>
      <c r="HD52" s="154"/>
      <c r="HE52" s="154"/>
      <c r="HF52" s="154"/>
      <c r="HG52" s="154"/>
      <c r="HH52" s="154"/>
      <c r="HI52" s="154"/>
      <c r="HJ52" s="154"/>
      <c r="HK52" s="154"/>
      <c r="HL52" s="154"/>
      <c r="HM52" s="154"/>
      <c r="HN52" s="154"/>
      <c r="HO52" s="154"/>
      <c r="HP52" s="154"/>
      <c r="HQ52" s="154"/>
      <c r="HR52" s="154"/>
      <c r="HS52" s="154"/>
      <c r="HT52" s="154"/>
      <c r="HU52" s="154"/>
      <c r="HV52" s="154"/>
      <c r="HW52" s="154"/>
      <c r="HX52" s="154"/>
      <c r="HY52" s="154"/>
      <c r="HZ52" s="122"/>
    </row>
    <row r="53" spans="4:234" ht="6" customHeight="1">
      <c r="D53" s="120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4"/>
      <c r="CP53" s="154"/>
      <c r="CQ53" s="154"/>
      <c r="CR53" s="154"/>
      <c r="CS53" s="154"/>
      <c r="CT53" s="154"/>
      <c r="CU53" s="154"/>
      <c r="CV53" s="154"/>
      <c r="CW53" s="154"/>
      <c r="CX53" s="154"/>
      <c r="CY53" s="154"/>
      <c r="CZ53" s="154"/>
      <c r="DA53" s="154"/>
      <c r="DB53" s="154"/>
      <c r="DC53" s="154"/>
      <c r="DD53" s="154"/>
      <c r="DE53" s="154"/>
      <c r="DF53" s="154"/>
      <c r="DG53" s="154"/>
      <c r="DH53" s="154"/>
      <c r="DI53" s="154"/>
      <c r="DJ53" s="154"/>
      <c r="DK53" s="154"/>
      <c r="DL53" s="154"/>
      <c r="DM53" s="154"/>
      <c r="DN53" s="122"/>
      <c r="DP53" s="120"/>
      <c r="DQ53" s="154"/>
      <c r="DR53" s="154"/>
      <c r="DS53" s="154"/>
      <c r="DT53" s="154"/>
      <c r="DU53" s="154"/>
      <c r="DV53" s="154"/>
      <c r="DW53" s="154"/>
      <c r="DX53" s="154"/>
      <c r="DY53" s="154"/>
      <c r="DZ53" s="154"/>
      <c r="EA53" s="154"/>
      <c r="EB53" s="154"/>
      <c r="EC53" s="154"/>
      <c r="ED53" s="154"/>
      <c r="EE53" s="154"/>
      <c r="EF53" s="154"/>
      <c r="EG53" s="154"/>
      <c r="EH53" s="154"/>
      <c r="EI53" s="154"/>
      <c r="EJ53" s="154"/>
      <c r="EK53" s="154"/>
      <c r="EL53" s="154"/>
      <c r="EM53" s="154"/>
      <c r="EN53" s="154"/>
      <c r="EO53" s="154"/>
      <c r="EP53" s="154"/>
      <c r="EQ53" s="154"/>
      <c r="ER53" s="154"/>
      <c r="ES53" s="154"/>
      <c r="ET53" s="154"/>
      <c r="EU53" s="154"/>
      <c r="EV53" s="154"/>
      <c r="EW53" s="154"/>
      <c r="EX53" s="154"/>
      <c r="EY53" s="154"/>
      <c r="EZ53" s="154"/>
      <c r="FA53" s="154"/>
      <c r="FB53" s="154"/>
      <c r="FC53" s="154"/>
      <c r="FD53" s="154"/>
      <c r="FE53" s="154"/>
      <c r="FF53" s="154"/>
      <c r="FG53" s="154"/>
      <c r="FH53" s="154"/>
      <c r="FI53" s="154"/>
      <c r="FJ53" s="154"/>
      <c r="FK53" s="154"/>
      <c r="FL53" s="154"/>
      <c r="FM53" s="154"/>
      <c r="FN53" s="154"/>
      <c r="FO53" s="154"/>
      <c r="FP53" s="154"/>
      <c r="FQ53" s="154"/>
      <c r="FR53" s="154"/>
      <c r="FS53" s="154"/>
      <c r="FT53" s="154"/>
      <c r="FU53" s="154"/>
      <c r="FV53" s="154"/>
      <c r="FW53" s="154"/>
      <c r="FX53" s="154"/>
      <c r="FY53" s="154"/>
      <c r="FZ53" s="154"/>
      <c r="GA53" s="154"/>
      <c r="GB53" s="154"/>
      <c r="GC53" s="154"/>
      <c r="GD53" s="154"/>
      <c r="GE53" s="154"/>
      <c r="GF53" s="154"/>
      <c r="GG53" s="154"/>
      <c r="GH53" s="154"/>
      <c r="GI53" s="154"/>
      <c r="GJ53" s="154"/>
      <c r="GK53" s="154"/>
      <c r="GL53" s="154"/>
      <c r="GM53" s="154"/>
      <c r="GN53" s="154"/>
      <c r="GO53" s="154"/>
      <c r="GP53" s="154"/>
      <c r="GQ53" s="154"/>
      <c r="GR53" s="154"/>
      <c r="GS53" s="154"/>
      <c r="GT53" s="154"/>
      <c r="GU53" s="154"/>
      <c r="GV53" s="154"/>
      <c r="GW53" s="154"/>
      <c r="GX53" s="154"/>
      <c r="GY53" s="154"/>
      <c r="GZ53" s="154"/>
      <c r="HA53" s="154"/>
      <c r="HB53" s="154"/>
      <c r="HC53" s="154"/>
      <c r="HD53" s="154"/>
      <c r="HE53" s="154"/>
      <c r="HF53" s="154"/>
      <c r="HG53" s="154"/>
      <c r="HH53" s="154"/>
      <c r="HI53" s="154"/>
      <c r="HJ53" s="154"/>
      <c r="HK53" s="154"/>
      <c r="HL53" s="154"/>
      <c r="HM53" s="154"/>
      <c r="HN53" s="154"/>
      <c r="HO53" s="154"/>
      <c r="HP53" s="154"/>
      <c r="HQ53" s="154"/>
      <c r="HR53" s="154"/>
      <c r="HS53" s="154"/>
      <c r="HT53" s="154"/>
      <c r="HU53" s="154"/>
      <c r="HV53" s="154"/>
      <c r="HW53" s="154"/>
      <c r="HX53" s="154"/>
      <c r="HY53" s="154"/>
      <c r="HZ53" s="122"/>
    </row>
    <row r="54" spans="4:234" ht="6" customHeight="1">
      <c r="D54" s="120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4"/>
      <c r="CD54" s="154"/>
      <c r="CE54" s="154"/>
      <c r="CF54" s="154"/>
      <c r="CG54" s="154"/>
      <c r="CH54" s="154"/>
      <c r="CI54" s="154"/>
      <c r="CJ54" s="154"/>
      <c r="CK54" s="154"/>
      <c r="CL54" s="154"/>
      <c r="CM54" s="154"/>
      <c r="CN54" s="154"/>
      <c r="CO54" s="154"/>
      <c r="CP54" s="154"/>
      <c r="CQ54" s="154"/>
      <c r="CR54" s="154"/>
      <c r="CS54" s="154"/>
      <c r="CT54" s="154"/>
      <c r="CU54" s="154"/>
      <c r="CV54" s="154"/>
      <c r="CW54" s="154"/>
      <c r="CX54" s="154"/>
      <c r="CY54" s="154"/>
      <c r="CZ54" s="154"/>
      <c r="DA54" s="154"/>
      <c r="DB54" s="154"/>
      <c r="DC54" s="154"/>
      <c r="DD54" s="154"/>
      <c r="DE54" s="154"/>
      <c r="DF54" s="154"/>
      <c r="DG54" s="154"/>
      <c r="DH54" s="154"/>
      <c r="DI54" s="154"/>
      <c r="DJ54" s="154"/>
      <c r="DK54" s="154"/>
      <c r="DL54" s="154"/>
      <c r="DM54" s="154"/>
      <c r="DN54" s="122"/>
      <c r="DP54" s="120"/>
      <c r="DQ54" s="154"/>
      <c r="DR54" s="154"/>
      <c r="DS54" s="154"/>
      <c r="DT54" s="154"/>
      <c r="DU54" s="154"/>
      <c r="DV54" s="154"/>
      <c r="DW54" s="154"/>
      <c r="DX54" s="154"/>
      <c r="DY54" s="154"/>
      <c r="DZ54" s="154"/>
      <c r="EA54" s="154"/>
      <c r="EB54" s="154"/>
      <c r="EC54" s="154"/>
      <c r="ED54" s="154"/>
      <c r="EE54" s="154"/>
      <c r="EF54" s="154"/>
      <c r="EG54" s="154"/>
      <c r="EH54" s="154"/>
      <c r="EI54" s="154"/>
      <c r="EJ54" s="154"/>
      <c r="EK54" s="154"/>
      <c r="EL54" s="154"/>
      <c r="EM54" s="154"/>
      <c r="EN54" s="154"/>
      <c r="EO54" s="154"/>
      <c r="EP54" s="154"/>
      <c r="EQ54" s="154"/>
      <c r="ER54" s="154"/>
      <c r="ES54" s="154"/>
      <c r="ET54" s="154"/>
      <c r="EU54" s="154"/>
      <c r="EV54" s="154"/>
      <c r="EW54" s="154"/>
      <c r="EX54" s="154"/>
      <c r="EY54" s="154"/>
      <c r="EZ54" s="154"/>
      <c r="FA54" s="154"/>
      <c r="FB54" s="154"/>
      <c r="FC54" s="154"/>
      <c r="FD54" s="154"/>
      <c r="FE54" s="154"/>
      <c r="FF54" s="154"/>
      <c r="FG54" s="154"/>
      <c r="FH54" s="154"/>
      <c r="FI54" s="154"/>
      <c r="FJ54" s="154"/>
      <c r="FK54" s="154"/>
      <c r="FL54" s="154"/>
      <c r="FM54" s="154"/>
      <c r="FN54" s="154"/>
      <c r="FO54" s="154"/>
      <c r="FP54" s="154"/>
      <c r="FQ54" s="154"/>
      <c r="FR54" s="154"/>
      <c r="FS54" s="154"/>
      <c r="FT54" s="154"/>
      <c r="FU54" s="154"/>
      <c r="FV54" s="154"/>
      <c r="FW54" s="154"/>
      <c r="FX54" s="154"/>
      <c r="FY54" s="154"/>
      <c r="FZ54" s="154"/>
      <c r="GA54" s="154"/>
      <c r="GB54" s="154"/>
      <c r="GC54" s="154"/>
      <c r="GD54" s="154"/>
      <c r="GE54" s="154"/>
      <c r="GF54" s="154"/>
      <c r="GG54" s="154"/>
      <c r="GH54" s="154"/>
      <c r="GI54" s="154"/>
      <c r="GJ54" s="154"/>
      <c r="GK54" s="154"/>
      <c r="GL54" s="154"/>
      <c r="GM54" s="154"/>
      <c r="GN54" s="154"/>
      <c r="GO54" s="154"/>
      <c r="GP54" s="154"/>
      <c r="GQ54" s="154"/>
      <c r="GR54" s="154"/>
      <c r="GS54" s="154"/>
      <c r="GT54" s="154"/>
      <c r="GU54" s="154"/>
      <c r="GV54" s="154"/>
      <c r="GW54" s="154"/>
      <c r="GX54" s="154"/>
      <c r="GY54" s="154"/>
      <c r="GZ54" s="154"/>
      <c r="HA54" s="154"/>
      <c r="HB54" s="154"/>
      <c r="HC54" s="154"/>
      <c r="HD54" s="154"/>
      <c r="HE54" s="154"/>
      <c r="HF54" s="154"/>
      <c r="HG54" s="154"/>
      <c r="HH54" s="154"/>
      <c r="HI54" s="154"/>
      <c r="HJ54" s="154"/>
      <c r="HK54" s="154"/>
      <c r="HL54" s="154"/>
      <c r="HM54" s="154"/>
      <c r="HN54" s="154"/>
      <c r="HO54" s="154"/>
      <c r="HP54" s="154"/>
      <c r="HQ54" s="154"/>
      <c r="HR54" s="154"/>
      <c r="HS54" s="154"/>
      <c r="HT54" s="154"/>
      <c r="HU54" s="154"/>
      <c r="HV54" s="154"/>
      <c r="HW54" s="154"/>
      <c r="HX54" s="154"/>
      <c r="HY54" s="154"/>
      <c r="HZ54" s="122"/>
    </row>
    <row r="55" spans="4:234" ht="6" customHeight="1">
      <c r="D55" s="120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  <c r="BQ55" s="154"/>
      <c r="BR55" s="154"/>
      <c r="BS55" s="154"/>
      <c r="BT55" s="154"/>
      <c r="BU55" s="154"/>
      <c r="BV55" s="154"/>
      <c r="BW55" s="154"/>
      <c r="BX55" s="154"/>
      <c r="BY55" s="154"/>
      <c r="BZ55" s="154"/>
      <c r="CA55" s="154"/>
      <c r="CB55" s="154"/>
      <c r="CC55" s="154"/>
      <c r="CD55" s="154"/>
      <c r="CE55" s="154"/>
      <c r="CF55" s="154"/>
      <c r="CG55" s="154"/>
      <c r="CH55" s="154"/>
      <c r="CI55" s="154"/>
      <c r="CJ55" s="154"/>
      <c r="CK55" s="154"/>
      <c r="CL55" s="154"/>
      <c r="CM55" s="154"/>
      <c r="CN55" s="154"/>
      <c r="CO55" s="154"/>
      <c r="CP55" s="154"/>
      <c r="CQ55" s="154"/>
      <c r="CR55" s="154"/>
      <c r="CS55" s="154"/>
      <c r="CT55" s="154"/>
      <c r="CU55" s="154"/>
      <c r="CV55" s="154"/>
      <c r="CW55" s="154"/>
      <c r="CX55" s="154"/>
      <c r="CY55" s="154"/>
      <c r="CZ55" s="154"/>
      <c r="DA55" s="154"/>
      <c r="DB55" s="154"/>
      <c r="DC55" s="154"/>
      <c r="DD55" s="154"/>
      <c r="DE55" s="154"/>
      <c r="DF55" s="154"/>
      <c r="DG55" s="154"/>
      <c r="DH55" s="154"/>
      <c r="DI55" s="154"/>
      <c r="DJ55" s="154"/>
      <c r="DK55" s="154"/>
      <c r="DL55" s="154"/>
      <c r="DM55" s="154"/>
      <c r="DN55" s="122"/>
      <c r="DP55" s="120"/>
      <c r="DQ55" s="154"/>
      <c r="DR55" s="154"/>
      <c r="DS55" s="154"/>
      <c r="DT55" s="154"/>
      <c r="DU55" s="154"/>
      <c r="DV55" s="154"/>
      <c r="DW55" s="154"/>
      <c r="DX55" s="154"/>
      <c r="DY55" s="154"/>
      <c r="DZ55" s="154"/>
      <c r="EA55" s="154"/>
      <c r="EB55" s="154"/>
      <c r="EC55" s="154"/>
      <c r="ED55" s="154"/>
      <c r="EE55" s="154"/>
      <c r="EF55" s="154"/>
      <c r="EG55" s="154"/>
      <c r="EH55" s="154"/>
      <c r="EI55" s="154"/>
      <c r="EJ55" s="154"/>
      <c r="EK55" s="154"/>
      <c r="EL55" s="154"/>
      <c r="EM55" s="154"/>
      <c r="EN55" s="154"/>
      <c r="EO55" s="154"/>
      <c r="EP55" s="154"/>
      <c r="EQ55" s="154"/>
      <c r="ER55" s="154"/>
      <c r="ES55" s="154"/>
      <c r="ET55" s="154"/>
      <c r="EU55" s="154"/>
      <c r="EV55" s="154"/>
      <c r="EW55" s="154"/>
      <c r="EX55" s="154"/>
      <c r="EY55" s="154"/>
      <c r="EZ55" s="154"/>
      <c r="FA55" s="154"/>
      <c r="FB55" s="154"/>
      <c r="FC55" s="154"/>
      <c r="FD55" s="154"/>
      <c r="FE55" s="154"/>
      <c r="FF55" s="154"/>
      <c r="FG55" s="154"/>
      <c r="FH55" s="154"/>
      <c r="FI55" s="154"/>
      <c r="FJ55" s="154"/>
      <c r="FK55" s="154"/>
      <c r="FL55" s="154"/>
      <c r="FM55" s="154"/>
      <c r="FN55" s="154"/>
      <c r="FO55" s="154"/>
      <c r="FP55" s="154"/>
      <c r="FQ55" s="154"/>
      <c r="FR55" s="154"/>
      <c r="FS55" s="154"/>
      <c r="FT55" s="154"/>
      <c r="FU55" s="154"/>
      <c r="FV55" s="154"/>
      <c r="FW55" s="154"/>
      <c r="FX55" s="154"/>
      <c r="FY55" s="154"/>
      <c r="FZ55" s="154"/>
      <c r="GA55" s="154"/>
      <c r="GB55" s="154"/>
      <c r="GC55" s="154"/>
      <c r="GD55" s="154"/>
      <c r="GE55" s="154"/>
      <c r="GF55" s="154"/>
      <c r="GG55" s="154"/>
      <c r="GH55" s="154"/>
      <c r="GI55" s="154"/>
      <c r="GJ55" s="154"/>
      <c r="GK55" s="154"/>
      <c r="GL55" s="154"/>
      <c r="GM55" s="154"/>
      <c r="GN55" s="154"/>
      <c r="GO55" s="154"/>
      <c r="GP55" s="154"/>
      <c r="GQ55" s="154"/>
      <c r="GR55" s="154"/>
      <c r="GS55" s="154"/>
      <c r="GT55" s="154"/>
      <c r="GU55" s="154"/>
      <c r="GV55" s="154"/>
      <c r="GW55" s="154"/>
      <c r="GX55" s="154"/>
      <c r="GY55" s="154"/>
      <c r="GZ55" s="154"/>
      <c r="HA55" s="154"/>
      <c r="HB55" s="154"/>
      <c r="HC55" s="154"/>
      <c r="HD55" s="154"/>
      <c r="HE55" s="154"/>
      <c r="HF55" s="154"/>
      <c r="HG55" s="154"/>
      <c r="HH55" s="154"/>
      <c r="HI55" s="154"/>
      <c r="HJ55" s="154"/>
      <c r="HK55" s="154"/>
      <c r="HL55" s="154"/>
      <c r="HM55" s="154"/>
      <c r="HN55" s="154"/>
      <c r="HO55" s="154"/>
      <c r="HP55" s="154"/>
      <c r="HQ55" s="154"/>
      <c r="HR55" s="154"/>
      <c r="HS55" s="154"/>
      <c r="HT55" s="154"/>
      <c r="HU55" s="154"/>
      <c r="HV55" s="154"/>
      <c r="HW55" s="154"/>
      <c r="HX55" s="154"/>
      <c r="HY55" s="154"/>
      <c r="HZ55" s="122"/>
    </row>
    <row r="56" spans="4:234" ht="6" customHeight="1">
      <c r="D56" s="120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4"/>
      <c r="CP56" s="154"/>
      <c r="CQ56" s="154"/>
      <c r="CR56" s="154"/>
      <c r="CS56" s="154"/>
      <c r="CT56" s="154"/>
      <c r="CU56" s="154"/>
      <c r="CV56" s="154"/>
      <c r="CW56" s="154"/>
      <c r="CX56" s="154"/>
      <c r="CY56" s="154"/>
      <c r="CZ56" s="154"/>
      <c r="DA56" s="154"/>
      <c r="DB56" s="154"/>
      <c r="DC56" s="154"/>
      <c r="DD56" s="154"/>
      <c r="DE56" s="154"/>
      <c r="DF56" s="154"/>
      <c r="DG56" s="154"/>
      <c r="DH56" s="154"/>
      <c r="DI56" s="154"/>
      <c r="DJ56" s="154"/>
      <c r="DK56" s="154"/>
      <c r="DL56" s="154"/>
      <c r="DM56" s="154"/>
      <c r="DN56" s="122"/>
      <c r="DP56" s="120"/>
      <c r="DQ56" s="154"/>
      <c r="DR56" s="154"/>
      <c r="DS56" s="154"/>
      <c r="DT56" s="154"/>
      <c r="DU56" s="154"/>
      <c r="DV56" s="154"/>
      <c r="DW56" s="154"/>
      <c r="DX56" s="154"/>
      <c r="DY56" s="154"/>
      <c r="DZ56" s="154"/>
      <c r="EA56" s="154"/>
      <c r="EB56" s="154"/>
      <c r="EC56" s="154"/>
      <c r="ED56" s="154"/>
      <c r="EE56" s="154"/>
      <c r="EF56" s="154"/>
      <c r="EG56" s="154"/>
      <c r="EH56" s="154"/>
      <c r="EI56" s="154"/>
      <c r="EJ56" s="154"/>
      <c r="EK56" s="154"/>
      <c r="EL56" s="154"/>
      <c r="EM56" s="154"/>
      <c r="EN56" s="154"/>
      <c r="EO56" s="154"/>
      <c r="EP56" s="154"/>
      <c r="EQ56" s="154"/>
      <c r="ER56" s="154"/>
      <c r="ES56" s="154"/>
      <c r="ET56" s="154"/>
      <c r="EU56" s="154"/>
      <c r="EV56" s="154"/>
      <c r="EW56" s="154"/>
      <c r="EX56" s="154"/>
      <c r="EY56" s="154"/>
      <c r="EZ56" s="154"/>
      <c r="FA56" s="154"/>
      <c r="FB56" s="154"/>
      <c r="FC56" s="154"/>
      <c r="FD56" s="154"/>
      <c r="FE56" s="154"/>
      <c r="FF56" s="154"/>
      <c r="FG56" s="154"/>
      <c r="FH56" s="154"/>
      <c r="FI56" s="154"/>
      <c r="FJ56" s="154"/>
      <c r="FK56" s="154"/>
      <c r="FL56" s="154"/>
      <c r="FM56" s="154"/>
      <c r="FN56" s="154"/>
      <c r="FO56" s="154"/>
      <c r="FP56" s="154"/>
      <c r="FQ56" s="154"/>
      <c r="FR56" s="154"/>
      <c r="FS56" s="154"/>
      <c r="FT56" s="154"/>
      <c r="FU56" s="154"/>
      <c r="FV56" s="154"/>
      <c r="FW56" s="154"/>
      <c r="FX56" s="154"/>
      <c r="FY56" s="154"/>
      <c r="FZ56" s="154"/>
      <c r="GA56" s="154"/>
      <c r="GB56" s="154"/>
      <c r="GC56" s="154"/>
      <c r="GD56" s="154"/>
      <c r="GE56" s="154"/>
      <c r="GF56" s="154"/>
      <c r="GG56" s="154"/>
      <c r="GH56" s="154"/>
      <c r="GI56" s="154"/>
      <c r="GJ56" s="154"/>
      <c r="GK56" s="154"/>
      <c r="GL56" s="154"/>
      <c r="GM56" s="154"/>
      <c r="GN56" s="154"/>
      <c r="GO56" s="154"/>
      <c r="GP56" s="154"/>
      <c r="GQ56" s="154"/>
      <c r="GR56" s="154"/>
      <c r="GS56" s="154"/>
      <c r="GT56" s="154"/>
      <c r="GU56" s="154"/>
      <c r="GV56" s="154"/>
      <c r="GW56" s="154"/>
      <c r="GX56" s="154"/>
      <c r="GY56" s="154"/>
      <c r="GZ56" s="154"/>
      <c r="HA56" s="154"/>
      <c r="HB56" s="154"/>
      <c r="HC56" s="154"/>
      <c r="HD56" s="154"/>
      <c r="HE56" s="154"/>
      <c r="HF56" s="154"/>
      <c r="HG56" s="154"/>
      <c r="HH56" s="154"/>
      <c r="HI56" s="154"/>
      <c r="HJ56" s="154"/>
      <c r="HK56" s="154"/>
      <c r="HL56" s="154"/>
      <c r="HM56" s="154"/>
      <c r="HN56" s="154"/>
      <c r="HO56" s="154"/>
      <c r="HP56" s="154"/>
      <c r="HQ56" s="154"/>
      <c r="HR56" s="154"/>
      <c r="HS56" s="154"/>
      <c r="HT56" s="154"/>
      <c r="HU56" s="154"/>
      <c r="HV56" s="154"/>
      <c r="HW56" s="154"/>
      <c r="HX56" s="154"/>
      <c r="HY56" s="154"/>
      <c r="HZ56" s="122"/>
    </row>
    <row r="57" spans="4:234" ht="6" customHeight="1">
      <c r="D57" s="120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  <c r="CF57" s="154"/>
      <c r="CG57" s="154"/>
      <c r="CH57" s="154"/>
      <c r="CI57" s="154"/>
      <c r="CJ57" s="154"/>
      <c r="CK57" s="154"/>
      <c r="CL57" s="154"/>
      <c r="CM57" s="154"/>
      <c r="CN57" s="154"/>
      <c r="CO57" s="154"/>
      <c r="CP57" s="154"/>
      <c r="CQ57" s="154"/>
      <c r="CR57" s="154"/>
      <c r="CS57" s="154"/>
      <c r="CT57" s="154"/>
      <c r="CU57" s="154"/>
      <c r="CV57" s="154"/>
      <c r="CW57" s="154"/>
      <c r="CX57" s="154"/>
      <c r="CY57" s="154"/>
      <c r="CZ57" s="154"/>
      <c r="DA57" s="154"/>
      <c r="DB57" s="154"/>
      <c r="DC57" s="154"/>
      <c r="DD57" s="154"/>
      <c r="DE57" s="154"/>
      <c r="DF57" s="154"/>
      <c r="DG57" s="154"/>
      <c r="DH57" s="154"/>
      <c r="DI57" s="154"/>
      <c r="DJ57" s="154"/>
      <c r="DK57" s="154"/>
      <c r="DL57" s="154"/>
      <c r="DM57" s="154"/>
      <c r="DN57" s="122"/>
      <c r="DP57" s="120"/>
      <c r="DQ57" s="154"/>
      <c r="DR57" s="154"/>
      <c r="DS57" s="154"/>
      <c r="DT57" s="154"/>
      <c r="DU57" s="154"/>
      <c r="DV57" s="154"/>
      <c r="DW57" s="154"/>
      <c r="DX57" s="154"/>
      <c r="DY57" s="154"/>
      <c r="DZ57" s="154"/>
      <c r="EA57" s="154"/>
      <c r="EB57" s="154"/>
      <c r="EC57" s="154"/>
      <c r="ED57" s="154"/>
      <c r="EE57" s="154"/>
      <c r="EF57" s="154"/>
      <c r="EG57" s="154"/>
      <c r="EH57" s="154"/>
      <c r="EI57" s="154"/>
      <c r="EJ57" s="154"/>
      <c r="EK57" s="154"/>
      <c r="EL57" s="154"/>
      <c r="EM57" s="154"/>
      <c r="EN57" s="154"/>
      <c r="EO57" s="154"/>
      <c r="EP57" s="154"/>
      <c r="EQ57" s="154"/>
      <c r="ER57" s="154"/>
      <c r="ES57" s="154"/>
      <c r="ET57" s="154"/>
      <c r="EU57" s="154"/>
      <c r="EV57" s="154"/>
      <c r="EW57" s="154"/>
      <c r="EX57" s="154"/>
      <c r="EY57" s="154"/>
      <c r="EZ57" s="154"/>
      <c r="FA57" s="154"/>
      <c r="FB57" s="154"/>
      <c r="FC57" s="154"/>
      <c r="FD57" s="154"/>
      <c r="FE57" s="154"/>
      <c r="FF57" s="154"/>
      <c r="FG57" s="154"/>
      <c r="FH57" s="154"/>
      <c r="FI57" s="154"/>
      <c r="FJ57" s="154"/>
      <c r="FK57" s="154"/>
      <c r="FL57" s="154"/>
      <c r="FM57" s="154"/>
      <c r="FN57" s="154"/>
      <c r="FO57" s="154"/>
      <c r="FP57" s="154"/>
      <c r="FQ57" s="154"/>
      <c r="FR57" s="154"/>
      <c r="FS57" s="154"/>
      <c r="FT57" s="154"/>
      <c r="FU57" s="154"/>
      <c r="FV57" s="154"/>
      <c r="FW57" s="154"/>
      <c r="FX57" s="154"/>
      <c r="FY57" s="154"/>
      <c r="FZ57" s="154"/>
      <c r="GA57" s="154"/>
      <c r="GB57" s="154"/>
      <c r="GC57" s="154"/>
      <c r="GD57" s="154"/>
      <c r="GE57" s="154"/>
      <c r="GF57" s="154"/>
      <c r="GG57" s="154"/>
      <c r="GH57" s="154"/>
      <c r="GI57" s="154"/>
      <c r="GJ57" s="154"/>
      <c r="GK57" s="154"/>
      <c r="GL57" s="154"/>
      <c r="GM57" s="154"/>
      <c r="GN57" s="154"/>
      <c r="GO57" s="154"/>
      <c r="GP57" s="154"/>
      <c r="GQ57" s="154"/>
      <c r="GR57" s="154"/>
      <c r="GS57" s="154"/>
      <c r="GT57" s="154"/>
      <c r="GU57" s="154"/>
      <c r="GV57" s="154"/>
      <c r="GW57" s="154"/>
      <c r="GX57" s="154"/>
      <c r="GY57" s="154"/>
      <c r="GZ57" s="154"/>
      <c r="HA57" s="154"/>
      <c r="HB57" s="154"/>
      <c r="HC57" s="154"/>
      <c r="HD57" s="154"/>
      <c r="HE57" s="154"/>
      <c r="HF57" s="154"/>
      <c r="HG57" s="154"/>
      <c r="HH57" s="154"/>
      <c r="HI57" s="154"/>
      <c r="HJ57" s="154"/>
      <c r="HK57" s="154"/>
      <c r="HL57" s="154"/>
      <c r="HM57" s="154"/>
      <c r="HN57" s="154"/>
      <c r="HO57" s="154"/>
      <c r="HP57" s="154"/>
      <c r="HQ57" s="154"/>
      <c r="HR57" s="154"/>
      <c r="HS57" s="154"/>
      <c r="HT57" s="154"/>
      <c r="HU57" s="154"/>
      <c r="HV57" s="154"/>
      <c r="HW57" s="154"/>
      <c r="HX57" s="154"/>
      <c r="HY57" s="154"/>
      <c r="HZ57" s="122"/>
    </row>
    <row r="58" spans="4:234" ht="6" customHeight="1">
      <c r="D58" s="120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54"/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  <c r="CS58" s="154"/>
      <c r="CT58" s="154"/>
      <c r="CU58" s="154"/>
      <c r="CV58" s="154"/>
      <c r="CW58" s="154"/>
      <c r="CX58" s="154"/>
      <c r="CY58" s="154"/>
      <c r="CZ58" s="154"/>
      <c r="DA58" s="154"/>
      <c r="DB58" s="154"/>
      <c r="DC58" s="154"/>
      <c r="DD58" s="154"/>
      <c r="DE58" s="154"/>
      <c r="DF58" s="154"/>
      <c r="DG58" s="154"/>
      <c r="DH58" s="154"/>
      <c r="DI58" s="154"/>
      <c r="DJ58" s="154"/>
      <c r="DK58" s="154"/>
      <c r="DL58" s="154"/>
      <c r="DM58" s="154"/>
      <c r="DN58" s="122"/>
      <c r="DP58" s="120"/>
      <c r="DQ58" s="154"/>
      <c r="DR58" s="154"/>
      <c r="DS58" s="154"/>
      <c r="DT58" s="154"/>
      <c r="DU58" s="154"/>
      <c r="DV58" s="154"/>
      <c r="DW58" s="154"/>
      <c r="DX58" s="154"/>
      <c r="DY58" s="154"/>
      <c r="DZ58" s="154"/>
      <c r="EA58" s="154"/>
      <c r="EB58" s="154"/>
      <c r="EC58" s="154"/>
      <c r="ED58" s="154"/>
      <c r="EE58" s="154"/>
      <c r="EF58" s="154"/>
      <c r="EG58" s="154"/>
      <c r="EH58" s="154"/>
      <c r="EI58" s="154"/>
      <c r="EJ58" s="154"/>
      <c r="EK58" s="154"/>
      <c r="EL58" s="154"/>
      <c r="EM58" s="154"/>
      <c r="EN58" s="154"/>
      <c r="EO58" s="154"/>
      <c r="EP58" s="154"/>
      <c r="EQ58" s="154"/>
      <c r="ER58" s="154"/>
      <c r="ES58" s="154"/>
      <c r="ET58" s="154"/>
      <c r="EU58" s="154"/>
      <c r="EV58" s="154"/>
      <c r="EW58" s="154"/>
      <c r="EX58" s="154"/>
      <c r="EY58" s="154"/>
      <c r="EZ58" s="154"/>
      <c r="FA58" s="154"/>
      <c r="FB58" s="154"/>
      <c r="FC58" s="154"/>
      <c r="FD58" s="154"/>
      <c r="FE58" s="154"/>
      <c r="FF58" s="154"/>
      <c r="FG58" s="154"/>
      <c r="FH58" s="154"/>
      <c r="FI58" s="154"/>
      <c r="FJ58" s="154"/>
      <c r="FK58" s="154"/>
      <c r="FL58" s="154"/>
      <c r="FM58" s="154"/>
      <c r="FN58" s="154"/>
      <c r="FO58" s="154"/>
      <c r="FP58" s="154"/>
      <c r="FQ58" s="154"/>
      <c r="FR58" s="154"/>
      <c r="FS58" s="154"/>
      <c r="FT58" s="154"/>
      <c r="FU58" s="154"/>
      <c r="FV58" s="154"/>
      <c r="FW58" s="154"/>
      <c r="FX58" s="154"/>
      <c r="FY58" s="154"/>
      <c r="FZ58" s="154"/>
      <c r="GA58" s="154"/>
      <c r="GB58" s="154"/>
      <c r="GC58" s="154"/>
      <c r="GD58" s="154"/>
      <c r="GE58" s="154"/>
      <c r="GF58" s="154"/>
      <c r="GG58" s="154"/>
      <c r="GH58" s="154"/>
      <c r="GI58" s="154"/>
      <c r="GJ58" s="154"/>
      <c r="GK58" s="154"/>
      <c r="GL58" s="154"/>
      <c r="GM58" s="154"/>
      <c r="GN58" s="154"/>
      <c r="GO58" s="154"/>
      <c r="GP58" s="154"/>
      <c r="GQ58" s="154"/>
      <c r="GR58" s="154"/>
      <c r="GS58" s="154"/>
      <c r="GT58" s="154"/>
      <c r="GU58" s="154"/>
      <c r="GV58" s="154"/>
      <c r="GW58" s="154"/>
      <c r="GX58" s="154"/>
      <c r="GY58" s="154"/>
      <c r="GZ58" s="154"/>
      <c r="HA58" s="154"/>
      <c r="HB58" s="154"/>
      <c r="HC58" s="154"/>
      <c r="HD58" s="154"/>
      <c r="HE58" s="154"/>
      <c r="HF58" s="154"/>
      <c r="HG58" s="154"/>
      <c r="HH58" s="154"/>
      <c r="HI58" s="154"/>
      <c r="HJ58" s="154"/>
      <c r="HK58" s="154"/>
      <c r="HL58" s="154"/>
      <c r="HM58" s="154"/>
      <c r="HN58" s="154"/>
      <c r="HO58" s="154"/>
      <c r="HP58" s="154"/>
      <c r="HQ58" s="154"/>
      <c r="HR58" s="154"/>
      <c r="HS58" s="154"/>
      <c r="HT58" s="154"/>
      <c r="HU58" s="154"/>
      <c r="HV58" s="154"/>
      <c r="HW58" s="154"/>
      <c r="HX58" s="154"/>
      <c r="HY58" s="154"/>
      <c r="HZ58" s="122"/>
    </row>
    <row r="59" spans="4:234" ht="6" customHeight="1">
      <c r="D59" s="120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4"/>
      <c r="BS59" s="154"/>
      <c r="BT59" s="154"/>
      <c r="BU59" s="154"/>
      <c r="BV59" s="154"/>
      <c r="BW59" s="154"/>
      <c r="BX59" s="154"/>
      <c r="BY59" s="154"/>
      <c r="BZ59" s="154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  <c r="DG59" s="154"/>
      <c r="DH59" s="154"/>
      <c r="DI59" s="154"/>
      <c r="DJ59" s="154"/>
      <c r="DK59" s="154"/>
      <c r="DL59" s="154"/>
      <c r="DM59" s="154"/>
      <c r="DN59" s="122"/>
      <c r="DP59" s="120"/>
      <c r="DQ59" s="154"/>
      <c r="DR59" s="154"/>
      <c r="DS59" s="154"/>
      <c r="DT59" s="154"/>
      <c r="DU59" s="154"/>
      <c r="DV59" s="154"/>
      <c r="DW59" s="154"/>
      <c r="DX59" s="154"/>
      <c r="DY59" s="154"/>
      <c r="DZ59" s="154"/>
      <c r="EA59" s="154"/>
      <c r="EB59" s="154"/>
      <c r="EC59" s="154"/>
      <c r="ED59" s="154"/>
      <c r="EE59" s="154"/>
      <c r="EF59" s="154"/>
      <c r="EG59" s="154"/>
      <c r="EH59" s="154"/>
      <c r="EI59" s="154"/>
      <c r="EJ59" s="154"/>
      <c r="EK59" s="154"/>
      <c r="EL59" s="154"/>
      <c r="EM59" s="154"/>
      <c r="EN59" s="154"/>
      <c r="EO59" s="154"/>
      <c r="EP59" s="154"/>
      <c r="EQ59" s="154"/>
      <c r="ER59" s="154"/>
      <c r="ES59" s="154"/>
      <c r="ET59" s="154"/>
      <c r="EU59" s="154"/>
      <c r="EV59" s="154"/>
      <c r="EW59" s="154"/>
      <c r="EX59" s="154"/>
      <c r="EY59" s="154"/>
      <c r="EZ59" s="154"/>
      <c r="FA59" s="154"/>
      <c r="FB59" s="154"/>
      <c r="FC59" s="154"/>
      <c r="FD59" s="154"/>
      <c r="FE59" s="154"/>
      <c r="FF59" s="154"/>
      <c r="FG59" s="154"/>
      <c r="FH59" s="154"/>
      <c r="FI59" s="154"/>
      <c r="FJ59" s="154"/>
      <c r="FK59" s="154"/>
      <c r="FL59" s="154"/>
      <c r="FM59" s="154"/>
      <c r="FN59" s="154"/>
      <c r="FO59" s="154"/>
      <c r="FP59" s="154"/>
      <c r="FQ59" s="154"/>
      <c r="FR59" s="154"/>
      <c r="FS59" s="154"/>
      <c r="FT59" s="154"/>
      <c r="FU59" s="154"/>
      <c r="FV59" s="154"/>
      <c r="FW59" s="154"/>
      <c r="FX59" s="154"/>
      <c r="FY59" s="154"/>
      <c r="FZ59" s="154"/>
      <c r="GA59" s="154"/>
      <c r="GB59" s="154"/>
      <c r="GC59" s="154"/>
      <c r="GD59" s="154"/>
      <c r="GE59" s="154"/>
      <c r="GF59" s="154"/>
      <c r="GG59" s="154"/>
      <c r="GH59" s="154"/>
      <c r="GI59" s="154"/>
      <c r="GJ59" s="154"/>
      <c r="GK59" s="154"/>
      <c r="GL59" s="154"/>
      <c r="GM59" s="154"/>
      <c r="GN59" s="154"/>
      <c r="GO59" s="154"/>
      <c r="GP59" s="154"/>
      <c r="GQ59" s="154"/>
      <c r="GR59" s="154"/>
      <c r="GS59" s="154"/>
      <c r="GT59" s="154"/>
      <c r="GU59" s="154"/>
      <c r="GV59" s="154"/>
      <c r="GW59" s="154"/>
      <c r="GX59" s="154"/>
      <c r="GY59" s="154"/>
      <c r="GZ59" s="154"/>
      <c r="HA59" s="154"/>
      <c r="HB59" s="154"/>
      <c r="HC59" s="154"/>
      <c r="HD59" s="154"/>
      <c r="HE59" s="154"/>
      <c r="HF59" s="154"/>
      <c r="HG59" s="154"/>
      <c r="HH59" s="154"/>
      <c r="HI59" s="154"/>
      <c r="HJ59" s="154"/>
      <c r="HK59" s="154"/>
      <c r="HL59" s="154"/>
      <c r="HM59" s="154"/>
      <c r="HN59" s="154"/>
      <c r="HO59" s="154"/>
      <c r="HP59" s="154"/>
      <c r="HQ59" s="154"/>
      <c r="HR59" s="154"/>
      <c r="HS59" s="154"/>
      <c r="HT59" s="154"/>
      <c r="HU59" s="154"/>
      <c r="HV59" s="154"/>
      <c r="HW59" s="154"/>
      <c r="HX59" s="154"/>
      <c r="HY59" s="154"/>
      <c r="HZ59" s="122"/>
    </row>
    <row r="60" spans="4:234" ht="6" customHeight="1">
      <c r="D60" s="120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4"/>
      <c r="CH60" s="154"/>
      <c r="CI60" s="154"/>
      <c r="CJ60" s="154"/>
      <c r="CK60" s="154"/>
      <c r="CL60" s="154"/>
      <c r="CM60" s="154"/>
      <c r="CN60" s="154"/>
      <c r="CO60" s="154"/>
      <c r="CP60" s="154"/>
      <c r="CQ60" s="154"/>
      <c r="CR60" s="154"/>
      <c r="CS60" s="154"/>
      <c r="CT60" s="154"/>
      <c r="CU60" s="154"/>
      <c r="CV60" s="154"/>
      <c r="CW60" s="154"/>
      <c r="CX60" s="154"/>
      <c r="CY60" s="154"/>
      <c r="CZ60" s="154"/>
      <c r="DA60" s="154"/>
      <c r="DB60" s="154"/>
      <c r="DC60" s="154"/>
      <c r="DD60" s="154"/>
      <c r="DE60" s="154"/>
      <c r="DF60" s="154"/>
      <c r="DG60" s="154"/>
      <c r="DH60" s="154"/>
      <c r="DI60" s="154"/>
      <c r="DJ60" s="154"/>
      <c r="DK60" s="154"/>
      <c r="DL60" s="154"/>
      <c r="DM60" s="154"/>
      <c r="DN60" s="122"/>
      <c r="DP60" s="120"/>
      <c r="DQ60" s="154"/>
      <c r="DR60" s="154"/>
      <c r="DS60" s="154"/>
      <c r="DT60" s="154"/>
      <c r="DU60" s="154"/>
      <c r="DV60" s="154"/>
      <c r="DW60" s="154"/>
      <c r="DX60" s="154"/>
      <c r="DY60" s="154"/>
      <c r="DZ60" s="154"/>
      <c r="EA60" s="154"/>
      <c r="EB60" s="154"/>
      <c r="EC60" s="154"/>
      <c r="ED60" s="154"/>
      <c r="EE60" s="154"/>
      <c r="EF60" s="154"/>
      <c r="EG60" s="154"/>
      <c r="EH60" s="154"/>
      <c r="EI60" s="154"/>
      <c r="EJ60" s="154"/>
      <c r="EK60" s="154"/>
      <c r="EL60" s="154"/>
      <c r="EM60" s="154"/>
      <c r="EN60" s="154"/>
      <c r="EO60" s="154"/>
      <c r="EP60" s="154"/>
      <c r="EQ60" s="154"/>
      <c r="ER60" s="154"/>
      <c r="ES60" s="154"/>
      <c r="ET60" s="154"/>
      <c r="EU60" s="154"/>
      <c r="EV60" s="154"/>
      <c r="EW60" s="154"/>
      <c r="EX60" s="154"/>
      <c r="EY60" s="154"/>
      <c r="EZ60" s="154"/>
      <c r="FA60" s="154"/>
      <c r="FB60" s="154"/>
      <c r="FC60" s="154"/>
      <c r="FD60" s="154"/>
      <c r="FE60" s="154"/>
      <c r="FF60" s="154"/>
      <c r="FG60" s="154"/>
      <c r="FH60" s="154"/>
      <c r="FI60" s="154"/>
      <c r="FJ60" s="154"/>
      <c r="FK60" s="154"/>
      <c r="FL60" s="154"/>
      <c r="FM60" s="154"/>
      <c r="FN60" s="154"/>
      <c r="FO60" s="154"/>
      <c r="FP60" s="154"/>
      <c r="FQ60" s="154"/>
      <c r="FR60" s="154"/>
      <c r="FS60" s="154"/>
      <c r="FT60" s="154"/>
      <c r="FU60" s="154"/>
      <c r="FV60" s="154"/>
      <c r="FW60" s="154"/>
      <c r="FX60" s="154"/>
      <c r="FY60" s="154"/>
      <c r="FZ60" s="154"/>
      <c r="GA60" s="154"/>
      <c r="GB60" s="154"/>
      <c r="GC60" s="154"/>
      <c r="GD60" s="154"/>
      <c r="GE60" s="154"/>
      <c r="GF60" s="154"/>
      <c r="GG60" s="154"/>
      <c r="GH60" s="154"/>
      <c r="GI60" s="154"/>
      <c r="GJ60" s="154"/>
      <c r="GK60" s="154"/>
      <c r="GL60" s="154"/>
      <c r="GM60" s="154"/>
      <c r="GN60" s="154"/>
      <c r="GO60" s="154"/>
      <c r="GP60" s="154"/>
      <c r="GQ60" s="154"/>
      <c r="GR60" s="154"/>
      <c r="GS60" s="154"/>
      <c r="GT60" s="154"/>
      <c r="GU60" s="154"/>
      <c r="GV60" s="154"/>
      <c r="GW60" s="154"/>
      <c r="GX60" s="154"/>
      <c r="GY60" s="154"/>
      <c r="GZ60" s="154"/>
      <c r="HA60" s="154"/>
      <c r="HB60" s="154"/>
      <c r="HC60" s="154"/>
      <c r="HD60" s="154"/>
      <c r="HE60" s="154"/>
      <c r="HF60" s="154"/>
      <c r="HG60" s="154"/>
      <c r="HH60" s="154"/>
      <c r="HI60" s="154"/>
      <c r="HJ60" s="154"/>
      <c r="HK60" s="154"/>
      <c r="HL60" s="154"/>
      <c r="HM60" s="154"/>
      <c r="HN60" s="154"/>
      <c r="HO60" s="154"/>
      <c r="HP60" s="154"/>
      <c r="HQ60" s="154"/>
      <c r="HR60" s="154"/>
      <c r="HS60" s="154"/>
      <c r="HT60" s="154"/>
      <c r="HU60" s="154"/>
      <c r="HV60" s="154"/>
      <c r="HW60" s="154"/>
      <c r="HX60" s="154"/>
      <c r="HY60" s="154"/>
      <c r="HZ60" s="122"/>
    </row>
    <row r="61" spans="4:234" ht="6" customHeight="1">
      <c r="D61" s="120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  <c r="BN61" s="154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4"/>
      <c r="CG61" s="154"/>
      <c r="CH61" s="154"/>
      <c r="CI61" s="154"/>
      <c r="CJ61" s="154"/>
      <c r="CK61" s="154"/>
      <c r="CL61" s="154"/>
      <c r="CM61" s="154"/>
      <c r="CN61" s="154"/>
      <c r="CO61" s="154"/>
      <c r="CP61" s="154"/>
      <c r="CQ61" s="154"/>
      <c r="CR61" s="154"/>
      <c r="CS61" s="154"/>
      <c r="CT61" s="154"/>
      <c r="CU61" s="154"/>
      <c r="CV61" s="154"/>
      <c r="CW61" s="154"/>
      <c r="CX61" s="154"/>
      <c r="CY61" s="154"/>
      <c r="CZ61" s="154"/>
      <c r="DA61" s="154"/>
      <c r="DB61" s="154"/>
      <c r="DC61" s="154"/>
      <c r="DD61" s="154"/>
      <c r="DE61" s="154"/>
      <c r="DF61" s="154"/>
      <c r="DG61" s="154"/>
      <c r="DH61" s="154"/>
      <c r="DI61" s="154"/>
      <c r="DJ61" s="154"/>
      <c r="DK61" s="154"/>
      <c r="DL61" s="154"/>
      <c r="DM61" s="154"/>
      <c r="DN61" s="122"/>
      <c r="DP61" s="120"/>
      <c r="DQ61" s="154"/>
      <c r="DR61" s="154"/>
      <c r="DS61" s="154"/>
      <c r="DT61" s="154"/>
      <c r="DU61" s="154"/>
      <c r="DV61" s="154"/>
      <c r="DW61" s="154"/>
      <c r="DX61" s="154"/>
      <c r="DY61" s="154"/>
      <c r="DZ61" s="154"/>
      <c r="EA61" s="154"/>
      <c r="EB61" s="154"/>
      <c r="EC61" s="154"/>
      <c r="ED61" s="154"/>
      <c r="EE61" s="154"/>
      <c r="EF61" s="154"/>
      <c r="EG61" s="154"/>
      <c r="EH61" s="154"/>
      <c r="EI61" s="154"/>
      <c r="EJ61" s="154"/>
      <c r="EK61" s="154"/>
      <c r="EL61" s="154"/>
      <c r="EM61" s="154"/>
      <c r="EN61" s="154"/>
      <c r="EO61" s="154"/>
      <c r="EP61" s="154"/>
      <c r="EQ61" s="154"/>
      <c r="ER61" s="154"/>
      <c r="ES61" s="154"/>
      <c r="ET61" s="154"/>
      <c r="EU61" s="154"/>
      <c r="EV61" s="154"/>
      <c r="EW61" s="154"/>
      <c r="EX61" s="154"/>
      <c r="EY61" s="154"/>
      <c r="EZ61" s="154"/>
      <c r="FA61" s="154"/>
      <c r="FB61" s="154"/>
      <c r="FC61" s="154"/>
      <c r="FD61" s="154"/>
      <c r="FE61" s="154"/>
      <c r="FF61" s="154"/>
      <c r="FG61" s="154"/>
      <c r="FH61" s="154"/>
      <c r="FI61" s="154"/>
      <c r="FJ61" s="154"/>
      <c r="FK61" s="154"/>
      <c r="FL61" s="154"/>
      <c r="FM61" s="154"/>
      <c r="FN61" s="154"/>
      <c r="FO61" s="154"/>
      <c r="FP61" s="154"/>
      <c r="FQ61" s="154"/>
      <c r="FR61" s="154"/>
      <c r="FS61" s="154"/>
      <c r="FT61" s="154"/>
      <c r="FU61" s="154"/>
      <c r="FV61" s="154"/>
      <c r="FW61" s="154"/>
      <c r="FX61" s="154"/>
      <c r="FY61" s="154"/>
      <c r="FZ61" s="154"/>
      <c r="GA61" s="154"/>
      <c r="GB61" s="154"/>
      <c r="GC61" s="154"/>
      <c r="GD61" s="154"/>
      <c r="GE61" s="154"/>
      <c r="GF61" s="154"/>
      <c r="GG61" s="154"/>
      <c r="GH61" s="154"/>
      <c r="GI61" s="154"/>
      <c r="GJ61" s="154"/>
      <c r="GK61" s="154"/>
      <c r="GL61" s="154"/>
      <c r="GM61" s="154"/>
      <c r="GN61" s="154"/>
      <c r="GO61" s="154"/>
      <c r="GP61" s="154"/>
      <c r="GQ61" s="154"/>
      <c r="GR61" s="154"/>
      <c r="GS61" s="154"/>
      <c r="GT61" s="154"/>
      <c r="GU61" s="154"/>
      <c r="GV61" s="154"/>
      <c r="GW61" s="154"/>
      <c r="GX61" s="154"/>
      <c r="GY61" s="154"/>
      <c r="GZ61" s="154"/>
      <c r="HA61" s="154"/>
      <c r="HB61" s="154"/>
      <c r="HC61" s="154"/>
      <c r="HD61" s="154"/>
      <c r="HE61" s="154"/>
      <c r="HF61" s="154"/>
      <c r="HG61" s="154"/>
      <c r="HH61" s="154"/>
      <c r="HI61" s="154"/>
      <c r="HJ61" s="154"/>
      <c r="HK61" s="154"/>
      <c r="HL61" s="154"/>
      <c r="HM61" s="154"/>
      <c r="HN61" s="154"/>
      <c r="HO61" s="154"/>
      <c r="HP61" s="154"/>
      <c r="HQ61" s="154"/>
      <c r="HR61" s="154"/>
      <c r="HS61" s="154"/>
      <c r="HT61" s="154"/>
      <c r="HU61" s="154"/>
      <c r="HV61" s="154"/>
      <c r="HW61" s="154"/>
      <c r="HX61" s="154"/>
      <c r="HY61" s="154"/>
      <c r="HZ61" s="122"/>
    </row>
    <row r="62" spans="4:234" ht="6" customHeight="1">
      <c r="D62" s="120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4"/>
      <c r="CG62" s="154"/>
      <c r="CH62" s="154"/>
      <c r="CI62" s="154"/>
      <c r="CJ62" s="154"/>
      <c r="CK62" s="154"/>
      <c r="CL62" s="154"/>
      <c r="CM62" s="154"/>
      <c r="CN62" s="154"/>
      <c r="CO62" s="154"/>
      <c r="CP62" s="154"/>
      <c r="CQ62" s="154"/>
      <c r="CR62" s="154"/>
      <c r="CS62" s="154"/>
      <c r="CT62" s="154"/>
      <c r="CU62" s="154"/>
      <c r="CV62" s="154"/>
      <c r="CW62" s="154"/>
      <c r="CX62" s="154"/>
      <c r="CY62" s="154"/>
      <c r="CZ62" s="154"/>
      <c r="DA62" s="154"/>
      <c r="DB62" s="154"/>
      <c r="DC62" s="154"/>
      <c r="DD62" s="154"/>
      <c r="DE62" s="154"/>
      <c r="DF62" s="154"/>
      <c r="DG62" s="154"/>
      <c r="DH62" s="154"/>
      <c r="DI62" s="154"/>
      <c r="DJ62" s="154"/>
      <c r="DK62" s="154"/>
      <c r="DL62" s="154"/>
      <c r="DM62" s="154"/>
      <c r="DN62" s="122"/>
      <c r="DP62" s="120"/>
      <c r="DQ62" s="154"/>
      <c r="DR62" s="154"/>
      <c r="DS62" s="154"/>
      <c r="DT62" s="154"/>
      <c r="DU62" s="154"/>
      <c r="DV62" s="154"/>
      <c r="DW62" s="154"/>
      <c r="DX62" s="154"/>
      <c r="DY62" s="154"/>
      <c r="DZ62" s="154"/>
      <c r="EA62" s="154"/>
      <c r="EB62" s="154"/>
      <c r="EC62" s="154"/>
      <c r="ED62" s="154"/>
      <c r="EE62" s="154"/>
      <c r="EF62" s="154"/>
      <c r="EG62" s="154"/>
      <c r="EH62" s="154"/>
      <c r="EI62" s="154"/>
      <c r="EJ62" s="154"/>
      <c r="EK62" s="154"/>
      <c r="EL62" s="154"/>
      <c r="EM62" s="154"/>
      <c r="EN62" s="154"/>
      <c r="EO62" s="154"/>
      <c r="EP62" s="154"/>
      <c r="EQ62" s="154"/>
      <c r="ER62" s="154"/>
      <c r="ES62" s="154"/>
      <c r="ET62" s="154"/>
      <c r="EU62" s="154"/>
      <c r="EV62" s="154"/>
      <c r="EW62" s="154"/>
      <c r="EX62" s="154"/>
      <c r="EY62" s="154"/>
      <c r="EZ62" s="154"/>
      <c r="FA62" s="154"/>
      <c r="FB62" s="154"/>
      <c r="FC62" s="154"/>
      <c r="FD62" s="154"/>
      <c r="FE62" s="154"/>
      <c r="FF62" s="154"/>
      <c r="FG62" s="154"/>
      <c r="FH62" s="154"/>
      <c r="FI62" s="154"/>
      <c r="FJ62" s="154"/>
      <c r="FK62" s="154"/>
      <c r="FL62" s="154"/>
      <c r="FM62" s="154"/>
      <c r="FN62" s="154"/>
      <c r="FO62" s="154"/>
      <c r="FP62" s="154"/>
      <c r="FQ62" s="154"/>
      <c r="FR62" s="154"/>
      <c r="FS62" s="154"/>
      <c r="FT62" s="154"/>
      <c r="FU62" s="154"/>
      <c r="FV62" s="154"/>
      <c r="FW62" s="154"/>
      <c r="FX62" s="154"/>
      <c r="FY62" s="154"/>
      <c r="FZ62" s="154"/>
      <c r="GA62" s="154"/>
      <c r="GB62" s="154"/>
      <c r="GC62" s="154"/>
      <c r="GD62" s="154"/>
      <c r="GE62" s="154"/>
      <c r="GF62" s="154"/>
      <c r="GG62" s="154"/>
      <c r="GH62" s="154"/>
      <c r="GI62" s="154"/>
      <c r="GJ62" s="154"/>
      <c r="GK62" s="154"/>
      <c r="GL62" s="154"/>
      <c r="GM62" s="154"/>
      <c r="GN62" s="154"/>
      <c r="GO62" s="154"/>
      <c r="GP62" s="154"/>
      <c r="GQ62" s="154"/>
      <c r="GR62" s="154"/>
      <c r="GS62" s="154"/>
      <c r="GT62" s="154"/>
      <c r="GU62" s="154"/>
      <c r="GV62" s="154"/>
      <c r="GW62" s="154"/>
      <c r="GX62" s="154"/>
      <c r="GY62" s="154"/>
      <c r="GZ62" s="154"/>
      <c r="HA62" s="154"/>
      <c r="HB62" s="154"/>
      <c r="HC62" s="154"/>
      <c r="HD62" s="154"/>
      <c r="HE62" s="154"/>
      <c r="HF62" s="154"/>
      <c r="HG62" s="154"/>
      <c r="HH62" s="154"/>
      <c r="HI62" s="154"/>
      <c r="HJ62" s="154"/>
      <c r="HK62" s="154"/>
      <c r="HL62" s="154"/>
      <c r="HM62" s="154"/>
      <c r="HN62" s="154"/>
      <c r="HO62" s="154"/>
      <c r="HP62" s="154"/>
      <c r="HQ62" s="154"/>
      <c r="HR62" s="154"/>
      <c r="HS62" s="154"/>
      <c r="HT62" s="154"/>
      <c r="HU62" s="154"/>
      <c r="HV62" s="154"/>
      <c r="HW62" s="154"/>
      <c r="HX62" s="154"/>
      <c r="HY62" s="154"/>
      <c r="HZ62" s="122"/>
    </row>
    <row r="63" spans="4:234" ht="6" customHeight="1">
      <c r="D63" s="120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  <c r="BN63" s="154"/>
      <c r="BO63" s="154"/>
      <c r="BP63" s="154"/>
      <c r="BQ63" s="154"/>
      <c r="BR63" s="154"/>
      <c r="BS63" s="154"/>
      <c r="BT63" s="154"/>
      <c r="BU63" s="154"/>
      <c r="BV63" s="154"/>
      <c r="BW63" s="154"/>
      <c r="BX63" s="154"/>
      <c r="BY63" s="154"/>
      <c r="BZ63" s="154"/>
      <c r="CA63" s="154"/>
      <c r="CB63" s="154"/>
      <c r="CC63" s="154"/>
      <c r="CD63" s="154"/>
      <c r="CE63" s="154"/>
      <c r="CF63" s="154"/>
      <c r="CG63" s="154"/>
      <c r="CH63" s="154"/>
      <c r="CI63" s="154"/>
      <c r="CJ63" s="154"/>
      <c r="CK63" s="154"/>
      <c r="CL63" s="154"/>
      <c r="CM63" s="154"/>
      <c r="CN63" s="154"/>
      <c r="CO63" s="154"/>
      <c r="CP63" s="154"/>
      <c r="CQ63" s="154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C63" s="154"/>
      <c r="DD63" s="154"/>
      <c r="DE63" s="154"/>
      <c r="DF63" s="154"/>
      <c r="DG63" s="154"/>
      <c r="DH63" s="154"/>
      <c r="DI63" s="154"/>
      <c r="DJ63" s="154"/>
      <c r="DK63" s="154"/>
      <c r="DL63" s="154"/>
      <c r="DM63" s="154"/>
      <c r="DN63" s="122"/>
      <c r="DO63" s="47"/>
      <c r="DP63" s="120"/>
      <c r="DQ63" s="154"/>
      <c r="DR63" s="154"/>
      <c r="DS63" s="154"/>
      <c r="DT63" s="154"/>
      <c r="DU63" s="154"/>
      <c r="DV63" s="154"/>
      <c r="DW63" s="154"/>
      <c r="DX63" s="154"/>
      <c r="DY63" s="154"/>
      <c r="DZ63" s="154"/>
      <c r="EA63" s="154"/>
      <c r="EB63" s="154"/>
      <c r="EC63" s="154"/>
      <c r="ED63" s="154"/>
      <c r="EE63" s="154"/>
      <c r="EF63" s="154"/>
      <c r="EG63" s="154"/>
      <c r="EH63" s="154"/>
      <c r="EI63" s="154"/>
      <c r="EJ63" s="154"/>
      <c r="EK63" s="154"/>
      <c r="EL63" s="154"/>
      <c r="EM63" s="154"/>
      <c r="EN63" s="154"/>
      <c r="EO63" s="154"/>
      <c r="EP63" s="154"/>
      <c r="EQ63" s="154"/>
      <c r="ER63" s="154"/>
      <c r="ES63" s="154"/>
      <c r="ET63" s="154"/>
      <c r="EU63" s="154"/>
      <c r="EV63" s="154"/>
      <c r="EW63" s="154"/>
      <c r="EX63" s="154"/>
      <c r="EY63" s="154"/>
      <c r="EZ63" s="154"/>
      <c r="FA63" s="154"/>
      <c r="FB63" s="154"/>
      <c r="FC63" s="154"/>
      <c r="FD63" s="154"/>
      <c r="FE63" s="154"/>
      <c r="FF63" s="154"/>
      <c r="FG63" s="154"/>
      <c r="FH63" s="154"/>
      <c r="FI63" s="154"/>
      <c r="FJ63" s="154"/>
      <c r="FK63" s="154"/>
      <c r="FL63" s="154"/>
      <c r="FM63" s="154"/>
      <c r="FN63" s="154"/>
      <c r="FO63" s="154"/>
      <c r="FP63" s="154"/>
      <c r="FQ63" s="154"/>
      <c r="FR63" s="154"/>
      <c r="FS63" s="154"/>
      <c r="FT63" s="154"/>
      <c r="FU63" s="154"/>
      <c r="FV63" s="154"/>
      <c r="FW63" s="154"/>
      <c r="FX63" s="154"/>
      <c r="FY63" s="154"/>
      <c r="FZ63" s="154"/>
      <c r="GA63" s="154"/>
      <c r="GB63" s="154"/>
      <c r="GC63" s="154"/>
      <c r="GD63" s="154"/>
      <c r="GE63" s="154"/>
      <c r="GF63" s="154"/>
      <c r="GG63" s="154"/>
      <c r="GH63" s="154"/>
      <c r="GI63" s="154"/>
      <c r="GJ63" s="154"/>
      <c r="GK63" s="154"/>
      <c r="GL63" s="154"/>
      <c r="GM63" s="154"/>
      <c r="GN63" s="154"/>
      <c r="GO63" s="154"/>
      <c r="GP63" s="154"/>
      <c r="GQ63" s="154"/>
      <c r="GR63" s="154"/>
      <c r="GS63" s="154"/>
      <c r="GT63" s="154"/>
      <c r="GU63" s="154"/>
      <c r="GV63" s="154"/>
      <c r="GW63" s="154"/>
      <c r="GX63" s="154"/>
      <c r="GY63" s="154"/>
      <c r="GZ63" s="154"/>
      <c r="HA63" s="154"/>
      <c r="HB63" s="154"/>
      <c r="HC63" s="154"/>
      <c r="HD63" s="154"/>
      <c r="HE63" s="154"/>
      <c r="HF63" s="154"/>
      <c r="HG63" s="154"/>
      <c r="HH63" s="154"/>
      <c r="HI63" s="154"/>
      <c r="HJ63" s="154"/>
      <c r="HK63" s="154"/>
      <c r="HL63" s="154"/>
      <c r="HM63" s="154"/>
      <c r="HN63" s="154"/>
      <c r="HO63" s="154"/>
      <c r="HP63" s="154"/>
      <c r="HQ63" s="154"/>
      <c r="HR63" s="154"/>
      <c r="HS63" s="154"/>
      <c r="HT63" s="154"/>
      <c r="HU63" s="154"/>
      <c r="HV63" s="154"/>
      <c r="HW63" s="154"/>
      <c r="HX63" s="154"/>
      <c r="HY63" s="154"/>
      <c r="HZ63" s="122"/>
    </row>
    <row r="64" spans="4:234" ht="6" customHeight="1">
      <c r="D64" s="120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4"/>
      <c r="BS64" s="154"/>
      <c r="BT64" s="154"/>
      <c r="BU64" s="154"/>
      <c r="BV64" s="154"/>
      <c r="BW64" s="154"/>
      <c r="BX64" s="154"/>
      <c r="BY64" s="154"/>
      <c r="BZ64" s="154"/>
      <c r="CA64" s="154"/>
      <c r="CB64" s="154"/>
      <c r="CC64" s="154"/>
      <c r="CD64" s="154"/>
      <c r="CE64" s="154"/>
      <c r="CF64" s="154"/>
      <c r="CG64" s="154"/>
      <c r="CH64" s="154"/>
      <c r="CI64" s="154"/>
      <c r="CJ64" s="154"/>
      <c r="CK64" s="154"/>
      <c r="CL64" s="154"/>
      <c r="CM64" s="154"/>
      <c r="CN64" s="154"/>
      <c r="CO64" s="154"/>
      <c r="CP64" s="154"/>
      <c r="CQ64" s="154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154"/>
      <c r="DE64" s="154"/>
      <c r="DF64" s="154"/>
      <c r="DG64" s="154"/>
      <c r="DH64" s="154"/>
      <c r="DI64" s="154"/>
      <c r="DJ64" s="154"/>
      <c r="DK64" s="154"/>
      <c r="DL64" s="154"/>
      <c r="DM64" s="154"/>
      <c r="DN64" s="122"/>
      <c r="DO64" s="47"/>
      <c r="DP64" s="120"/>
      <c r="DQ64" s="154"/>
      <c r="DR64" s="154"/>
      <c r="DS64" s="154"/>
      <c r="DT64" s="154"/>
      <c r="DU64" s="154"/>
      <c r="DV64" s="154"/>
      <c r="DW64" s="154"/>
      <c r="DX64" s="154"/>
      <c r="DY64" s="154"/>
      <c r="DZ64" s="154"/>
      <c r="EA64" s="154"/>
      <c r="EB64" s="154"/>
      <c r="EC64" s="154"/>
      <c r="ED64" s="154"/>
      <c r="EE64" s="154"/>
      <c r="EF64" s="154"/>
      <c r="EG64" s="154"/>
      <c r="EH64" s="154"/>
      <c r="EI64" s="154"/>
      <c r="EJ64" s="154"/>
      <c r="EK64" s="154"/>
      <c r="EL64" s="154"/>
      <c r="EM64" s="154"/>
      <c r="EN64" s="154"/>
      <c r="EO64" s="154"/>
      <c r="EP64" s="154"/>
      <c r="EQ64" s="154"/>
      <c r="ER64" s="154"/>
      <c r="ES64" s="154"/>
      <c r="ET64" s="154"/>
      <c r="EU64" s="154"/>
      <c r="EV64" s="154"/>
      <c r="EW64" s="154"/>
      <c r="EX64" s="154"/>
      <c r="EY64" s="154"/>
      <c r="EZ64" s="154"/>
      <c r="FA64" s="154"/>
      <c r="FB64" s="154"/>
      <c r="FC64" s="154"/>
      <c r="FD64" s="154"/>
      <c r="FE64" s="154"/>
      <c r="FF64" s="154"/>
      <c r="FG64" s="154"/>
      <c r="FH64" s="154"/>
      <c r="FI64" s="154"/>
      <c r="FJ64" s="154"/>
      <c r="FK64" s="154"/>
      <c r="FL64" s="154"/>
      <c r="FM64" s="154"/>
      <c r="FN64" s="154"/>
      <c r="FO64" s="154"/>
      <c r="FP64" s="154"/>
      <c r="FQ64" s="154"/>
      <c r="FR64" s="154"/>
      <c r="FS64" s="154"/>
      <c r="FT64" s="154"/>
      <c r="FU64" s="154"/>
      <c r="FV64" s="154"/>
      <c r="FW64" s="154"/>
      <c r="FX64" s="154"/>
      <c r="FY64" s="154"/>
      <c r="FZ64" s="154"/>
      <c r="GA64" s="154"/>
      <c r="GB64" s="154"/>
      <c r="GC64" s="154"/>
      <c r="GD64" s="154"/>
      <c r="GE64" s="154"/>
      <c r="GF64" s="154"/>
      <c r="GG64" s="154"/>
      <c r="GH64" s="154"/>
      <c r="GI64" s="154"/>
      <c r="GJ64" s="154"/>
      <c r="GK64" s="154"/>
      <c r="GL64" s="154"/>
      <c r="GM64" s="154"/>
      <c r="GN64" s="154"/>
      <c r="GO64" s="154"/>
      <c r="GP64" s="154"/>
      <c r="GQ64" s="154"/>
      <c r="GR64" s="154"/>
      <c r="GS64" s="154"/>
      <c r="GT64" s="154"/>
      <c r="GU64" s="154"/>
      <c r="GV64" s="154"/>
      <c r="GW64" s="154"/>
      <c r="GX64" s="154"/>
      <c r="GY64" s="154"/>
      <c r="GZ64" s="154"/>
      <c r="HA64" s="154"/>
      <c r="HB64" s="154"/>
      <c r="HC64" s="154"/>
      <c r="HD64" s="154"/>
      <c r="HE64" s="154"/>
      <c r="HF64" s="154"/>
      <c r="HG64" s="154"/>
      <c r="HH64" s="154"/>
      <c r="HI64" s="154"/>
      <c r="HJ64" s="154"/>
      <c r="HK64" s="154"/>
      <c r="HL64" s="154"/>
      <c r="HM64" s="154"/>
      <c r="HN64" s="154"/>
      <c r="HO64" s="154"/>
      <c r="HP64" s="154"/>
      <c r="HQ64" s="154"/>
      <c r="HR64" s="154"/>
      <c r="HS64" s="154"/>
      <c r="HT64" s="154"/>
      <c r="HU64" s="154"/>
      <c r="HV64" s="154"/>
      <c r="HW64" s="154"/>
      <c r="HX64" s="154"/>
      <c r="HY64" s="154"/>
      <c r="HZ64" s="122"/>
    </row>
    <row r="65" spans="4:234" ht="6" customHeight="1">
      <c r="D65" s="120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  <c r="BN65" s="154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4"/>
      <c r="CD65" s="154"/>
      <c r="CE65" s="154"/>
      <c r="CF65" s="154"/>
      <c r="CG65" s="154"/>
      <c r="CH65" s="154"/>
      <c r="CI65" s="154"/>
      <c r="CJ65" s="154"/>
      <c r="CK65" s="154"/>
      <c r="CL65" s="154"/>
      <c r="CM65" s="154"/>
      <c r="CN65" s="154"/>
      <c r="CO65" s="154"/>
      <c r="CP65" s="154"/>
      <c r="CQ65" s="154"/>
      <c r="CR65" s="154"/>
      <c r="CS65" s="154"/>
      <c r="CT65" s="154"/>
      <c r="CU65" s="154"/>
      <c r="CV65" s="154"/>
      <c r="CW65" s="154"/>
      <c r="CX65" s="154"/>
      <c r="CY65" s="154"/>
      <c r="CZ65" s="154"/>
      <c r="DA65" s="154"/>
      <c r="DB65" s="154"/>
      <c r="DC65" s="154"/>
      <c r="DD65" s="154"/>
      <c r="DE65" s="154"/>
      <c r="DF65" s="154"/>
      <c r="DG65" s="154"/>
      <c r="DH65" s="154"/>
      <c r="DI65" s="154"/>
      <c r="DJ65" s="154"/>
      <c r="DK65" s="154"/>
      <c r="DL65" s="154"/>
      <c r="DM65" s="154"/>
      <c r="DN65" s="122"/>
      <c r="DO65" s="47"/>
      <c r="DP65" s="120"/>
      <c r="DQ65" s="154"/>
      <c r="DR65" s="154"/>
      <c r="DS65" s="154"/>
      <c r="DT65" s="154"/>
      <c r="DU65" s="154"/>
      <c r="DV65" s="154"/>
      <c r="DW65" s="154"/>
      <c r="DX65" s="154"/>
      <c r="DY65" s="154"/>
      <c r="DZ65" s="154"/>
      <c r="EA65" s="154"/>
      <c r="EB65" s="154"/>
      <c r="EC65" s="154"/>
      <c r="ED65" s="154"/>
      <c r="EE65" s="154"/>
      <c r="EF65" s="154"/>
      <c r="EG65" s="154"/>
      <c r="EH65" s="154"/>
      <c r="EI65" s="154"/>
      <c r="EJ65" s="154"/>
      <c r="EK65" s="154"/>
      <c r="EL65" s="154"/>
      <c r="EM65" s="154"/>
      <c r="EN65" s="154"/>
      <c r="EO65" s="154"/>
      <c r="EP65" s="154"/>
      <c r="EQ65" s="154"/>
      <c r="ER65" s="154"/>
      <c r="ES65" s="154"/>
      <c r="ET65" s="154"/>
      <c r="EU65" s="154"/>
      <c r="EV65" s="154"/>
      <c r="EW65" s="154"/>
      <c r="EX65" s="154"/>
      <c r="EY65" s="154"/>
      <c r="EZ65" s="154"/>
      <c r="FA65" s="154"/>
      <c r="FB65" s="154"/>
      <c r="FC65" s="154"/>
      <c r="FD65" s="154"/>
      <c r="FE65" s="154"/>
      <c r="FF65" s="154"/>
      <c r="FG65" s="154"/>
      <c r="FH65" s="154"/>
      <c r="FI65" s="154"/>
      <c r="FJ65" s="154"/>
      <c r="FK65" s="154"/>
      <c r="FL65" s="154"/>
      <c r="FM65" s="154"/>
      <c r="FN65" s="154"/>
      <c r="FO65" s="154"/>
      <c r="FP65" s="154"/>
      <c r="FQ65" s="154"/>
      <c r="FR65" s="154"/>
      <c r="FS65" s="154"/>
      <c r="FT65" s="154"/>
      <c r="FU65" s="154"/>
      <c r="FV65" s="154"/>
      <c r="FW65" s="154"/>
      <c r="FX65" s="154"/>
      <c r="FY65" s="154"/>
      <c r="FZ65" s="154"/>
      <c r="GA65" s="154"/>
      <c r="GB65" s="154"/>
      <c r="GC65" s="154"/>
      <c r="GD65" s="154"/>
      <c r="GE65" s="154"/>
      <c r="GF65" s="154"/>
      <c r="GG65" s="154"/>
      <c r="GH65" s="154"/>
      <c r="GI65" s="154"/>
      <c r="GJ65" s="154"/>
      <c r="GK65" s="154"/>
      <c r="GL65" s="154"/>
      <c r="GM65" s="154"/>
      <c r="GN65" s="154"/>
      <c r="GO65" s="154"/>
      <c r="GP65" s="154"/>
      <c r="GQ65" s="154"/>
      <c r="GR65" s="154"/>
      <c r="GS65" s="154"/>
      <c r="GT65" s="154"/>
      <c r="GU65" s="154"/>
      <c r="GV65" s="154"/>
      <c r="GW65" s="154"/>
      <c r="GX65" s="154"/>
      <c r="GY65" s="154"/>
      <c r="GZ65" s="154"/>
      <c r="HA65" s="154"/>
      <c r="HB65" s="154"/>
      <c r="HC65" s="154"/>
      <c r="HD65" s="154"/>
      <c r="HE65" s="154"/>
      <c r="HF65" s="154"/>
      <c r="HG65" s="154"/>
      <c r="HH65" s="154"/>
      <c r="HI65" s="154"/>
      <c r="HJ65" s="154"/>
      <c r="HK65" s="154"/>
      <c r="HL65" s="154"/>
      <c r="HM65" s="154"/>
      <c r="HN65" s="154"/>
      <c r="HO65" s="154"/>
      <c r="HP65" s="154"/>
      <c r="HQ65" s="154"/>
      <c r="HR65" s="154"/>
      <c r="HS65" s="154"/>
      <c r="HT65" s="154"/>
      <c r="HU65" s="154"/>
      <c r="HV65" s="154"/>
      <c r="HW65" s="154"/>
      <c r="HX65" s="154"/>
      <c r="HY65" s="154"/>
      <c r="HZ65" s="122"/>
    </row>
    <row r="66" spans="4:234" ht="6" customHeight="1">
      <c r="D66" s="120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22"/>
      <c r="DO66" s="47"/>
      <c r="DP66" s="120"/>
      <c r="DQ66" s="154"/>
      <c r="DR66" s="154"/>
      <c r="DS66" s="154"/>
      <c r="DT66" s="154"/>
      <c r="DU66" s="154"/>
      <c r="DV66" s="154"/>
      <c r="DW66" s="154"/>
      <c r="DX66" s="154"/>
      <c r="DY66" s="154"/>
      <c r="DZ66" s="154"/>
      <c r="EA66" s="154"/>
      <c r="EB66" s="154"/>
      <c r="EC66" s="154"/>
      <c r="ED66" s="154"/>
      <c r="EE66" s="154"/>
      <c r="EF66" s="154"/>
      <c r="EG66" s="154"/>
      <c r="EH66" s="154"/>
      <c r="EI66" s="154"/>
      <c r="EJ66" s="154"/>
      <c r="EK66" s="154"/>
      <c r="EL66" s="154"/>
      <c r="EM66" s="154"/>
      <c r="EN66" s="154"/>
      <c r="EO66" s="154"/>
      <c r="EP66" s="154"/>
      <c r="EQ66" s="154"/>
      <c r="ER66" s="154"/>
      <c r="ES66" s="154"/>
      <c r="ET66" s="154"/>
      <c r="EU66" s="154"/>
      <c r="EV66" s="154"/>
      <c r="EW66" s="154"/>
      <c r="EX66" s="154"/>
      <c r="EY66" s="154"/>
      <c r="EZ66" s="154"/>
      <c r="FA66" s="154"/>
      <c r="FB66" s="154"/>
      <c r="FC66" s="154"/>
      <c r="FD66" s="154"/>
      <c r="FE66" s="154"/>
      <c r="FF66" s="154"/>
      <c r="FG66" s="154"/>
      <c r="FH66" s="154"/>
      <c r="FI66" s="154"/>
      <c r="FJ66" s="154"/>
      <c r="FK66" s="154"/>
      <c r="FL66" s="154"/>
      <c r="FM66" s="154"/>
      <c r="FN66" s="154"/>
      <c r="FO66" s="154"/>
      <c r="FP66" s="154"/>
      <c r="FQ66" s="154"/>
      <c r="FR66" s="154"/>
      <c r="FS66" s="154"/>
      <c r="FT66" s="154"/>
      <c r="FU66" s="154"/>
      <c r="FV66" s="154"/>
      <c r="FW66" s="154"/>
      <c r="FX66" s="154"/>
      <c r="FY66" s="154"/>
      <c r="FZ66" s="154"/>
      <c r="GA66" s="154"/>
      <c r="GB66" s="154"/>
      <c r="GC66" s="154"/>
      <c r="GD66" s="154"/>
      <c r="GE66" s="154"/>
      <c r="GF66" s="154"/>
      <c r="GG66" s="154"/>
      <c r="GH66" s="154"/>
      <c r="GI66" s="154"/>
      <c r="GJ66" s="154"/>
      <c r="GK66" s="154"/>
      <c r="GL66" s="154"/>
      <c r="GM66" s="154"/>
      <c r="GN66" s="154"/>
      <c r="GO66" s="154"/>
      <c r="GP66" s="154"/>
      <c r="GQ66" s="154"/>
      <c r="GR66" s="154"/>
      <c r="GS66" s="154"/>
      <c r="GT66" s="154"/>
      <c r="GU66" s="154"/>
      <c r="GV66" s="154"/>
      <c r="GW66" s="154"/>
      <c r="GX66" s="154"/>
      <c r="GY66" s="154"/>
      <c r="GZ66" s="154"/>
      <c r="HA66" s="154"/>
      <c r="HB66" s="154"/>
      <c r="HC66" s="154"/>
      <c r="HD66" s="154"/>
      <c r="HE66" s="154"/>
      <c r="HF66" s="154"/>
      <c r="HG66" s="154"/>
      <c r="HH66" s="154"/>
      <c r="HI66" s="154"/>
      <c r="HJ66" s="154"/>
      <c r="HK66" s="154"/>
      <c r="HL66" s="154"/>
      <c r="HM66" s="154"/>
      <c r="HN66" s="154"/>
      <c r="HO66" s="154"/>
      <c r="HP66" s="154"/>
      <c r="HQ66" s="154"/>
      <c r="HR66" s="154"/>
      <c r="HS66" s="154"/>
      <c r="HT66" s="154"/>
      <c r="HU66" s="154"/>
      <c r="HV66" s="154"/>
      <c r="HW66" s="154"/>
      <c r="HX66" s="154"/>
      <c r="HY66" s="154"/>
      <c r="HZ66" s="122"/>
    </row>
    <row r="67" spans="4:234" ht="6" customHeight="1">
      <c r="D67" s="120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4"/>
      <c r="BT67" s="154"/>
      <c r="BU67" s="154"/>
      <c r="BV67" s="154"/>
      <c r="BW67" s="154"/>
      <c r="BX67" s="154"/>
      <c r="BY67" s="154"/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  <c r="CK67" s="154"/>
      <c r="CL67" s="154"/>
      <c r="CM67" s="154"/>
      <c r="CN67" s="154"/>
      <c r="CO67" s="154"/>
      <c r="CP67" s="154"/>
      <c r="CQ67" s="154"/>
      <c r="CR67" s="154"/>
      <c r="CS67" s="154"/>
      <c r="CT67" s="154"/>
      <c r="CU67" s="154"/>
      <c r="CV67" s="154"/>
      <c r="CW67" s="154"/>
      <c r="CX67" s="154"/>
      <c r="CY67" s="154"/>
      <c r="CZ67" s="154"/>
      <c r="DA67" s="154"/>
      <c r="DB67" s="154"/>
      <c r="DC67" s="154"/>
      <c r="DD67" s="154"/>
      <c r="DE67" s="154"/>
      <c r="DF67" s="154"/>
      <c r="DG67" s="154"/>
      <c r="DH67" s="154"/>
      <c r="DI67" s="154"/>
      <c r="DJ67" s="154"/>
      <c r="DK67" s="154"/>
      <c r="DL67" s="154"/>
      <c r="DM67" s="154"/>
      <c r="DN67" s="122"/>
      <c r="DO67" s="48"/>
      <c r="DP67" s="120"/>
      <c r="DQ67" s="154"/>
      <c r="DR67" s="154"/>
      <c r="DS67" s="154"/>
      <c r="DT67" s="154"/>
      <c r="DU67" s="154"/>
      <c r="DV67" s="154"/>
      <c r="DW67" s="154"/>
      <c r="DX67" s="154"/>
      <c r="DY67" s="154"/>
      <c r="DZ67" s="154"/>
      <c r="EA67" s="154"/>
      <c r="EB67" s="154"/>
      <c r="EC67" s="154"/>
      <c r="ED67" s="154"/>
      <c r="EE67" s="154"/>
      <c r="EF67" s="154"/>
      <c r="EG67" s="154"/>
      <c r="EH67" s="154"/>
      <c r="EI67" s="154"/>
      <c r="EJ67" s="154"/>
      <c r="EK67" s="154"/>
      <c r="EL67" s="154"/>
      <c r="EM67" s="154"/>
      <c r="EN67" s="154"/>
      <c r="EO67" s="154"/>
      <c r="EP67" s="154"/>
      <c r="EQ67" s="154"/>
      <c r="ER67" s="154"/>
      <c r="ES67" s="154"/>
      <c r="ET67" s="154"/>
      <c r="EU67" s="154"/>
      <c r="EV67" s="154"/>
      <c r="EW67" s="154"/>
      <c r="EX67" s="154"/>
      <c r="EY67" s="154"/>
      <c r="EZ67" s="154"/>
      <c r="FA67" s="154"/>
      <c r="FB67" s="154"/>
      <c r="FC67" s="154"/>
      <c r="FD67" s="154"/>
      <c r="FE67" s="154"/>
      <c r="FF67" s="154"/>
      <c r="FG67" s="154"/>
      <c r="FH67" s="154"/>
      <c r="FI67" s="154"/>
      <c r="FJ67" s="154"/>
      <c r="FK67" s="154"/>
      <c r="FL67" s="154"/>
      <c r="FM67" s="154"/>
      <c r="FN67" s="154"/>
      <c r="FO67" s="154"/>
      <c r="FP67" s="154"/>
      <c r="FQ67" s="154"/>
      <c r="FR67" s="154"/>
      <c r="FS67" s="154"/>
      <c r="FT67" s="154"/>
      <c r="FU67" s="154"/>
      <c r="FV67" s="154"/>
      <c r="FW67" s="154"/>
      <c r="FX67" s="154"/>
      <c r="FY67" s="154"/>
      <c r="FZ67" s="154"/>
      <c r="GA67" s="154"/>
      <c r="GB67" s="154"/>
      <c r="GC67" s="154"/>
      <c r="GD67" s="154"/>
      <c r="GE67" s="154"/>
      <c r="GF67" s="154"/>
      <c r="GG67" s="154"/>
      <c r="GH67" s="154"/>
      <c r="GI67" s="154"/>
      <c r="GJ67" s="154"/>
      <c r="GK67" s="154"/>
      <c r="GL67" s="154"/>
      <c r="GM67" s="154"/>
      <c r="GN67" s="154"/>
      <c r="GO67" s="154"/>
      <c r="GP67" s="154"/>
      <c r="GQ67" s="154"/>
      <c r="GR67" s="154"/>
      <c r="GS67" s="154"/>
      <c r="GT67" s="154"/>
      <c r="GU67" s="154"/>
      <c r="GV67" s="154"/>
      <c r="GW67" s="154"/>
      <c r="GX67" s="154"/>
      <c r="GY67" s="154"/>
      <c r="GZ67" s="154"/>
      <c r="HA67" s="154"/>
      <c r="HB67" s="154"/>
      <c r="HC67" s="154"/>
      <c r="HD67" s="154"/>
      <c r="HE67" s="154"/>
      <c r="HF67" s="154"/>
      <c r="HG67" s="154"/>
      <c r="HH67" s="154"/>
      <c r="HI67" s="154"/>
      <c r="HJ67" s="154"/>
      <c r="HK67" s="154"/>
      <c r="HL67" s="154"/>
      <c r="HM67" s="154"/>
      <c r="HN67" s="154"/>
      <c r="HO67" s="154"/>
      <c r="HP67" s="154"/>
      <c r="HQ67" s="154"/>
      <c r="HR67" s="154"/>
      <c r="HS67" s="154"/>
      <c r="HT67" s="154"/>
      <c r="HU67" s="154"/>
      <c r="HV67" s="154"/>
      <c r="HW67" s="154"/>
      <c r="HX67" s="154"/>
      <c r="HY67" s="154"/>
      <c r="HZ67" s="122"/>
    </row>
    <row r="68" spans="4:234" ht="6" customHeight="1">
      <c r="D68" s="120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54"/>
      <c r="CI68" s="154"/>
      <c r="CJ68" s="154"/>
      <c r="CK68" s="154"/>
      <c r="CL68" s="154"/>
      <c r="CM68" s="154"/>
      <c r="CN68" s="154"/>
      <c r="CO68" s="154"/>
      <c r="CP68" s="154"/>
      <c r="CQ68" s="154"/>
      <c r="CR68" s="154"/>
      <c r="CS68" s="154"/>
      <c r="CT68" s="154"/>
      <c r="CU68" s="154"/>
      <c r="CV68" s="154"/>
      <c r="CW68" s="154"/>
      <c r="CX68" s="154"/>
      <c r="CY68" s="154"/>
      <c r="CZ68" s="154"/>
      <c r="DA68" s="154"/>
      <c r="DB68" s="154"/>
      <c r="DC68" s="154"/>
      <c r="DD68" s="154"/>
      <c r="DE68" s="154"/>
      <c r="DF68" s="154"/>
      <c r="DG68" s="154"/>
      <c r="DH68" s="154"/>
      <c r="DI68" s="154"/>
      <c r="DJ68" s="154"/>
      <c r="DK68" s="154"/>
      <c r="DL68" s="154"/>
      <c r="DM68" s="154"/>
      <c r="DN68" s="122"/>
      <c r="DO68" s="48"/>
      <c r="DP68" s="120"/>
      <c r="DQ68" s="154"/>
      <c r="DR68" s="154"/>
      <c r="DS68" s="154"/>
      <c r="DT68" s="154"/>
      <c r="DU68" s="154"/>
      <c r="DV68" s="154"/>
      <c r="DW68" s="154"/>
      <c r="DX68" s="154"/>
      <c r="DY68" s="154"/>
      <c r="DZ68" s="154"/>
      <c r="EA68" s="154"/>
      <c r="EB68" s="154"/>
      <c r="EC68" s="154"/>
      <c r="ED68" s="154"/>
      <c r="EE68" s="154"/>
      <c r="EF68" s="154"/>
      <c r="EG68" s="154"/>
      <c r="EH68" s="154"/>
      <c r="EI68" s="154"/>
      <c r="EJ68" s="154"/>
      <c r="EK68" s="154"/>
      <c r="EL68" s="154"/>
      <c r="EM68" s="154"/>
      <c r="EN68" s="154"/>
      <c r="EO68" s="154"/>
      <c r="EP68" s="154"/>
      <c r="EQ68" s="154"/>
      <c r="ER68" s="154"/>
      <c r="ES68" s="154"/>
      <c r="ET68" s="154"/>
      <c r="EU68" s="154"/>
      <c r="EV68" s="154"/>
      <c r="EW68" s="154"/>
      <c r="EX68" s="154"/>
      <c r="EY68" s="154"/>
      <c r="EZ68" s="154"/>
      <c r="FA68" s="154"/>
      <c r="FB68" s="154"/>
      <c r="FC68" s="154"/>
      <c r="FD68" s="154"/>
      <c r="FE68" s="154"/>
      <c r="FF68" s="154"/>
      <c r="FG68" s="154"/>
      <c r="FH68" s="154"/>
      <c r="FI68" s="154"/>
      <c r="FJ68" s="154"/>
      <c r="FK68" s="154"/>
      <c r="FL68" s="154"/>
      <c r="FM68" s="154"/>
      <c r="FN68" s="154"/>
      <c r="FO68" s="154"/>
      <c r="FP68" s="154"/>
      <c r="FQ68" s="154"/>
      <c r="FR68" s="154"/>
      <c r="FS68" s="154"/>
      <c r="FT68" s="154"/>
      <c r="FU68" s="154"/>
      <c r="FV68" s="154"/>
      <c r="FW68" s="154"/>
      <c r="FX68" s="154"/>
      <c r="FY68" s="154"/>
      <c r="FZ68" s="154"/>
      <c r="GA68" s="154"/>
      <c r="GB68" s="154"/>
      <c r="GC68" s="154"/>
      <c r="GD68" s="154"/>
      <c r="GE68" s="154"/>
      <c r="GF68" s="154"/>
      <c r="GG68" s="154"/>
      <c r="GH68" s="154"/>
      <c r="GI68" s="154"/>
      <c r="GJ68" s="154"/>
      <c r="GK68" s="154"/>
      <c r="GL68" s="154"/>
      <c r="GM68" s="154"/>
      <c r="GN68" s="154"/>
      <c r="GO68" s="154"/>
      <c r="GP68" s="154"/>
      <c r="GQ68" s="154"/>
      <c r="GR68" s="154"/>
      <c r="GS68" s="154"/>
      <c r="GT68" s="154"/>
      <c r="GU68" s="154"/>
      <c r="GV68" s="154"/>
      <c r="GW68" s="154"/>
      <c r="GX68" s="154"/>
      <c r="GY68" s="154"/>
      <c r="GZ68" s="154"/>
      <c r="HA68" s="154"/>
      <c r="HB68" s="154"/>
      <c r="HC68" s="154"/>
      <c r="HD68" s="154"/>
      <c r="HE68" s="154"/>
      <c r="HF68" s="154"/>
      <c r="HG68" s="154"/>
      <c r="HH68" s="154"/>
      <c r="HI68" s="154"/>
      <c r="HJ68" s="154"/>
      <c r="HK68" s="154"/>
      <c r="HL68" s="154"/>
      <c r="HM68" s="154"/>
      <c r="HN68" s="154"/>
      <c r="HO68" s="154"/>
      <c r="HP68" s="154"/>
      <c r="HQ68" s="154"/>
      <c r="HR68" s="154"/>
      <c r="HS68" s="154"/>
      <c r="HT68" s="154"/>
      <c r="HU68" s="154"/>
      <c r="HV68" s="154"/>
      <c r="HW68" s="154"/>
      <c r="HX68" s="154"/>
      <c r="HY68" s="154"/>
      <c r="HZ68" s="122"/>
    </row>
    <row r="69" spans="4:234" ht="6" customHeight="1">
      <c r="D69" s="120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54"/>
      <c r="CJ69" s="154"/>
      <c r="CK69" s="154"/>
      <c r="CL69" s="154"/>
      <c r="CM69" s="154"/>
      <c r="CN69" s="154"/>
      <c r="CO69" s="154"/>
      <c r="CP69" s="154"/>
      <c r="CQ69" s="154"/>
      <c r="CR69" s="154"/>
      <c r="CS69" s="154"/>
      <c r="CT69" s="154"/>
      <c r="CU69" s="154"/>
      <c r="CV69" s="154"/>
      <c r="CW69" s="154"/>
      <c r="CX69" s="154"/>
      <c r="CY69" s="154"/>
      <c r="CZ69" s="154"/>
      <c r="DA69" s="154"/>
      <c r="DB69" s="154"/>
      <c r="DC69" s="154"/>
      <c r="DD69" s="154"/>
      <c r="DE69" s="154"/>
      <c r="DF69" s="154"/>
      <c r="DG69" s="154"/>
      <c r="DH69" s="154"/>
      <c r="DI69" s="154"/>
      <c r="DJ69" s="154"/>
      <c r="DK69" s="154"/>
      <c r="DL69" s="154"/>
      <c r="DM69" s="154"/>
      <c r="DN69" s="122"/>
      <c r="DO69" s="47"/>
      <c r="DP69" s="120"/>
      <c r="DQ69" s="154"/>
      <c r="DR69" s="154"/>
      <c r="DS69" s="154"/>
      <c r="DT69" s="154"/>
      <c r="DU69" s="154"/>
      <c r="DV69" s="154"/>
      <c r="DW69" s="154"/>
      <c r="DX69" s="154"/>
      <c r="DY69" s="154"/>
      <c r="DZ69" s="154"/>
      <c r="EA69" s="154"/>
      <c r="EB69" s="154"/>
      <c r="EC69" s="154"/>
      <c r="ED69" s="154"/>
      <c r="EE69" s="154"/>
      <c r="EF69" s="154"/>
      <c r="EG69" s="154"/>
      <c r="EH69" s="154"/>
      <c r="EI69" s="154"/>
      <c r="EJ69" s="154"/>
      <c r="EK69" s="154"/>
      <c r="EL69" s="154"/>
      <c r="EM69" s="154"/>
      <c r="EN69" s="154"/>
      <c r="EO69" s="154"/>
      <c r="EP69" s="154"/>
      <c r="EQ69" s="154"/>
      <c r="ER69" s="154"/>
      <c r="ES69" s="154"/>
      <c r="ET69" s="154"/>
      <c r="EU69" s="154"/>
      <c r="EV69" s="154"/>
      <c r="EW69" s="154"/>
      <c r="EX69" s="154"/>
      <c r="EY69" s="154"/>
      <c r="EZ69" s="154"/>
      <c r="FA69" s="154"/>
      <c r="FB69" s="154"/>
      <c r="FC69" s="154"/>
      <c r="FD69" s="154"/>
      <c r="FE69" s="154"/>
      <c r="FF69" s="154"/>
      <c r="FG69" s="154"/>
      <c r="FH69" s="154"/>
      <c r="FI69" s="154"/>
      <c r="FJ69" s="154"/>
      <c r="FK69" s="154"/>
      <c r="FL69" s="154"/>
      <c r="FM69" s="154"/>
      <c r="FN69" s="154"/>
      <c r="FO69" s="154"/>
      <c r="FP69" s="154"/>
      <c r="FQ69" s="154"/>
      <c r="FR69" s="154"/>
      <c r="FS69" s="154"/>
      <c r="FT69" s="154"/>
      <c r="FU69" s="154"/>
      <c r="FV69" s="154"/>
      <c r="FW69" s="154"/>
      <c r="FX69" s="154"/>
      <c r="FY69" s="154"/>
      <c r="FZ69" s="154"/>
      <c r="GA69" s="154"/>
      <c r="GB69" s="154"/>
      <c r="GC69" s="154"/>
      <c r="GD69" s="154"/>
      <c r="GE69" s="154"/>
      <c r="GF69" s="154"/>
      <c r="GG69" s="154"/>
      <c r="GH69" s="154"/>
      <c r="GI69" s="154"/>
      <c r="GJ69" s="154"/>
      <c r="GK69" s="154"/>
      <c r="GL69" s="154"/>
      <c r="GM69" s="154"/>
      <c r="GN69" s="154"/>
      <c r="GO69" s="154"/>
      <c r="GP69" s="154"/>
      <c r="GQ69" s="154"/>
      <c r="GR69" s="154"/>
      <c r="GS69" s="154"/>
      <c r="GT69" s="154"/>
      <c r="GU69" s="154"/>
      <c r="GV69" s="154"/>
      <c r="GW69" s="154"/>
      <c r="GX69" s="154"/>
      <c r="GY69" s="154"/>
      <c r="GZ69" s="154"/>
      <c r="HA69" s="154"/>
      <c r="HB69" s="154"/>
      <c r="HC69" s="154"/>
      <c r="HD69" s="154"/>
      <c r="HE69" s="154"/>
      <c r="HF69" s="154"/>
      <c r="HG69" s="154"/>
      <c r="HH69" s="154"/>
      <c r="HI69" s="154"/>
      <c r="HJ69" s="154"/>
      <c r="HK69" s="154"/>
      <c r="HL69" s="154"/>
      <c r="HM69" s="154"/>
      <c r="HN69" s="154"/>
      <c r="HO69" s="154"/>
      <c r="HP69" s="154"/>
      <c r="HQ69" s="154"/>
      <c r="HR69" s="154"/>
      <c r="HS69" s="154"/>
      <c r="HT69" s="154"/>
      <c r="HU69" s="154"/>
      <c r="HV69" s="154"/>
      <c r="HW69" s="154"/>
      <c r="HX69" s="154"/>
      <c r="HY69" s="154"/>
      <c r="HZ69" s="122"/>
    </row>
    <row r="70" spans="4:234" ht="6" customHeight="1">
      <c r="D70" s="123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24"/>
      <c r="BK70" s="124"/>
      <c r="BL70" s="124"/>
      <c r="BM70" s="124"/>
      <c r="BN70" s="124"/>
      <c r="BO70" s="124"/>
      <c r="BP70" s="124"/>
      <c r="BQ70" s="124"/>
      <c r="BR70" s="124"/>
      <c r="BS70" s="124"/>
      <c r="BT70" s="124"/>
      <c r="BU70" s="124"/>
      <c r="BV70" s="124"/>
      <c r="BW70" s="124"/>
      <c r="BX70" s="124"/>
      <c r="BY70" s="124"/>
      <c r="BZ70" s="124"/>
      <c r="CA70" s="124"/>
      <c r="CB70" s="124"/>
      <c r="CC70" s="124"/>
      <c r="CD70" s="124"/>
      <c r="CE70" s="124"/>
      <c r="CF70" s="124"/>
      <c r="CG70" s="124"/>
      <c r="CH70" s="124"/>
      <c r="CI70" s="124"/>
      <c r="CJ70" s="124"/>
      <c r="CK70" s="124"/>
      <c r="CL70" s="124"/>
      <c r="CM70" s="124"/>
      <c r="CN70" s="124"/>
      <c r="CO70" s="124"/>
      <c r="CP70" s="124"/>
      <c r="CQ70" s="124"/>
      <c r="CR70" s="124"/>
      <c r="CS70" s="124"/>
      <c r="CT70" s="124"/>
      <c r="CU70" s="124"/>
      <c r="CV70" s="124"/>
      <c r="CW70" s="124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4"/>
      <c r="DN70" s="125"/>
      <c r="DO70" s="48"/>
      <c r="DP70" s="123"/>
      <c r="DQ70" s="124"/>
      <c r="DR70" s="124"/>
      <c r="DS70" s="124"/>
      <c r="DT70" s="124"/>
      <c r="DU70" s="124"/>
      <c r="DV70" s="124"/>
      <c r="DW70" s="124"/>
      <c r="DX70" s="124"/>
      <c r="DY70" s="124"/>
      <c r="DZ70" s="124"/>
      <c r="EA70" s="124"/>
      <c r="EB70" s="124"/>
      <c r="EC70" s="124"/>
      <c r="ED70" s="124"/>
      <c r="EE70" s="124"/>
      <c r="EF70" s="124"/>
      <c r="EG70" s="124"/>
      <c r="EH70" s="124"/>
      <c r="EI70" s="124"/>
      <c r="EJ70" s="124"/>
      <c r="EK70" s="124"/>
      <c r="EL70" s="124"/>
      <c r="EM70" s="124"/>
      <c r="EN70" s="124"/>
      <c r="EO70" s="124"/>
      <c r="EP70" s="124"/>
      <c r="EQ70" s="124"/>
      <c r="ER70" s="124"/>
      <c r="ES70" s="124"/>
      <c r="ET70" s="124"/>
      <c r="EU70" s="124"/>
      <c r="EV70" s="124"/>
      <c r="EW70" s="124"/>
      <c r="EX70" s="124"/>
      <c r="EY70" s="124"/>
      <c r="EZ70" s="124"/>
      <c r="FA70" s="124"/>
      <c r="FB70" s="124"/>
      <c r="FC70" s="124"/>
      <c r="FD70" s="124"/>
      <c r="FE70" s="124"/>
      <c r="FF70" s="124"/>
      <c r="FG70" s="124"/>
      <c r="FH70" s="124"/>
      <c r="FI70" s="124"/>
      <c r="FJ70" s="124"/>
      <c r="FK70" s="124"/>
      <c r="FL70" s="124"/>
      <c r="FM70" s="124"/>
      <c r="FN70" s="124"/>
      <c r="FO70" s="124"/>
      <c r="FP70" s="124"/>
      <c r="FQ70" s="124"/>
      <c r="FR70" s="124"/>
      <c r="FS70" s="124"/>
      <c r="FT70" s="124"/>
      <c r="FU70" s="124"/>
      <c r="FV70" s="124"/>
      <c r="FW70" s="124"/>
      <c r="FX70" s="124"/>
      <c r="FY70" s="124"/>
      <c r="FZ70" s="124"/>
      <c r="GA70" s="124"/>
      <c r="GB70" s="124"/>
      <c r="GC70" s="124"/>
      <c r="GD70" s="124"/>
      <c r="GE70" s="124"/>
      <c r="GF70" s="124"/>
      <c r="GG70" s="124"/>
      <c r="GH70" s="124"/>
      <c r="GI70" s="124"/>
      <c r="GJ70" s="124"/>
      <c r="GK70" s="124"/>
      <c r="GL70" s="124"/>
      <c r="GM70" s="124"/>
      <c r="GN70" s="124"/>
      <c r="GO70" s="124"/>
      <c r="GP70" s="124"/>
      <c r="GQ70" s="124"/>
      <c r="GR70" s="124"/>
      <c r="GS70" s="124"/>
      <c r="GT70" s="124"/>
      <c r="GU70" s="124"/>
      <c r="GV70" s="124"/>
      <c r="GW70" s="124"/>
      <c r="GX70" s="124"/>
      <c r="GY70" s="124"/>
      <c r="GZ70" s="124"/>
      <c r="HA70" s="124"/>
      <c r="HB70" s="124"/>
      <c r="HC70" s="124"/>
      <c r="HD70" s="124"/>
      <c r="HE70" s="124"/>
      <c r="HF70" s="124"/>
      <c r="HG70" s="124"/>
      <c r="HH70" s="124"/>
      <c r="HI70" s="124"/>
      <c r="HJ70" s="124"/>
      <c r="HK70" s="124"/>
      <c r="HL70" s="124"/>
      <c r="HM70" s="124"/>
      <c r="HN70" s="124"/>
      <c r="HO70" s="124"/>
      <c r="HP70" s="124"/>
      <c r="HQ70" s="124"/>
      <c r="HR70" s="124"/>
      <c r="HS70" s="124"/>
      <c r="HT70" s="124"/>
      <c r="HU70" s="124"/>
      <c r="HV70" s="124"/>
      <c r="HW70" s="124"/>
      <c r="HX70" s="124"/>
      <c r="HY70" s="124"/>
      <c r="HZ70" s="125"/>
    </row>
    <row r="72" spans="4:234" ht="6" customHeight="1">
      <c r="D72" s="63" t="s">
        <v>2082</v>
      </c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5"/>
    </row>
    <row r="73" spans="4:234" ht="6" customHeight="1">
      <c r="D73" s="66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67"/>
      <c r="GI73" s="67"/>
      <c r="GJ73" s="67"/>
      <c r="GK73" s="67"/>
      <c r="GL73" s="67"/>
      <c r="GM73" s="67"/>
      <c r="GN73" s="67"/>
      <c r="GO73" s="67"/>
      <c r="GP73" s="67"/>
      <c r="GQ73" s="67"/>
      <c r="GR73" s="67"/>
      <c r="GS73" s="67"/>
      <c r="GT73" s="67"/>
      <c r="GU73" s="67"/>
      <c r="GV73" s="67"/>
      <c r="GW73" s="67"/>
      <c r="GX73" s="67"/>
      <c r="GY73" s="67"/>
      <c r="GZ73" s="67"/>
      <c r="HA73" s="67"/>
      <c r="HB73" s="67"/>
      <c r="HC73" s="67"/>
      <c r="HD73" s="67"/>
      <c r="HE73" s="67"/>
      <c r="HF73" s="67"/>
      <c r="HG73" s="67"/>
      <c r="HH73" s="67"/>
      <c r="HI73" s="67"/>
      <c r="HJ73" s="67"/>
      <c r="HK73" s="67"/>
      <c r="HL73" s="67"/>
      <c r="HM73" s="67"/>
      <c r="HN73" s="67"/>
      <c r="HO73" s="67"/>
      <c r="HP73" s="67"/>
      <c r="HQ73" s="67"/>
      <c r="HR73" s="67"/>
      <c r="HS73" s="67"/>
      <c r="HT73" s="67"/>
      <c r="HU73" s="67"/>
      <c r="HV73" s="67"/>
      <c r="HW73" s="67"/>
      <c r="HX73" s="67"/>
      <c r="HY73" s="67"/>
      <c r="HZ73" s="68"/>
    </row>
    <row r="74" spans="4:234" ht="6" customHeight="1">
      <c r="D74" s="69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  <c r="EY74" s="70"/>
      <c r="EZ74" s="70"/>
      <c r="FA74" s="70"/>
      <c r="FB74" s="70"/>
      <c r="FC74" s="70"/>
      <c r="FD74" s="70"/>
      <c r="FE74" s="70"/>
      <c r="FF74" s="70"/>
      <c r="FG74" s="70"/>
      <c r="FH74" s="70"/>
      <c r="FI74" s="70"/>
      <c r="FJ74" s="70"/>
      <c r="FK74" s="70"/>
      <c r="FL74" s="70"/>
      <c r="FM74" s="70"/>
      <c r="FN74" s="70"/>
      <c r="FO74" s="70"/>
      <c r="FP74" s="70"/>
      <c r="FQ74" s="70"/>
      <c r="FR74" s="70"/>
      <c r="FS74" s="70"/>
      <c r="FT74" s="70"/>
      <c r="FU74" s="70"/>
      <c r="FV74" s="70"/>
      <c r="FW74" s="70"/>
      <c r="FX74" s="70"/>
      <c r="FY74" s="70"/>
      <c r="FZ74" s="70"/>
      <c r="GA74" s="70"/>
      <c r="GB74" s="70"/>
      <c r="GC74" s="70"/>
      <c r="GD74" s="70"/>
      <c r="GE74" s="70"/>
      <c r="GF74" s="70"/>
      <c r="GG74" s="70"/>
      <c r="GH74" s="70"/>
      <c r="GI74" s="70"/>
      <c r="GJ74" s="70"/>
      <c r="GK74" s="70"/>
      <c r="GL74" s="70"/>
      <c r="GM74" s="70"/>
      <c r="GN74" s="70"/>
      <c r="GO74" s="70"/>
      <c r="GP74" s="70"/>
      <c r="GQ74" s="70"/>
      <c r="GR74" s="70"/>
      <c r="GS74" s="70"/>
      <c r="GT74" s="70"/>
      <c r="GU74" s="70"/>
      <c r="GV74" s="70"/>
      <c r="GW74" s="70"/>
      <c r="GX74" s="70"/>
      <c r="GY74" s="70"/>
      <c r="GZ74" s="70"/>
      <c r="HA74" s="70"/>
      <c r="HB74" s="70"/>
      <c r="HC74" s="70"/>
      <c r="HD74" s="70"/>
      <c r="HE74" s="70"/>
      <c r="HF74" s="70"/>
      <c r="HG74" s="70"/>
      <c r="HH74" s="70"/>
      <c r="HI74" s="70"/>
      <c r="HJ74" s="70"/>
      <c r="HK74" s="70"/>
      <c r="HL74" s="70"/>
      <c r="HM74" s="70"/>
      <c r="HN74" s="70"/>
      <c r="HO74" s="70"/>
      <c r="HP74" s="70"/>
      <c r="HQ74" s="70"/>
      <c r="HR74" s="70"/>
      <c r="HS74" s="70"/>
      <c r="HT74" s="70"/>
      <c r="HU74" s="70"/>
      <c r="HV74" s="70"/>
      <c r="HW74" s="70"/>
      <c r="HX74" s="70"/>
      <c r="HY74" s="70"/>
      <c r="HZ74" s="71"/>
    </row>
    <row r="75" spans="4:234" ht="6" customHeight="1">
      <c r="D75" s="72" t="s">
        <v>2088</v>
      </c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3"/>
      <c r="DV75" s="73"/>
      <c r="DW75" s="73"/>
      <c r="DX75" s="73"/>
      <c r="DY75" s="73"/>
      <c r="DZ75" s="73"/>
      <c r="EA75" s="73"/>
      <c r="EB75" s="73"/>
      <c r="EC75" s="73"/>
      <c r="ED75" s="73"/>
      <c r="EE75" s="73"/>
      <c r="EF75" s="73"/>
      <c r="EG75" s="73"/>
      <c r="EH75" s="73"/>
      <c r="EI75" s="73"/>
      <c r="EJ75" s="73"/>
      <c r="EK75" s="73"/>
      <c r="EL75" s="73"/>
      <c r="EM75" s="73"/>
      <c r="EN75" s="73"/>
      <c r="EO75" s="73"/>
      <c r="EP75" s="73"/>
      <c r="EQ75" s="73"/>
      <c r="ER75" s="73"/>
      <c r="ES75" s="73"/>
      <c r="ET75" s="73"/>
      <c r="EU75" s="73"/>
      <c r="EV75" s="73"/>
      <c r="EW75" s="73"/>
      <c r="EX75" s="73"/>
      <c r="EY75" s="73"/>
      <c r="EZ75" s="73"/>
      <c r="FA75" s="73"/>
      <c r="FB75" s="73"/>
      <c r="FC75" s="73"/>
      <c r="FD75" s="73"/>
      <c r="FE75" s="73"/>
      <c r="FF75" s="73"/>
      <c r="FG75" s="73"/>
      <c r="FH75" s="73"/>
      <c r="FI75" s="73"/>
      <c r="FJ75" s="73"/>
      <c r="FK75" s="73"/>
      <c r="FL75" s="73"/>
      <c r="FM75" s="73"/>
      <c r="FN75" s="73"/>
      <c r="FO75" s="73"/>
      <c r="FP75" s="73"/>
      <c r="FQ75" s="73"/>
      <c r="FR75" s="73"/>
      <c r="FS75" s="73"/>
      <c r="FT75" s="73"/>
      <c r="FU75" s="73"/>
      <c r="FV75" s="73"/>
      <c r="FW75" s="73"/>
      <c r="FX75" s="73"/>
      <c r="FY75" s="73"/>
      <c r="FZ75" s="73"/>
      <c r="GA75" s="73"/>
      <c r="GB75" s="73"/>
      <c r="GC75" s="73"/>
      <c r="GD75" s="73"/>
      <c r="GE75" s="73"/>
      <c r="GF75" s="73"/>
      <c r="GG75" s="73"/>
      <c r="GH75" s="73"/>
      <c r="GI75" s="73"/>
      <c r="GJ75" s="73"/>
      <c r="GK75" s="73"/>
      <c r="GL75" s="73"/>
      <c r="GM75" s="73"/>
      <c r="GN75" s="73"/>
      <c r="GO75" s="73"/>
      <c r="GP75" s="73"/>
      <c r="GQ75" s="73"/>
      <c r="GR75" s="73"/>
      <c r="GS75" s="73"/>
      <c r="GT75" s="73"/>
      <c r="GU75" s="73"/>
      <c r="GV75" s="73"/>
      <c r="GW75" s="73"/>
      <c r="GX75" s="73"/>
      <c r="GY75" s="73"/>
      <c r="GZ75" s="73"/>
      <c r="HA75" s="73"/>
      <c r="HB75" s="73"/>
      <c r="HC75" s="73"/>
      <c r="HD75" s="73"/>
      <c r="HE75" s="73"/>
      <c r="HF75" s="73"/>
      <c r="HG75" s="73"/>
      <c r="HH75" s="73"/>
      <c r="HI75" s="73"/>
      <c r="HJ75" s="73"/>
      <c r="HK75" s="73"/>
      <c r="HL75" s="73"/>
      <c r="HM75" s="73"/>
      <c r="HN75" s="73"/>
      <c r="HO75" s="73"/>
      <c r="HP75" s="73"/>
      <c r="HQ75" s="73"/>
      <c r="HR75" s="73"/>
      <c r="HS75" s="73"/>
      <c r="HT75" s="73"/>
      <c r="HU75" s="73"/>
      <c r="HV75" s="73"/>
      <c r="HW75" s="73"/>
      <c r="HX75" s="73"/>
      <c r="HY75" s="73"/>
      <c r="HZ75" s="74"/>
    </row>
    <row r="76" spans="4:234" ht="6" customHeight="1">
      <c r="D76" s="75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7"/>
    </row>
    <row r="77" spans="4:234" ht="6" customHeight="1">
      <c r="D77" s="75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7"/>
    </row>
    <row r="78" spans="4:234" ht="6" customHeight="1">
      <c r="D78" s="75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7"/>
    </row>
    <row r="79" spans="4:234" ht="6" customHeight="1">
      <c r="D79" s="75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7"/>
    </row>
    <row r="80" spans="4:234" ht="6" customHeight="1">
      <c r="D80" s="75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7"/>
    </row>
    <row r="81" spans="4:234" ht="6" customHeight="1">
      <c r="D81" s="75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7"/>
    </row>
    <row r="82" spans="4:234" ht="6" customHeight="1">
      <c r="D82" s="75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7"/>
    </row>
    <row r="83" spans="4:234" ht="6" customHeight="1">
      <c r="D83" s="75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7"/>
    </row>
    <row r="84" spans="4:234" ht="6" customHeight="1">
      <c r="D84" s="7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7"/>
    </row>
    <row r="85" spans="4:234" ht="6" customHeight="1">
      <c r="D85" s="75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7"/>
    </row>
    <row r="86" spans="4:234" ht="6" customHeight="1">
      <c r="D86" s="75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7"/>
    </row>
    <row r="87" spans="4:234" ht="6" customHeight="1">
      <c r="D87" s="75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7"/>
    </row>
    <row r="88" spans="4:234" ht="6" customHeight="1">
      <c r="D88" s="78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  <c r="CQ88" s="79"/>
      <c r="CR88" s="79"/>
      <c r="CS88" s="79"/>
      <c r="CT88" s="79"/>
      <c r="CU88" s="79"/>
      <c r="CV88" s="79"/>
      <c r="CW88" s="79"/>
      <c r="CX88" s="79"/>
      <c r="CY88" s="79"/>
      <c r="CZ88" s="79"/>
      <c r="DA88" s="79"/>
      <c r="DB88" s="79"/>
      <c r="DC88" s="79"/>
      <c r="DD88" s="79"/>
      <c r="DE88" s="79"/>
      <c r="DF88" s="79"/>
      <c r="DG88" s="79"/>
      <c r="DH88" s="79"/>
      <c r="DI88" s="79"/>
      <c r="DJ88" s="79"/>
      <c r="DK88" s="79"/>
      <c r="DL88" s="79"/>
      <c r="DM88" s="79"/>
      <c r="DN88" s="79"/>
      <c r="DO88" s="79"/>
      <c r="DP88" s="79"/>
      <c r="DQ88" s="79"/>
      <c r="DR88" s="79"/>
      <c r="DS88" s="79"/>
      <c r="DT88" s="79"/>
      <c r="DU88" s="79"/>
      <c r="DV88" s="79"/>
      <c r="DW88" s="79"/>
      <c r="DX88" s="79"/>
      <c r="DY88" s="79"/>
      <c r="DZ88" s="79"/>
      <c r="EA88" s="79"/>
      <c r="EB88" s="79"/>
      <c r="EC88" s="79"/>
      <c r="ED88" s="79"/>
      <c r="EE88" s="79"/>
      <c r="EF88" s="79"/>
      <c r="EG88" s="79"/>
      <c r="EH88" s="79"/>
      <c r="EI88" s="79"/>
      <c r="EJ88" s="79"/>
      <c r="EK88" s="79"/>
      <c r="EL88" s="79"/>
      <c r="EM88" s="79"/>
      <c r="EN88" s="79"/>
      <c r="EO88" s="79"/>
      <c r="EP88" s="79"/>
      <c r="EQ88" s="79"/>
      <c r="ER88" s="79"/>
      <c r="ES88" s="79"/>
      <c r="ET88" s="79"/>
      <c r="EU88" s="79"/>
      <c r="EV88" s="79"/>
      <c r="EW88" s="79"/>
      <c r="EX88" s="79"/>
      <c r="EY88" s="79"/>
      <c r="EZ88" s="79"/>
      <c r="FA88" s="79"/>
      <c r="FB88" s="79"/>
      <c r="FC88" s="79"/>
      <c r="FD88" s="79"/>
      <c r="FE88" s="79"/>
      <c r="FF88" s="79"/>
      <c r="FG88" s="79"/>
      <c r="FH88" s="79"/>
      <c r="FI88" s="79"/>
      <c r="FJ88" s="79"/>
      <c r="FK88" s="79"/>
      <c r="FL88" s="79"/>
      <c r="FM88" s="79"/>
      <c r="FN88" s="79"/>
      <c r="FO88" s="79"/>
      <c r="FP88" s="79"/>
      <c r="FQ88" s="79"/>
      <c r="FR88" s="79"/>
      <c r="FS88" s="79"/>
      <c r="FT88" s="79"/>
      <c r="FU88" s="79"/>
      <c r="FV88" s="79"/>
      <c r="FW88" s="79"/>
      <c r="FX88" s="79"/>
      <c r="FY88" s="79"/>
      <c r="FZ88" s="79"/>
      <c r="GA88" s="79"/>
      <c r="GB88" s="79"/>
      <c r="GC88" s="79"/>
      <c r="GD88" s="79"/>
      <c r="GE88" s="79"/>
      <c r="GF88" s="79"/>
      <c r="GG88" s="79"/>
      <c r="GH88" s="79"/>
      <c r="GI88" s="79"/>
      <c r="GJ88" s="79"/>
      <c r="GK88" s="79"/>
      <c r="GL88" s="79"/>
      <c r="GM88" s="79"/>
      <c r="GN88" s="79"/>
      <c r="GO88" s="79"/>
      <c r="GP88" s="79"/>
      <c r="GQ88" s="79"/>
      <c r="GR88" s="79"/>
      <c r="GS88" s="79"/>
      <c r="GT88" s="79"/>
      <c r="GU88" s="79"/>
      <c r="GV88" s="79"/>
      <c r="GW88" s="79"/>
      <c r="GX88" s="79"/>
      <c r="GY88" s="79"/>
      <c r="GZ88" s="79"/>
      <c r="HA88" s="79"/>
      <c r="HB88" s="79"/>
      <c r="HC88" s="79"/>
      <c r="HD88" s="79"/>
      <c r="HE88" s="79"/>
      <c r="HF88" s="79"/>
      <c r="HG88" s="79"/>
      <c r="HH88" s="79"/>
      <c r="HI88" s="79"/>
      <c r="HJ88" s="79"/>
      <c r="HK88" s="79"/>
      <c r="HL88" s="79"/>
      <c r="HM88" s="79"/>
      <c r="HN88" s="79"/>
      <c r="HO88" s="79"/>
      <c r="HP88" s="79"/>
      <c r="HQ88" s="79"/>
      <c r="HR88" s="79"/>
      <c r="HS88" s="79"/>
      <c r="HT88" s="79"/>
      <c r="HU88" s="79"/>
      <c r="HV88" s="79"/>
      <c r="HW88" s="79"/>
      <c r="HX88" s="79"/>
      <c r="HY88" s="79"/>
      <c r="HZ88" s="80"/>
    </row>
    <row r="89" spans="4:234" ht="6" customHeight="1"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</row>
    <row r="90" spans="4:234" ht="6" customHeight="1"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</row>
  </sheetData>
  <mergeCells count="28">
    <mergeCell ref="D45:DN70"/>
    <mergeCell ref="DP45:HZ70"/>
    <mergeCell ref="D72:HZ74"/>
    <mergeCell ref="D75:HZ88"/>
    <mergeCell ref="D42:DN44"/>
    <mergeCell ref="DP42:HZ44"/>
    <mergeCell ref="FV10:GW14"/>
    <mergeCell ref="GY10:HZ14"/>
    <mergeCell ref="D16:DN18"/>
    <mergeCell ref="DP16:HZ18"/>
    <mergeCell ref="D19:DN40"/>
    <mergeCell ref="DP19:HZ40"/>
    <mergeCell ref="D10:AE14"/>
    <mergeCell ref="AG10:BH14"/>
    <mergeCell ref="BJ10:CK14"/>
    <mergeCell ref="CM10:DN14"/>
    <mergeCell ref="DP10:EQ14"/>
    <mergeCell ref="ES10:FT14"/>
    <mergeCell ref="D1:HZ4"/>
    <mergeCell ref="D5:HZ5"/>
    <mergeCell ref="D7:AE9"/>
    <mergeCell ref="AG7:BH9"/>
    <mergeCell ref="BJ7:CK9"/>
    <mergeCell ref="CM7:DN9"/>
    <mergeCell ref="DP7:EQ9"/>
    <mergeCell ref="ES7:FT9"/>
    <mergeCell ref="FV7:GW9"/>
    <mergeCell ref="GY7:HZ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14F767-01A7-48A6-916E-ABF954830410}"/>
</file>

<file path=docMetadata/LabelInfo.xml><?xml version="1.0" encoding="utf-8"?>
<clbl:labelList xmlns:clbl="http://schemas.microsoft.com/office/2020/mipLabelMetadata">
  <clbl:label id="{25fed59f-e59b-4ecf-a665-1c27931df9bd}" enabled="1" method="Privileged" siteId="{f06fa858-824b-4a85-aacb-f372cfdc28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Da Cunha Machado [C]</dc:creator>
  <cp:keywords/>
  <dc:description/>
  <cp:lastModifiedBy/>
  <cp:revision/>
  <dcterms:created xsi:type="dcterms:W3CDTF">2026-09-24T05:15:37Z</dcterms:created>
  <dcterms:modified xsi:type="dcterms:W3CDTF">2026-10-13T19:09:14Z</dcterms:modified>
  <cp:category/>
  <cp:contentStatus/>
</cp:coreProperties>
</file>